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7\"/>
    </mc:Choice>
  </mc:AlternateContent>
  <xr:revisionPtr revIDLastSave="0" documentId="13_ncr:1_{54D76957-A72A-4FE3-9B58-BAEAC400A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1" r:id="rId1"/>
    <sheet name="42년5월 취합마스터파일" sheetId="4" state="hidden" r:id="rId2"/>
    <sheet name="취합마스터파일 삭제예정)" sheetId="7" state="hidden" r:id="rId3"/>
    <sheet name="42년3월(조직개편전) 조직도" sheetId="8" state="hidden" r:id="rId4"/>
    <sheet name="42.3월(조직개편전) 취합마스터파일" sheetId="9" state="hidden" r:id="rId5"/>
    <sheet name="42.3월 취합마스터파일의(수정중 보지마세요)" sheetId="10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1" hidden="1">'42년5월 취합마스터파일'!$C$20:$AM$741</definedName>
    <definedName name="_xlnm._FilterDatabase" localSheetId="2" hidden="1">'취합마스터파일 삭제예정)'!$C$20:$AM$743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177C2FA5-E8E4-49D5-95B0-5CD1D586EA4D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0" l="1"/>
  <c r="E711" i="10"/>
  <c r="Z710" i="10"/>
  <c r="E710" i="10"/>
  <c r="Z709" i="10"/>
  <c r="E709" i="10"/>
  <c r="Z708" i="10"/>
  <c r="E708" i="10"/>
  <c r="Z707" i="10"/>
  <c r="E707" i="10"/>
  <c r="Z706" i="10"/>
  <c r="E706" i="10"/>
  <c r="Z705" i="10"/>
  <c r="E705" i="10"/>
  <c r="Z704" i="10"/>
  <c r="E704" i="10"/>
  <c r="Z703" i="10"/>
  <c r="E703" i="10"/>
  <c r="Z702" i="10"/>
  <c r="E702" i="10"/>
  <c r="Z701" i="10"/>
  <c r="E701" i="10"/>
  <c r="Z700" i="10"/>
  <c r="E700" i="10"/>
  <c r="Z699" i="10"/>
  <c r="E699" i="10"/>
  <c r="Z698" i="10"/>
  <c r="E698" i="10"/>
  <c r="Z697" i="10"/>
  <c r="E697" i="10"/>
  <c r="Z696" i="10"/>
  <c r="E696" i="10"/>
  <c r="Z695" i="10"/>
  <c r="E695" i="10"/>
  <c r="Z694" i="10"/>
  <c r="E694" i="10"/>
  <c r="Z693" i="10"/>
  <c r="E693" i="10"/>
  <c r="Z692" i="10"/>
  <c r="E692" i="10"/>
  <c r="Z691" i="10"/>
  <c r="E691" i="10"/>
  <c r="Z690" i="10"/>
  <c r="E690" i="10"/>
  <c r="Z689" i="10"/>
  <c r="E689" i="10"/>
  <c r="Z688" i="10"/>
  <c r="E688" i="10"/>
  <c r="Z687" i="10"/>
  <c r="E687" i="10"/>
  <c r="Z686" i="10"/>
  <c r="E686" i="10"/>
  <c r="Z685" i="10"/>
  <c r="E685" i="10"/>
  <c r="Z684" i="10"/>
  <c r="E684" i="10"/>
  <c r="Z683" i="10"/>
  <c r="E683" i="10"/>
  <c r="Z682" i="10"/>
  <c r="E682" i="10"/>
  <c r="Z681" i="10"/>
  <c r="E681" i="10"/>
  <c r="Z680" i="10"/>
  <c r="E680" i="10"/>
  <c r="Z679" i="10"/>
  <c r="E679" i="10"/>
  <c r="Z678" i="10"/>
  <c r="E678" i="10"/>
  <c r="Z677" i="10"/>
  <c r="E677" i="10"/>
  <c r="Z676" i="10"/>
  <c r="E676" i="10"/>
  <c r="Z675" i="10"/>
  <c r="E675" i="10"/>
  <c r="Z674" i="10"/>
  <c r="E674" i="10"/>
  <c r="Z673" i="10"/>
  <c r="E673" i="10"/>
  <c r="Z672" i="10"/>
  <c r="E672" i="10"/>
  <c r="Z671" i="10"/>
  <c r="E671" i="10"/>
  <c r="Z670" i="10"/>
  <c r="E670" i="10"/>
  <c r="Z669" i="10"/>
  <c r="E669" i="10"/>
  <c r="Z668" i="10"/>
  <c r="E668" i="10"/>
  <c r="Z667" i="10"/>
  <c r="E667" i="10"/>
  <c r="Z666" i="10"/>
  <c r="E666" i="10"/>
  <c r="Z665" i="10"/>
  <c r="E665" i="10"/>
  <c r="Z664" i="10"/>
  <c r="E664" i="10"/>
  <c r="Z663" i="10"/>
  <c r="E663" i="10"/>
  <c r="Z662" i="10"/>
  <c r="E662" i="10"/>
  <c r="Z661" i="10"/>
  <c r="E661" i="10"/>
  <c r="Z660" i="10"/>
  <c r="E660" i="10"/>
  <c r="Z659" i="10"/>
  <c r="E659" i="10"/>
  <c r="Z658" i="10"/>
  <c r="E658" i="10"/>
  <c r="Z657" i="10"/>
  <c r="E657" i="10"/>
  <c r="Z656" i="10"/>
  <c r="E656" i="10"/>
  <c r="Z655" i="10"/>
  <c r="E655" i="10"/>
  <c r="Z654" i="10"/>
  <c r="E654" i="10"/>
  <c r="Z653" i="10"/>
  <c r="E653" i="10"/>
  <c r="Z652" i="10"/>
  <c r="E652" i="10"/>
  <c r="Z651" i="10"/>
  <c r="E651" i="10"/>
  <c r="Z650" i="10"/>
  <c r="E650" i="10"/>
  <c r="Z649" i="10"/>
  <c r="E649" i="10"/>
  <c r="Z648" i="10"/>
  <c r="E648" i="10"/>
  <c r="Z647" i="10"/>
  <c r="E647" i="10"/>
  <c r="Z646" i="10"/>
  <c r="E646" i="10"/>
  <c r="Z645" i="10"/>
  <c r="E645" i="10"/>
  <c r="Z644" i="10"/>
  <c r="E644" i="10"/>
  <c r="Z643" i="10"/>
  <c r="E643" i="10"/>
  <c r="Z642" i="10"/>
  <c r="E642" i="10"/>
  <c r="Z641" i="10"/>
  <c r="E641" i="10"/>
  <c r="Z640" i="10"/>
  <c r="E640" i="10"/>
  <c r="Z639" i="10"/>
  <c r="E639" i="10"/>
  <c r="Z638" i="10"/>
  <c r="E638" i="10"/>
  <c r="Z637" i="10"/>
  <c r="E637" i="10"/>
  <c r="Z636" i="10"/>
  <c r="E636" i="10"/>
  <c r="Z635" i="10"/>
  <c r="E635" i="10"/>
  <c r="Z634" i="10"/>
  <c r="E634" i="10"/>
  <c r="Z633" i="10"/>
  <c r="E633" i="10"/>
  <c r="Z632" i="10"/>
  <c r="E632" i="10"/>
  <c r="Z631" i="10"/>
  <c r="E631" i="10"/>
  <c r="Z630" i="10"/>
  <c r="E630" i="10"/>
  <c r="Z629" i="10"/>
  <c r="E629" i="10"/>
  <c r="Z628" i="10"/>
  <c r="E628" i="10"/>
  <c r="Z627" i="10"/>
  <c r="E627" i="10"/>
  <c r="Z626" i="10"/>
  <c r="E626" i="10"/>
  <c r="Z625" i="10"/>
  <c r="E625" i="10"/>
  <c r="Z624" i="10"/>
  <c r="E624" i="10"/>
  <c r="Z623" i="10"/>
  <c r="E623" i="10"/>
  <c r="Z622" i="10"/>
  <c r="E622" i="10"/>
  <c r="Z621" i="10"/>
  <c r="E621" i="10"/>
  <c r="Z620" i="10"/>
  <c r="E620" i="10"/>
  <c r="Z619" i="10"/>
  <c r="E619" i="10"/>
  <c r="Z618" i="10"/>
  <c r="E618" i="10"/>
  <c r="Z617" i="10"/>
  <c r="E617" i="10"/>
  <c r="Z616" i="10"/>
  <c r="E616" i="10"/>
  <c r="Z615" i="10"/>
  <c r="E615" i="10"/>
  <c r="Z614" i="10"/>
  <c r="E614" i="10"/>
  <c r="Z613" i="10"/>
  <c r="E613" i="10"/>
  <c r="Z612" i="10"/>
  <c r="E612" i="10"/>
  <c r="Z611" i="10"/>
  <c r="E611" i="10"/>
  <c r="Z610" i="10"/>
  <c r="E610" i="10"/>
  <c r="Z609" i="10"/>
  <c r="E609" i="10"/>
  <c r="Z608" i="10"/>
  <c r="E608" i="10"/>
  <c r="Z607" i="10"/>
  <c r="E607" i="10"/>
  <c r="Z606" i="10"/>
  <c r="E606" i="10"/>
  <c r="Z605" i="10"/>
  <c r="E605" i="10"/>
  <c r="Z604" i="10"/>
  <c r="E604" i="10"/>
  <c r="Z603" i="10"/>
  <c r="E603" i="10"/>
  <c r="Z602" i="10"/>
  <c r="E602" i="10"/>
  <c r="Z601" i="10"/>
  <c r="E601" i="10"/>
  <c r="Z600" i="10"/>
  <c r="E600" i="10"/>
  <c r="Z599" i="10"/>
  <c r="E599" i="10"/>
  <c r="Z598" i="10"/>
  <c r="E598" i="10"/>
  <c r="Z597" i="10"/>
  <c r="E597" i="10"/>
  <c r="Z596" i="10"/>
  <c r="E596" i="10"/>
  <c r="Z595" i="10"/>
  <c r="E595" i="10"/>
  <c r="Z594" i="10"/>
  <c r="E594" i="10"/>
  <c r="Z593" i="10"/>
  <c r="E593" i="10"/>
  <c r="Z592" i="10"/>
  <c r="E592" i="10"/>
  <c r="Z591" i="10"/>
  <c r="E591" i="10"/>
  <c r="Z590" i="10"/>
  <c r="E590" i="10"/>
  <c r="Z589" i="10"/>
  <c r="E589" i="10"/>
  <c r="Z588" i="10"/>
  <c r="E588" i="10"/>
  <c r="Z587" i="10"/>
  <c r="E587" i="10"/>
  <c r="Z586" i="10"/>
  <c r="E586" i="10"/>
  <c r="Z585" i="10"/>
  <c r="E585" i="10"/>
  <c r="Z584" i="10"/>
  <c r="E584" i="10"/>
  <c r="Z583" i="10"/>
  <c r="E583" i="10"/>
  <c r="Z582" i="10"/>
  <c r="E582" i="10"/>
  <c r="Z581" i="10"/>
  <c r="E581" i="10"/>
  <c r="Z580" i="10"/>
  <c r="E580" i="10"/>
  <c r="Z579" i="10"/>
  <c r="E579" i="10"/>
  <c r="Z578" i="10"/>
  <c r="E578" i="10"/>
  <c r="Z577" i="10"/>
  <c r="E577" i="10"/>
  <c r="Z576" i="10"/>
  <c r="E576" i="10"/>
  <c r="Z575" i="10"/>
  <c r="E575" i="10"/>
  <c r="Z574" i="10"/>
  <c r="E574" i="10"/>
  <c r="Z573" i="10"/>
  <c r="E573" i="10"/>
  <c r="Z572" i="10"/>
  <c r="E572" i="10"/>
  <c r="Z571" i="10"/>
  <c r="E571" i="10"/>
  <c r="Z570" i="10"/>
  <c r="E570" i="10"/>
  <c r="Z569" i="10"/>
  <c r="E569" i="10"/>
  <c r="Z568" i="10"/>
  <c r="E568" i="10"/>
  <c r="Z567" i="10"/>
  <c r="E567" i="10"/>
  <c r="Z566" i="10"/>
  <c r="E566" i="10"/>
  <c r="Z565" i="10"/>
  <c r="E565" i="10"/>
  <c r="Z564" i="10"/>
  <c r="E564" i="10"/>
  <c r="Z563" i="10"/>
  <c r="E563" i="10"/>
  <c r="Z562" i="10"/>
  <c r="E562" i="10"/>
  <c r="Z561" i="10"/>
  <c r="E561" i="10"/>
  <c r="Z560" i="10"/>
  <c r="E560" i="10"/>
  <c r="Z559" i="10"/>
  <c r="E559" i="10"/>
  <c r="Z558" i="10"/>
  <c r="E558" i="10"/>
  <c r="Z557" i="10"/>
  <c r="E557" i="10"/>
  <c r="Z556" i="10"/>
  <c r="E556" i="10"/>
  <c r="Z555" i="10"/>
  <c r="E555" i="10"/>
  <c r="Z554" i="10"/>
  <c r="E554" i="10"/>
  <c r="Z553" i="10"/>
  <c r="E553" i="10"/>
  <c r="Z552" i="10"/>
  <c r="E552" i="10"/>
  <c r="Z551" i="10"/>
  <c r="E551" i="10"/>
  <c r="Z550" i="10"/>
  <c r="E550" i="10"/>
  <c r="Z549" i="10"/>
  <c r="E549" i="10"/>
  <c r="Z548" i="10"/>
  <c r="E548" i="10"/>
  <c r="Z547" i="10"/>
  <c r="E547" i="10"/>
  <c r="Z546" i="10"/>
  <c r="E546" i="10"/>
  <c r="Z545" i="10"/>
  <c r="E545" i="10"/>
  <c r="Z544" i="10"/>
  <c r="E544" i="10"/>
  <c r="Z543" i="10"/>
  <c r="E543" i="10"/>
  <c r="Z542" i="10"/>
  <c r="E542" i="10"/>
  <c r="Z541" i="10"/>
  <c r="E541" i="10"/>
  <c r="Z540" i="10"/>
  <c r="E540" i="10"/>
  <c r="Z539" i="10"/>
  <c r="E539" i="10"/>
  <c r="Z538" i="10"/>
  <c r="E538" i="10"/>
  <c r="Z537" i="10"/>
  <c r="E537" i="10"/>
  <c r="Z536" i="10"/>
  <c r="E536" i="10"/>
  <c r="Z535" i="10"/>
  <c r="E535" i="10"/>
  <c r="Z534" i="10"/>
  <c r="E534" i="10"/>
  <c r="Z533" i="10"/>
  <c r="E533" i="10"/>
  <c r="Z532" i="10"/>
  <c r="E532" i="10"/>
  <c r="Z531" i="10"/>
  <c r="E531" i="10"/>
  <c r="Z530" i="10"/>
  <c r="E530" i="10"/>
  <c r="Z529" i="10"/>
  <c r="E529" i="10"/>
  <c r="Z528" i="10"/>
  <c r="E528" i="10"/>
  <c r="Z527" i="10"/>
  <c r="E527" i="10"/>
  <c r="Z526" i="10"/>
  <c r="E526" i="10"/>
  <c r="Z525" i="10"/>
  <c r="E525" i="10"/>
  <c r="Z524" i="10"/>
  <c r="E524" i="10"/>
  <c r="Z523" i="10"/>
  <c r="E523" i="10"/>
  <c r="Z522" i="10"/>
  <c r="E522" i="10"/>
  <c r="Z521" i="10"/>
  <c r="E521" i="10"/>
  <c r="Z520" i="10"/>
  <c r="E520" i="10"/>
  <c r="Z519" i="10"/>
  <c r="E519" i="10"/>
  <c r="Z518" i="10"/>
  <c r="E518" i="10"/>
  <c r="Z517" i="10"/>
  <c r="E517" i="10"/>
  <c r="Z516" i="10"/>
  <c r="E516" i="10"/>
  <c r="Z515" i="10"/>
  <c r="E515" i="10"/>
  <c r="Z514" i="10"/>
  <c r="E514" i="10"/>
  <c r="Z513" i="10"/>
  <c r="E513" i="10"/>
  <c r="Z512" i="10"/>
  <c r="E512" i="10"/>
  <c r="Z511" i="10"/>
  <c r="E511" i="10"/>
  <c r="Z510" i="10"/>
  <c r="E510" i="10"/>
  <c r="Z509" i="10"/>
  <c r="E509" i="10"/>
  <c r="Z508" i="10"/>
  <c r="E508" i="10"/>
  <c r="Z507" i="10"/>
  <c r="E507" i="10"/>
  <c r="Z506" i="10"/>
  <c r="E506" i="10"/>
  <c r="Z505" i="10"/>
  <c r="E505" i="10"/>
  <c r="Z504" i="10"/>
  <c r="E504" i="10"/>
  <c r="Z503" i="10"/>
  <c r="E503" i="10"/>
  <c r="Z502" i="10"/>
  <c r="E502" i="10"/>
  <c r="Z501" i="10"/>
  <c r="E501" i="10"/>
  <c r="Z500" i="10"/>
  <c r="E500" i="10"/>
  <c r="Z499" i="10"/>
  <c r="E499" i="10"/>
  <c r="Z498" i="10"/>
  <c r="E498" i="10"/>
  <c r="Z497" i="10"/>
  <c r="E497" i="10"/>
  <c r="Z496" i="10"/>
  <c r="E496" i="10"/>
  <c r="Z495" i="10"/>
  <c r="E495" i="10"/>
  <c r="Z494" i="10"/>
  <c r="E494" i="10"/>
  <c r="Z493" i="10"/>
  <c r="E493" i="10"/>
  <c r="Z492" i="10"/>
  <c r="E492" i="10"/>
  <c r="Z491" i="10"/>
  <c r="E491" i="10"/>
  <c r="Z490" i="10"/>
  <c r="E490" i="10"/>
  <c r="Z489" i="10"/>
  <c r="E489" i="10"/>
  <c r="Z488" i="10"/>
  <c r="E488" i="10"/>
  <c r="Z487" i="10"/>
  <c r="E487" i="10"/>
  <c r="Z486" i="10"/>
  <c r="E486" i="10"/>
  <c r="Z485" i="10"/>
  <c r="E485" i="10"/>
  <c r="Z484" i="10"/>
  <c r="E484" i="10"/>
  <c r="Z483" i="10"/>
  <c r="E483" i="10"/>
  <c r="Z482" i="10"/>
  <c r="E482" i="10"/>
  <c r="Z481" i="10"/>
  <c r="E481" i="10"/>
  <c r="Z480" i="10"/>
  <c r="E480" i="10"/>
  <c r="Z479" i="10"/>
  <c r="E479" i="10"/>
  <c r="Z478" i="10"/>
  <c r="E478" i="10"/>
  <c r="Z477" i="10"/>
  <c r="E477" i="10"/>
  <c r="Z476" i="10"/>
  <c r="E476" i="10"/>
  <c r="Z475" i="10"/>
  <c r="E475" i="10"/>
  <c r="Z474" i="10"/>
  <c r="E474" i="10"/>
  <c r="Z473" i="10"/>
  <c r="E473" i="10"/>
  <c r="Z472" i="10"/>
  <c r="E472" i="10"/>
  <c r="Z471" i="10"/>
  <c r="E471" i="10"/>
  <c r="Z470" i="10"/>
  <c r="E470" i="10"/>
  <c r="Z469" i="10"/>
  <c r="E469" i="10"/>
  <c r="Z468" i="10"/>
  <c r="E468" i="10"/>
  <c r="Z467" i="10"/>
  <c r="E467" i="10"/>
  <c r="Z466" i="10"/>
  <c r="E466" i="10"/>
  <c r="Z465" i="10"/>
  <c r="E465" i="10"/>
  <c r="Z464" i="10"/>
  <c r="E464" i="10"/>
  <c r="Z463" i="10"/>
  <c r="E463" i="10"/>
  <c r="Z462" i="10"/>
  <c r="E462" i="10"/>
  <c r="Z461" i="10"/>
  <c r="E461" i="10"/>
  <c r="Z460" i="10"/>
  <c r="E460" i="10"/>
  <c r="Z459" i="10"/>
  <c r="E459" i="10"/>
  <c r="Z458" i="10"/>
  <c r="E458" i="10"/>
  <c r="Z457" i="10"/>
  <c r="E457" i="10"/>
  <c r="Z456" i="10"/>
  <c r="E456" i="10"/>
  <c r="Z455" i="10"/>
  <c r="E455" i="10"/>
  <c r="Z454" i="10"/>
  <c r="E454" i="10"/>
  <c r="Z453" i="10"/>
  <c r="E453" i="10"/>
  <c r="Z452" i="10"/>
  <c r="E452" i="10"/>
  <c r="Z451" i="10"/>
  <c r="E451" i="10"/>
  <c r="Z450" i="10"/>
  <c r="E450" i="10"/>
  <c r="Z449" i="10"/>
  <c r="E449" i="10"/>
  <c r="Z448" i="10"/>
  <c r="E448" i="10"/>
  <c r="Z447" i="10"/>
  <c r="E447" i="10"/>
  <c r="Z446" i="10"/>
  <c r="E446" i="10"/>
  <c r="Z445" i="10"/>
  <c r="E445" i="10"/>
  <c r="Z444" i="10"/>
  <c r="E444" i="10"/>
  <c r="Z443" i="10"/>
  <c r="E443" i="10"/>
  <c r="Z442" i="10"/>
  <c r="E442" i="10"/>
  <c r="Z441" i="10"/>
  <c r="E441" i="10"/>
  <c r="Z440" i="10"/>
  <c r="E440" i="10"/>
  <c r="Z439" i="10"/>
  <c r="E439" i="10"/>
  <c r="Z438" i="10"/>
  <c r="E438" i="10"/>
  <c r="Z437" i="10"/>
  <c r="E437" i="10"/>
  <c r="Z436" i="10"/>
  <c r="E436" i="10"/>
  <c r="Z435" i="10"/>
  <c r="E435" i="10"/>
  <c r="Z434" i="10"/>
  <c r="E434" i="10"/>
  <c r="Z433" i="10"/>
  <c r="E433" i="10"/>
  <c r="Z432" i="10"/>
  <c r="E432" i="10"/>
  <c r="Z431" i="10"/>
  <c r="E431" i="10"/>
  <c r="Z430" i="10"/>
  <c r="E430" i="10"/>
  <c r="Z429" i="10"/>
  <c r="E429" i="10"/>
  <c r="Z428" i="10"/>
  <c r="E428" i="10"/>
  <c r="Z427" i="10"/>
  <c r="E427" i="10"/>
  <c r="Z426" i="10"/>
  <c r="E426" i="10"/>
  <c r="Z425" i="10"/>
  <c r="E425" i="10"/>
  <c r="Z424" i="10"/>
  <c r="E424" i="10"/>
  <c r="Z423" i="10"/>
  <c r="E423" i="10"/>
  <c r="Z422" i="10"/>
  <c r="E422" i="10"/>
  <c r="Z421" i="10"/>
  <c r="E421" i="10"/>
  <c r="Z420" i="10"/>
  <c r="E420" i="10"/>
  <c r="Z419" i="10"/>
  <c r="E419" i="10"/>
  <c r="Z418" i="10"/>
  <c r="E418" i="10"/>
  <c r="Z417" i="10"/>
  <c r="E417" i="10"/>
  <c r="Z416" i="10"/>
  <c r="E416" i="10"/>
  <c r="Z415" i="10"/>
  <c r="E415" i="10"/>
  <c r="Z414" i="10"/>
  <c r="E414" i="10"/>
  <c r="Z413" i="10"/>
  <c r="E413" i="10"/>
  <c r="Z412" i="10"/>
  <c r="E412" i="10"/>
  <c r="Z411" i="10"/>
  <c r="E411" i="10"/>
  <c r="Z410" i="10"/>
  <c r="E410" i="10"/>
  <c r="Z409" i="10"/>
  <c r="E409" i="10"/>
  <c r="Z408" i="10"/>
  <c r="E408" i="10"/>
  <c r="Z407" i="10"/>
  <c r="E407" i="10"/>
  <c r="Z406" i="10"/>
  <c r="E406" i="10"/>
  <c r="Z405" i="10"/>
  <c r="E405" i="10"/>
  <c r="Z404" i="10"/>
  <c r="E404" i="10"/>
  <c r="Z403" i="10"/>
  <c r="E403" i="10"/>
  <c r="Z402" i="10"/>
  <c r="E402" i="10"/>
  <c r="Z401" i="10"/>
  <c r="E401" i="10"/>
  <c r="Z400" i="10"/>
  <c r="E400" i="10"/>
  <c r="Z399" i="10"/>
  <c r="E399" i="10"/>
  <c r="Z398" i="10"/>
  <c r="E398" i="10"/>
  <c r="Z397" i="10"/>
  <c r="E397" i="10"/>
  <c r="Z396" i="10"/>
  <c r="E396" i="10"/>
  <c r="Z395" i="10"/>
  <c r="E395" i="10"/>
  <c r="Z394" i="10"/>
  <c r="E394" i="10"/>
  <c r="Z393" i="10"/>
  <c r="E393" i="10"/>
  <c r="Z392" i="10"/>
  <c r="E392" i="10"/>
  <c r="Z391" i="10"/>
  <c r="E391" i="10"/>
  <c r="Z390" i="10"/>
  <c r="E390" i="10"/>
  <c r="Z389" i="10"/>
  <c r="E389" i="10"/>
  <c r="Z388" i="10"/>
  <c r="E388" i="10"/>
  <c r="Z387" i="10"/>
  <c r="E387" i="10"/>
  <c r="Z386" i="10"/>
  <c r="E386" i="10"/>
  <c r="Z385" i="10"/>
  <c r="E385" i="10"/>
  <c r="Z384" i="10"/>
  <c r="E384" i="10"/>
  <c r="Z383" i="10"/>
  <c r="E383" i="10"/>
  <c r="Z382" i="10"/>
  <c r="E382" i="10"/>
  <c r="Z381" i="10"/>
  <c r="E381" i="10"/>
  <c r="Z380" i="10"/>
  <c r="E380" i="10"/>
  <c r="Z379" i="10"/>
  <c r="E379" i="10"/>
  <c r="Z378" i="10"/>
  <c r="E378" i="10"/>
  <c r="Z377" i="10"/>
  <c r="E377" i="10"/>
  <c r="Z376" i="10"/>
  <c r="E376" i="10"/>
  <c r="Z375" i="10"/>
  <c r="E375" i="10"/>
  <c r="Z374" i="10"/>
  <c r="E374" i="10"/>
  <c r="Z373" i="10"/>
  <c r="E373" i="10"/>
  <c r="Z372" i="10"/>
  <c r="E372" i="10"/>
  <c r="Z371" i="10"/>
  <c r="E371" i="10"/>
  <c r="Z370" i="10"/>
  <c r="E370" i="10"/>
  <c r="Z369" i="10"/>
  <c r="E369" i="10"/>
  <c r="Z368" i="10"/>
  <c r="E368" i="10"/>
  <c r="Z367" i="10"/>
  <c r="E367" i="10"/>
  <c r="Z366" i="10"/>
  <c r="E366" i="10"/>
  <c r="Z365" i="10"/>
  <c r="E365" i="10"/>
  <c r="Z364" i="10"/>
  <c r="E364" i="10"/>
  <c r="Z363" i="10"/>
  <c r="E363" i="10"/>
  <c r="Z362" i="10"/>
  <c r="E362" i="10"/>
  <c r="Z361" i="10"/>
  <c r="E361" i="10"/>
  <c r="Z360" i="10"/>
  <c r="E360" i="10"/>
  <c r="Z359" i="10"/>
  <c r="E359" i="10"/>
  <c r="Z358" i="10"/>
  <c r="E358" i="10"/>
  <c r="Z357" i="10"/>
  <c r="E357" i="10"/>
  <c r="Z356" i="10"/>
  <c r="E356" i="10"/>
  <c r="Z355" i="10"/>
  <c r="E355" i="10"/>
  <c r="Z354" i="10"/>
  <c r="E354" i="10"/>
  <c r="Z353" i="10"/>
  <c r="E353" i="10"/>
  <c r="Z352" i="10"/>
  <c r="E352" i="10"/>
  <c r="Z351" i="10"/>
  <c r="E351" i="10"/>
  <c r="Z350" i="10"/>
  <c r="E350" i="10"/>
  <c r="Z349" i="10"/>
  <c r="E349" i="10"/>
  <c r="Z348" i="10"/>
  <c r="E348" i="10"/>
  <c r="Z347" i="10"/>
  <c r="E347" i="10"/>
  <c r="Z346" i="10"/>
  <c r="E346" i="10"/>
  <c r="Z345" i="10"/>
  <c r="E345" i="10"/>
  <c r="Z344" i="10"/>
  <c r="E344" i="10"/>
  <c r="Z343" i="10"/>
  <c r="E343" i="10"/>
  <c r="Z342" i="10"/>
  <c r="E342" i="10"/>
  <c r="Z341" i="10"/>
  <c r="E341" i="10"/>
  <c r="Z340" i="10"/>
  <c r="E340" i="10"/>
  <c r="Z339" i="10"/>
  <c r="E339" i="10"/>
  <c r="Z338" i="10"/>
  <c r="E338" i="10"/>
  <c r="Z337" i="10"/>
  <c r="E337" i="10"/>
  <c r="Z336" i="10"/>
  <c r="E336" i="10"/>
  <c r="Z335" i="10"/>
  <c r="E335" i="10"/>
  <c r="Z334" i="10"/>
  <c r="E334" i="10"/>
  <c r="Z333" i="10"/>
  <c r="E333" i="10"/>
  <c r="Z332" i="10"/>
  <c r="E332" i="10"/>
  <c r="Z331" i="10"/>
  <c r="E331" i="10"/>
  <c r="Z330" i="10"/>
  <c r="E330" i="10"/>
  <c r="Z329" i="10"/>
  <c r="E329" i="10"/>
  <c r="Z328" i="10"/>
  <c r="E328" i="10"/>
  <c r="Z327" i="10"/>
  <c r="E327" i="10"/>
  <c r="Z326" i="10"/>
  <c r="E326" i="10"/>
  <c r="Z325" i="10"/>
  <c r="E325" i="10"/>
  <c r="Z324" i="10"/>
  <c r="E324" i="10"/>
  <c r="Z323" i="10"/>
  <c r="E323" i="10"/>
  <c r="Z322" i="10"/>
  <c r="E322" i="10"/>
  <c r="Z321" i="10"/>
  <c r="E321" i="10"/>
  <c r="Z320" i="10"/>
  <c r="E320" i="10"/>
  <c r="Z319" i="10"/>
  <c r="E319" i="10"/>
  <c r="Z318" i="10"/>
  <c r="E318" i="10"/>
  <c r="Z317" i="10"/>
  <c r="E317" i="10"/>
  <c r="Z316" i="10"/>
  <c r="E316" i="10"/>
  <c r="Z315" i="10"/>
  <c r="E315" i="10"/>
  <c r="Z314" i="10"/>
  <c r="E314" i="10"/>
  <c r="Z313" i="10"/>
  <c r="E313" i="10"/>
  <c r="Z312" i="10"/>
  <c r="E312" i="10"/>
  <c r="Z311" i="10"/>
  <c r="E311" i="10"/>
  <c r="Z310" i="10"/>
  <c r="E310" i="10"/>
  <c r="Z309" i="10"/>
  <c r="E309" i="10"/>
  <c r="Z308" i="10"/>
  <c r="E308" i="10"/>
  <c r="Z307" i="10"/>
  <c r="E307" i="10"/>
  <c r="Z306" i="10"/>
  <c r="E306" i="10"/>
  <c r="Z305" i="10"/>
  <c r="E305" i="10"/>
  <c r="Z304" i="10"/>
  <c r="E304" i="10"/>
  <c r="Z303" i="10"/>
  <c r="E303" i="10"/>
  <c r="Z302" i="10"/>
  <c r="E302" i="10"/>
  <c r="Z301" i="10"/>
  <c r="E301" i="10"/>
  <c r="Z300" i="10"/>
  <c r="E300" i="10"/>
  <c r="Z299" i="10"/>
  <c r="E299" i="10"/>
  <c r="Z298" i="10"/>
  <c r="E298" i="10"/>
  <c r="Z297" i="10"/>
  <c r="E297" i="10"/>
  <c r="Z296" i="10"/>
  <c r="E296" i="10"/>
  <c r="Z295" i="10"/>
  <c r="E295" i="10"/>
  <c r="Z294" i="10"/>
  <c r="E294" i="10"/>
  <c r="Z293" i="10"/>
  <c r="E293" i="10"/>
  <c r="Z292" i="10"/>
  <c r="E292" i="10"/>
  <c r="Z291" i="10"/>
  <c r="E291" i="10"/>
  <c r="Z290" i="10"/>
  <c r="E290" i="10"/>
  <c r="Z289" i="10"/>
  <c r="E289" i="10"/>
  <c r="Z288" i="10"/>
  <c r="E288" i="10"/>
  <c r="Z287" i="10"/>
  <c r="E287" i="10"/>
  <c r="Z286" i="10"/>
  <c r="E286" i="10"/>
  <c r="Z285" i="10"/>
  <c r="E285" i="10"/>
  <c r="Z284" i="10"/>
  <c r="E284" i="10"/>
  <c r="Z283" i="10"/>
  <c r="E283" i="10"/>
  <c r="Z282" i="10"/>
  <c r="E282" i="10"/>
  <c r="Z281" i="10"/>
  <c r="E281" i="10"/>
  <c r="Z280" i="10"/>
  <c r="E280" i="10"/>
  <c r="Z279" i="10"/>
  <c r="E279" i="10"/>
  <c r="Z278" i="10"/>
  <c r="E278" i="10"/>
  <c r="Z277" i="10"/>
  <c r="E277" i="10"/>
  <c r="Z276" i="10"/>
  <c r="E276" i="10"/>
  <c r="Z275" i="10"/>
  <c r="E275" i="10"/>
  <c r="Z274" i="10"/>
  <c r="E274" i="10"/>
  <c r="Z273" i="10"/>
  <c r="E273" i="10"/>
  <c r="Z272" i="10"/>
  <c r="E272" i="10"/>
  <c r="Z271" i="10"/>
  <c r="E271" i="10"/>
  <c r="Z270" i="10"/>
  <c r="E270" i="10"/>
  <c r="Z269" i="10"/>
  <c r="E269" i="10"/>
  <c r="Z268" i="10"/>
  <c r="E268" i="10"/>
  <c r="Z267" i="10"/>
  <c r="E267" i="10"/>
  <c r="Z266" i="10"/>
  <c r="E266" i="10"/>
  <c r="Z265" i="10"/>
  <c r="E265" i="10"/>
  <c r="Z264" i="10"/>
  <c r="E264" i="10"/>
  <c r="Z263" i="10"/>
  <c r="E263" i="10"/>
  <c r="Z262" i="10"/>
  <c r="E262" i="10"/>
  <c r="Z261" i="10"/>
  <c r="E261" i="10"/>
  <c r="Z260" i="10"/>
  <c r="E260" i="10"/>
  <c r="Z259" i="10"/>
  <c r="E259" i="10"/>
  <c r="Z258" i="10"/>
  <c r="E258" i="10"/>
  <c r="Z257" i="10"/>
  <c r="E257" i="10"/>
  <c r="Z256" i="10"/>
  <c r="E256" i="10"/>
  <c r="Z255" i="10"/>
  <c r="E255" i="10"/>
  <c r="Z254" i="10"/>
  <c r="E254" i="10"/>
  <c r="Z253" i="10"/>
  <c r="E253" i="10"/>
  <c r="Z252" i="10"/>
  <c r="E252" i="10"/>
  <c r="Z251" i="10"/>
  <c r="E251" i="10"/>
  <c r="Z250" i="10"/>
  <c r="E250" i="10"/>
  <c r="Z249" i="10"/>
  <c r="E249" i="10"/>
  <c r="Z248" i="10"/>
  <c r="E248" i="10"/>
  <c r="Z247" i="10"/>
  <c r="E247" i="10"/>
  <c r="Z246" i="10"/>
  <c r="E246" i="10"/>
  <c r="Z245" i="10"/>
  <c r="E245" i="10"/>
  <c r="Z244" i="10"/>
  <c r="E244" i="10"/>
  <c r="Z243" i="10"/>
  <c r="E243" i="10"/>
  <c r="Z242" i="10"/>
  <c r="E242" i="10"/>
  <c r="Z241" i="10"/>
  <c r="E241" i="10"/>
  <c r="Z240" i="10"/>
  <c r="E240" i="10"/>
  <c r="Z239" i="10"/>
  <c r="E239" i="10"/>
  <c r="Z238" i="10"/>
  <c r="E238" i="10"/>
  <c r="Z237" i="10"/>
  <c r="E237" i="10"/>
  <c r="Z236" i="10"/>
  <c r="E236" i="10"/>
  <c r="Z235" i="10"/>
  <c r="E235" i="10"/>
  <c r="Z234" i="10"/>
  <c r="E234" i="10"/>
  <c r="Z233" i="10"/>
  <c r="E233" i="10"/>
  <c r="Z232" i="10"/>
  <c r="E232" i="10"/>
  <c r="Z231" i="10"/>
  <c r="E231" i="10"/>
  <c r="Z230" i="10"/>
  <c r="E230" i="10"/>
  <c r="Z229" i="10"/>
  <c r="E229" i="10"/>
  <c r="Z228" i="10"/>
  <c r="E228" i="10"/>
  <c r="Z227" i="10"/>
  <c r="E227" i="10"/>
  <c r="Z226" i="10"/>
  <c r="E226" i="10"/>
  <c r="Z225" i="10"/>
  <c r="E225" i="10"/>
  <c r="Z224" i="10"/>
  <c r="E224" i="10"/>
  <c r="Z223" i="10"/>
  <c r="E223" i="10"/>
  <c r="Z222" i="10"/>
  <c r="E222" i="10"/>
  <c r="Z221" i="10"/>
  <c r="E221" i="10"/>
  <c r="Z220" i="10"/>
  <c r="E220" i="10"/>
  <c r="Z219" i="10"/>
  <c r="E219" i="10"/>
  <c r="Z218" i="10"/>
  <c r="E218" i="10"/>
  <c r="Z217" i="10"/>
  <c r="E217" i="10"/>
  <c r="Z216" i="10"/>
  <c r="E216" i="10"/>
  <c r="Z215" i="10"/>
  <c r="E215" i="10"/>
  <c r="Z214" i="10"/>
  <c r="E214" i="10"/>
  <c r="Z213" i="10"/>
  <c r="E213" i="10"/>
  <c r="Z212" i="10"/>
  <c r="E212" i="10"/>
  <c r="Z211" i="10"/>
  <c r="E211" i="10"/>
  <c r="Z210" i="10"/>
  <c r="E210" i="10"/>
  <c r="Z209" i="10"/>
  <c r="E209" i="10"/>
  <c r="Z208" i="10"/>
  <c r="E208" i="10"/>
  <c r="Z207" i="10"/>
  <c r="E207" i="10"/>
  <c r="Z206" i="10"/>
  <c r="E206" i="10"/>
  <c r="Z205" i="10"/>
  <c r="E205" i="10"/>
  <c r="Z204" i="10"/>
  <c r="E204" i="10"/>
  <c r="Z203" i="10"/>
  <c r="E203" i="10"/>
  <c r="Z202" i="10"/>
  <c r="E202" i="10"/>
  <c r="Z201" i="10"/>
  <c r="E201" i="10"/>
  <c r="Z200" i="10"/>
  <c r="E200" i="10"/>
  <c r="Z199" i="10"/>
  <c r="E199" i="10"/>
  <c r="Z198" i="10"/>
  <c r="E198" i="10"/>
  <c r="Z197" i="10"/>
  <c r="E197" i="10"/>
  <c r="Z196" i="10"/>
  <c r="E196" i="10"/>
  <c r="Z195" i="10"/>
  <c r="E195" i="10"/>
  <c r="Z194" i="10"/>
  <c r="E194" i="10"/>
  <c r="Z193" i="10"/>
  <c r="E193" i="10"/>
  <c r="Z192" i="10"/>
  <c r="E192" i="10"/>
  <c r="Z191" i="10"/>
  <c r="E191" i="10"/>
  <c r="Z190" i="10"/>
  <c r="E190" i="10"/>
  <c r="Z189" i="10"/>
  <c r="E189" i="10"/>
  <c r="Z188" i="10"/>
  <c r="E188" i="10"/>
  <c r="Z187" i="10"/>
  <c r="E187" i="10"/>
  <c r="Z186" i="10"/>
  <c r="E186" i="10"/>
  <c r="Z185" i="10"/>
  <c r="E185" i="10"/>
  <c r="Z184" i="10"/>
  <c r="E184" i="10"/>
  <c r="Z183" i="10"/>
  <c r="E183" i="10"/>
  <c r="Z182" i="10"/>
  <c r="E182" i="10"/>
  <c r="Z181" i="10"/>
  <c r="E181" i="10"/>
  <c r="Z180" i="10"/>
  <c r="E180" i="10"/>
  <c r="Z179" i="10"/>
  <c r="E179" i="10"/>
  <c r="Z178" i="10"/>
  <c r="E178" i="10"/>
  <c r="Z177" i="10"/>
  <c r="E177" i="10"/>
  <c r="Z176" i="10"/>
  <c r="E176" i="10"/>
  <c r="Z175" i="10"/>
  <c r="E175" i="10"/>
  <c r="Z174" i="10"/>
  <c r="E174" i="10"/>
  <c r="Z173" i="10"/>
  <c r="E173" i="10"/>
  <c r="Z172" i="10"/>
  <c r="E172" i="10"/>
  <c r="Z171" i="10"/>
  <c r="E171" i="10"/>
  <c r="Z170" i="10"/>
  <c r="E170" i="10"/>
  <c r="Z169" i="10"/>
  <c r="E169" i="10"/>
  <c r="Z168" i="10"/>
  <c r="E168" i="10"/>
  <c r="Z167" i="10"/>
  <c r="E167" i="10"/>
  <c r="Z166" i="10"/>
  <c r="E166" i="10"/>
  <c r="Z165" i="10"/>
  <c r="E165" i="10"/>
  <c r="Z164" i="10"/>
  <c r="E164" i="10"/>
  <c r="Z163" i="10"/>
  <c r="E163" i="10"/>
  <c r="Z162" i="10"/>
  <c r="E162" i="10"/>
  <c r="Z161" i="10"/>
  <c r="E161" i="10"/>
  <c r="Z160" i="10"/>
  <c r="E160" i="10"/>
  <c r="Z159" i="10"/>
  <c r="E159" i="10"/>
  <c r="Z158" i="10"/>
  <c r="E158" i="10"/>
  <c r="Z157" i="10"/>
  <c r="E157" i="10"/>
  <c r="Z156" i="10"/>
  <c r="E156" i="10"/>
  <c r="Z155" i="10"/>
  <c r="E155" i="10"/>
  <c r="Z154" i="10"/>
  <c r="E154" i="10"/>
  <c r="Z153" i="10"/>
  <c r="E153" i="10"/>
  <c r="Z152" i="10"/>
  <c r="E152" i="10"/>
  <c r="Z151" i="10"/>
  <c r="E151" i="10"/>
  <c r="Z150" i="10"/>
  <c r="E150" i="10"/>
  <c r="Z149" i="10"/>
  <c r="E149" i="10"/>
  <c r="Z148" i="10"/>
  <c r="E148" i="10"/>
  <c r="Z147" i="10"/>
  <c r="E147" i="10"/>
  <c r="Z146" i="10"/>
  <c r="E146" i="10"/>
  <c r="Z145" i="10"/>
  <c r="E145" i="10"/>
  <c r="Z144" i="10"/>
  <c r="E144" i="10"/>
  <c r="Z143" i="10"/>
  <c r="E143" i="10"/>
  <c r="Z142" i="10"/>
  <c r="E142" i="10"/>
  <c r="Z141" i="10"/>
  <c r="E141" i="10"/>
  <c r="Z140" i="10"/>
  <c r="E140" i="10"/>
  <c r="Z139" i="10"/>
  <c r="E139" i="10"/>
  <c r="Z138" i="10"/>
  <c r="E138" i="10"/>
  <c r="Z137" i="10"/>
  <c r="E137" i="10"/>
  <c r="Z136" i="10"/>
  <c r="E136" i="10"/>
  <c r="Z135" i="10"/>
  <c r="E135" i="10"/>
  <c r="Z134" i="10"/>
  <c r="E134" i="10"/>
  <c r="Z133" i="10"/>
  <c r="E133" i="10"/>
  <c r="Z132" i="10"/>
  <c r="E132" i="10"/>
  <c r="Z131" i="10"/>
  <c r="E131" i="10"/>
  <c r="Z130" i="10"/>
  <c r="E130" i="10"/>
  <c r="Z129" i="10"/>
  <c r="E129" i="10"/>
  <c r="Z128" i="10"/>
  <c r="E128" i="10"/>
  <c r="Z127" i="10"/>
  <c r="E127" i="10"/>
  <c r="Z126" i="10"/>
  <c r="E126" i="10"/>
  <c r="Z125" i="10"/>
  <c r="E125" i="10"/>
  <c r="Z124" i="10"/>
  <c r="E124" i="10"/>
  <c r="Z123" i="10"/>
  <c r="E123" i="10"/>
  <c r="Z122" i="10"/>
  <c r="E122" i="10"/>
  <c r="Z121" i="10"/>
  <c r="E121" i="10"/>
  <c r="Z120" i="10"/>
  <c r="E120" i="10"/>
  <c r="Z119" i="10"/>
  <c r="E119" i="10"/>
  <c r="Z118" i="10"/>
  <c r="E118" i="10"/>
  <c r="Z117" i="10"/>
  <c r="E117" i="10"/>
  <c r="Z116" i="10"/>
  <c r="E116" i="10"/>
  <c r="Z115" i="10"/>
  <c r="E115" i="10"/>
  <c r="Z114" i="10"/>
  <c r="E114" i="10"/>
  <c r="Z113" i="10"/>
  <c r="E113" i="10"/>
  <c r="Z112" i="10"/>
  <c r="E112" i="10"/>
  <c r="Z111" i="10"/>
  <c r="E111" i="10"/>
  <c r="Z110" i="10"/>
  <c r="E110" i="10"/>
  <c r="Z109" i="10"/>
  <c r="E109" i="10"/>
  <c r="Z108" i="10"/>
  <c r="E108" i="10"/>
  <c r="Z107" i="10"/>
  <c r="E107" i="10"/>
  <c r="Z106" i="10"/>
  <c r="E106" i="10"/>
  <c r="Z105" i="10"/>
  <c r="E105" i="10"/>
  <c r="Z104" i="10"/>
  <c r="E104" i="10"/>
  <c r="Z103" i="10"/>
  <c r="E103" i="10"/>
  <c r="Z102" i="10"/>
  <c r="E102" i="10"/>
  <c r="Z101" i="10"/>
  <c r="E101" i="10"/>
  <c r="Z100" i="10"/>
  <c r="E100" i="10"/>
  <c r="Z99" i="10"/>
  <c r="E99" i="10"/>
  <c r="Z98" i="10"/>
  <c r="E98" i="10"/>
  <c r="Z97" i="10"/>
  <c r="E97" i="10"/>
  <c r="Z96" i="10"/>
  <c r="E96" i="10"/>
  <c r="Z95" i="10"/>
  <c r="E95" i="10"/>
  <c r="Z94" i="10"/>
  <c r="E94" i="10"/>
  <c r="Z93" i="10"/>
  <c r="E93" i="10"/>
  <c r="Z92" i="10"/>
  <c r="E92" i="10"/>
  <c r="Z91" i="10"/>
  <c r="E91" i="10"/>
  <c r="Z90" i="10"/>
  <c r="E90" i="10"/>
  <c r="Z89" i="10"/>
  <c r="E89" i="10"/>
  <c r="Z88" i="10"/>
  <c r="E88" i="10"/>
  <c r="Z87" i="10"/>
  <c r="E87" i="10"/>
  <c r="Z86" i="10"/>
  <c r="E86" i="10"/>
  <c r="Z85" i="10"/>
  <c r="E85" i="10"/>
  <c r="Z84" i="10"/>
  <c r="E84" i="10"/>
  <c r="Z83" i="10"/>
  <c r="E83" i="10"/>
  <c r="Z82" i="10"/>
  <c r="E82" i="10"/>
  <c r="Z81" i="10"/>
  <c r="E81" i="10"/>
  <c r="Z80" i="10"/>
  <c r="E80" i="10"/>
  <c r="Z79" i="10"/>
  <c r="E79" i="10"/>
  <c r="Z78" i="10"/>
  <c r="E78" i="10"/>
  <c r="Z77" i="10"/>
  <c r="E77" i="10"/>
  <c r="Z76" i="10"/>
  <c r="E76" i="10"/>
  <c r="Z75" i="10"/>
  <c r="E75" i="10"/>
  <c r="Z74" i="10"/>
  <c r="E74" i="10"/>
  <c r="Z73" i="10"/>
  <c r="E73" i="10"/>
  <c r="Z72" i="10"/>
  <c r="E72" i="10"/>
  <c r="Z71" i="10"/>
  <c r="E71" i="10"/>
  <c r="Z70" i="10"/>
  <c r="E70" i="10"/>
  <c r="Z69" i="10"/>
  <c r="E69" i="10"/>
  <c r="Z68" i="10"/>
  <c r="E68" i="10"/>
  <c r="Z67" i="10"/>
  <c r="E67" i="10"/>
  <c r="Z66" i="10"/>
  <c r="E66" i="10"/>
  <c r="Z65" i="10"/>
  <c r="E65" i="10"/>
  <c r="Z64" i="10"/>
  <c r="E64" i="10"/>
  <c r="Z63" i="10"/>
  <c r="E63" i="10"/>
  <c r="Z62" i="10"/>
  <c r="E62" i="10"/>
  <c r="Z61" i="10"/>
  <c r="E61" i="10"/>
  <c r="Z60" i="10"/>
  <c r="E60" i="10"/>
  <c r="Z59" i="10"/>
  <c r="E59" i="10"/>
  <c r="Z58" i="10"/>
  <c r="E58" i="10"/>
  <c r="Z57" i="10"/>
  <c r="E57" i="10"/>
  <c r="Z56" i="10"/>
  <c r="E56" i="10"/>
  <c r="Z55" i="10"/>
  <c r="E55" i="10"/>
  <c r="Z54" i="10"/>
  <c r="E54" i="10"/>
  <c r="Z53" i="10"/>
  <c r="E53" i="10"/>
  <c r="Z52" i="10"/>
  <c r="E52" i="10"/>
  <c r="Z51" i="10"/>
  <c r="E51" i="10"/>
  <c r="Z50" i="10"/>
  <c r="E50" i="10"/>
  <c r="Z49" i="10"/>
  <c r="E49" i="10"/>
  <c r="Z48" i="10"/>
  <c r="E48" i="10"/>
  <c r="Z47" i="10"/>
  <c r="E47" i="10"/>
  <c r="Z46" i="10"/>
  <c r="E46" i="10"/>
  <c r="Z45" i="10"/>
  <c r="E45" i="10"/>
  <c r="Z44" i="10"/>
  <c r="E44" i="10"/>
  <c r="Z43" i="10"/>
  <c r="E43" i="10"/>
  <c r="Z42" i="10"/>
  <c r="E42" i="10"/>
  <c r="Z41" i="10"/>
  <c r="E41" i="10"/>
  <c r="Z40" i="10"/>
  <c r="E40" i="10"/>
  <c r="Z39" i="10"/>
  <c r="E39" i="10"/>
  <c r="Z38" i="10"/>
  <c r="E38" i="10"/>
  <c r="Z37" i="10"/>
  <c r="E37" i="10"/>
  <c r="Z36" i="10"/>
  <c r="E36" i="10"/>
  <c r="Z35" i="10"/>
  <c r="E35" i="10"/>
  <c r="Z34" i="10"/>
  <c r="E34" i="10"/>
  <c r="Z33" i="10"/>
  <c r="E33" i="10"/>
  <c r="Z32" i="10"/>
  <c r="E32" i="10"/>
  <c r="Z31" i="10"/>
  <c r="E31" i="10"/>
  <c r="Z30" i="10"/>
  <c r="E30" i="10"/>
  <c r="Z29" i="10"/>
  <c r="E29" i="10"/>
  <c r="Z28" i="10"/>
  <c r="E28" i="10"/>
  <c r="Z27" i="10"/>
  <c r="E27" i="10"/>
  <c r="Z26" i="10"/>
  <c r="E26" i="10"/>
  <c r="Z25" i="10"/>
  <c r="E25" i="10"/>
  <c r="Z24" i="10"/>
  <c r="E24" i="10"/>
  <c r="Z23" i="10"/>
  <c r="E23" i="10"/>
  <c r="Z22" i="10"/>
  <c r="E22" i="10"/>
  <c r="Z21" i="10"/>
  <c r="E21" i="10"/>
  <c r="E19" i="10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CH155" i="8"/>
  <c r="CE155" i="8"/>
  <c r="BV155" i="8"/>
  <c r="BS155" i="8"/>
  <c r="BP155" i="8"/>
  <c r="BM155" i="8"/>
  <c r="BB155" i="8"/>
  <c r="AY155" i="8"/>
  <c r="AV155" i="8"/>
  <c r="AJ155" i="8"/>
  <c r="AG155" i="8"/>
  <c r="AD155" i="8"/>
  <c r="AA155" i="8"/>
  <c r="R155" i="8"/>
  <c r="O155" i="8"/>
  <c r="L155" i="8"/>
  <c r="I155" i="8"/>
  <c r="F155" i="8"/>
  <c r="C155" i="8"/>
  <c r="BE127" i="8"/>
  <c r="BB127" i="8"/>
  <c r="AY127" i="8"/>
  <c r="AV127" i="8"/>
  <c r="AG127" i="8"/>
  <c r="AD127" i="8"/>
  <c r="AA127" i="8"/>
  <c r="X127" i="8"/>
  <c r="U127" i="8"/>
  <c r="BH108" i="8"/>
  <c r="BE108" i="8"/>
  <c r="BB108" i="8"/>
  <c r="AY108" i="8"/>
  <c r="AV108" i="8"/>
  <c r="AD108" i="8"/>
  <c r="AA108" i="8"/>
  <c r="X108" i="8"/>
  <c r="U108" i="8"/>
  <c r="CB80" i="8"/>
  <c r="BY80" i="8"/>
  <c r="BV80" i="8"/>
  <c r="BS80" i="8"/>
  <c r="BP80" i="8"/>
  <c r="BM80" i="8"/>
  <c r="BB80" i="8"/>
  <c r="AV80" i="8"/>
  <c r="AJ80" i="8"/>
  <c r="AG80" i="8"/>
  <c r="AD80" i="8"/>
  <c r="AG78" i="8" s="1"/>
  <c r="AA80" i="8"/>
  <c r="X80" i="8"/>
  <c r="I80" i="8"/>
  <c r="F80" i="8"/>
  <c r="C80" i="8"/>
  <c r="N78" i="8" s="1"/>
  <c r="CH56" i="8"/>
  <c r="CE56" i="8"/>
  <c r="CB56" i="8"/>
  <c r="BY56" i="8"/>
  <c r="BV56" i="8"/>
  <c r="BP56" i="8"/>
  <c r="BM56" i="8"/>
  <c r="BE56" i="8"/>
  <c r="AY56" i="8"/>
  <c r="AV56" i="8"/>
  <c r="AM56" i="8"/>
  <c r="AJ56" i="8"/>
  <c r="AG56" i="8"/>
  <c r="AD56" i="8"/>
  <c r="X56" i="8"/>
  <c r="U56" i="8"/>
  <c r="L56" i="8"/>
  <c r="I56" i="8"/>
  <c r="F56" i="8"/>
  <c r="O53" i="8" s="1"/>
  <c r="C56" i="8"/>
  <c r="BM30" i="8"/>
  <c r="BB30" i="8"/>
  <c r="AY30" i="8"/>
  <c r="AV30" i="8"/>
  <c r="AS30" i="8"/>
  <c r="AP30" i="8"/>
  <c r="AM30" i="8"/>
  <c r="AJ30" i="8"/>
  <c r="AG30" i="8"/>
  <c r="AD30" i="8"/>
  <c r="AA30" i="8"/>
  <c r="X30" i="8"/>
  <c r="U30" i="8"/>
  <c r="Z746" i="7"/>
  <c r="Z743" i="7"/>
  <c r="E743" i="7"/>
  <c r="Z742" i="7"/>
  <c r="E742" i="7"/>
  <c r="Z741" i="7"/>
  <c r="E741" i="7"/>
  <c r="Z740" i="7"/>
  <c r="E740" i="7"/>
  <c r="Z739" i="7"/>
  <c r="E739" i="7"/>
  <c r="Z738" i="7"/>
  <c r="E738" i="7"/>
  <c r="Z737" i="7"/>
  <c r="E737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E576" i="7"/>
  <c r="Z575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E384" i="7"/>
  <c r="Z383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Z741" i="4"/>
  <c r="E741" i="4"/>
  <c r="Z740" i="4"/>
  <c r="E740" i="4"/>
  <c r="Z739" i="4"/>
  <c r="E739" i="4"/>
  <c r="Z738" i="4"/>
  <c r="E738" i="4"/>
  <c r="Z737" i="4"/>
  <c r="E737" i="4"/>
  <c r="Z736" i="4"/>
  <c r="E736" i="4"/>
  <c r="Z735" i="4"/>
  <c r="E735" i="4"/>
  <c r="Z734" i="4"/>
  <c r="E734" i="4"/>
  <c r="Z733" i="4"/>
  <c r="E733" i="4"/>
  <c r="Z732" i="4"/>
  <c r="E732" i="4"/>
  <c r="Z731" i="4"/>
  <c r="E731" i="4"/>
  <c r="Z730" i="4"/>
  <c r="E730" i="4"/>
  <c r="Z729" i="4"/>
  <c r="E729" i="4"/>
  <c r="Z728" i="4"/>
  <c r="E728" i="4"/>
  <c r="Z727" i="4"/>
  <c r="E727" i="4"/>
  <c r="Z726" i="4"/>
  <c r="E726" i="4"/>
  <c r="Z725" i="4"/>
  <c r="E725" i="4"/>
  <c r="Z724" i="4"/>
  <c r="E724" i="4"/>
  <c r="Z723" i="4"/>
  <c r="E723" i="4"/>
  <c r="Z722" i="4"/>
  <c r="E722" i="4"/>
  <c r="Z721" i="4"/>
  <c r="E721" i="4"/>
  <c r="Z720" i="4"/>
  <c r="E720" i="4"/>
  <c r="Z719" i="4"/>
  <c r="E719" i="4"/>
  <c r="Z718" i="4"/>
  <c r="E718" i="4"/>
  <c r="Z717" i="4"/>
  <c r="E717" i="4"/>
  <c r="Z716" i="4"/>
  <c r="E716" i="4"/>
  <c r="Z715" i="4"/>
  <c r="E715" i="4"/>
  <c r="Z714" i="4"/>
  <c r="E714" i="4"/>
  <c r="Z713" i="4"/>
  <c r="E713" i="4"/>
  <c r="Z712" i="4"/>
  <c r="E712" i="4"/>
  <c r="Z711" i="4"/>
  <c r="E711" i="4"/>
  <c r="Z710" i="4"/>
  <c r="E710" i="4"/>
  <c r="Z709" i="4"/>
  <c r="E709" i="4"/>
  <c r="Z708" i="4"/>
  <c r="E708" i="4"/>
  <c r="Z707" i="4"/>
  <c r="E707" i="4"/>
  <c r="Z706" i="4"/>
  <c r="E706" i="4"/>
  <c r="Z705" i="4"/>
  <c r="E705" i="4"/>
  <c r="Z704" i="4"/>
  <c r="E704" i="4"/>
  <c r="Z703" i="4"/>
  <c r="E703" i="4"/>
  <c r="Z702" i="4"/>
  <c r="E702" i="4"/>
  <c r="Z701" i="4"/>
  <c r="E701" i="4"/>
  <c r="Z700" i="4"/>
  <c r="E700" i="4"/>
  <c r="Z699" i="4"/>
  <c r="E699" i="4"/>
  <c r="Z698" i="4"/>
  <c r="E698" i="4"/>
  <c r="Z697" i="4"/>
  <c r="E697" i="4"/>
  <c r="Z696" i="4"/>
  <c r="E696" i="4"/>
  <c r="Z695" i="4"/>
  <c r="E695" i="4"/>
  <c r="Z694" i="4"/>
  <c r="E694" i="4"/>
  <c r="Z693" i="4"/>
  <c r="E693" i="4"/>
  <c r="Z692" i="4"/>
  <c r="E692" i="4"/>
  <c r="Z691" i="4"/>
  <c r="E691" i="4"/>
  <c r="Z690" i="4"/>
  <c r="E690" i="4"/>
  <c r="Z689" i="4"/>
  <c r="E689" i="4"/>
  <c r="Z688" i="4"/>
  <c r="E688" i="4"/>
  <c r="Z687" i="4"/>
  <c r="E687" i="4"/>
  <c r="Z686" i="4"/>
  <c r="E686" i="4"/>
  <c r="Z685" i="4"/>
  <c r="E685" i="4"/>
  <c r="Z684" i="4"/>
  <c r="E684" i="4"/>
  <c r="Z683" i="4"/>
  <c r="E683" i="4"/>
  <c r="Z682" i="4"/>
  <c r="E682" i="4"/>
  <c r="Z681" i="4"/>
  <c r="E681" i="4"/>
  <c r="Z680" i="4"/>
  <c r="E680" i="4"/>
  <c r="Z679" i="4"/>
  <c r="E679" i="4"/>
  <c r="Z678" i="4"/>
  <c r="E678" i="4"/>
  <c r="Z677" i="4"/>
  <c r="E677" i="4"/>
  <c r="Z676" i="4"/>
  <c r="E676" i="4"/>
  <c r="Z675" i="4"/>
  <c r="E675" i="4"/>
  <c r="Z674" i="4"/>
  <c r="E674" i="4"/>
  <c r="Z673" i="4"/>
  <c r="E673" i="4"/>
  <c r="Z672" i="4"/>
  <c r="E672" i="4"/>
  <c r="Z671" i="4"/>
  <c r="E671" i="4"/>
  <c r="Z670" i="4"/>
  <c r="E670" i="4"/>
  <c r="Z669" i="4"/>
  <c r="E669" i="4"/>
  <c r="Z668" i="4"/>
  <c r="E668" i="4"/>
  <c r="Z667" i="4"/>
  <c r="E667" i="4"/>
  <c r="Z666" i="4"/>
  <c r="E666" i="4"/>
  <c r="Z665" i="4"/>
  <c r="E665" i="4"/>
  <c r="Z664" i="4"/>
  <c r="E664" i="4"/>
  <c r="Z663" i="4"/>
  <c r="E663" i="4"/>
  <c r="Z662" i="4"/>
  <c r="E662" i="4"/>
  <c r="Z661" i="4"/>
  <c r="E661" i="4"/>
  <c r="Z660" i="4"/>
  <c r="E660" i="4"/>
  <c r="Z659" i="4"/>
  <c r="E659" i="4"/>
  <c r="Z658" i="4"/>
  <c r="E658" i="4"/>
  <c r="Z657" i="4"/>
  <c r="E657" i="4"/>
  <c r="Z656" i="4"/>
  <c r="E656" i="4"/>
  <c r="Z655" i="4"/>
  <c r="E655" i="4"/>
  <c r="Z654" i="4"/>
  <c r="E654" i="4"/>
  <c r="Z653" i="4"/>
  <c r="E653" i="4"/>
  <c r="Z652" i="4"/>
  <c r="E652" i="4"/>
  <c r="Z651" i="4"/>
  <c r="E651" i="4"/>
  <c r="Z650" i="4"/>
  <c r="E650" i="4"/>
  <c r="Z649" i="4"/>
  <c r="E649" i="4"/>
  <c r="Z648" i="4"/>
  <c r="E648" i="4"/>
  <c r="Z647" i="4"/>
  <c r="E647" i="4"/>
  <c r="Z646" i="4"/>
  <c r="E646" i="4"/>
  <c r="Z645" i="4"/>
  <c r="E645" i="4"/>
  <c r="Z644" i="4"/>
  <c r="E644" i="4"/>
  <c r="Z643" i="4"/>
  <c r="E643" i="4"/>
  <c r="Z642" i="4"/>
  <c r="E642" i="4"/>
  <c r="Z641" i="4"/>
  <c r="E641" i="4"/>
  <c r="Z640" i="4"/>
  <c r="E640" i="4"/>
  <c r="Z639" i="4"/>
  <c r="E639" i="4"/>
  <c r="Z638" i="4"/>
  <c r="E638" i="4"/>
  <c r="Z637" i="4"/>
  <c r="E637" i="4"/>
  <c r="Z636" i="4"/>
  <c r="E636" i="4"/>
  <c r="Z635" i="4"/>
  <c r="E635" i="4"/>
  <c r="Z634" i="4"/>
  <c r="E634" i="4"/>
  <c r="Z633" i="4"/>
  <c r="E633" i="4"/>
  <c r="Z632" i="4"/>
  <c r="E632" i="4"/>
  <c r="Z631" i="4"/>
  <c r="E631" i="4"/>
  <c r="Z630" i="4"/>
  <c r="E630" i="4"/>
  <c r="Z629" i="4"/>
  <c r="E629" i="4"/>
  <c r="Z628" i="4"/>
  <c r="E628" i="4"/>
  <c r="Z627" i="4"/>
  <c r="E627" i="4"/>
  <c r="Z626" i="4"/>
  <c r="E626" i="4"/>
  <c r="Z625" i="4"/>
  <c r="E625" i="4"/>
  <c r="Z624" i="4"/>
  <c r="E624" i="4"/>
  <c r="Z623" i="4"/>
  <c r="E623" i="4"/>
  <c r="Z622" i="4"/>
  <c r="E622" i="4"/>
  <c r="Z621" i="4"/>
  <c r="E621" i="4"/>
  <c r="Z620" i="4"/>
  <c r="E620" i="4"/>
  <c r="Z619" i="4"/>
  <c r="E619" i="4"/>
  <c r="Z618" i="4"/>
  <c r="E618" i="4"/>
  <c r="Z617" i="4"/>
  <c r="E617" i="4"/>
  <c r="Z616" i="4"/>
  <c r="E616" i="4"/>
  <c r="Z615" i="4"/>
  <c r="E615" i="4"/>
  <c r="Z614" i="4"/>
  <c r="E614" i="4"/>
  <c r="Z613" i="4"/>
  <c r="E613" i="4"/>
  <c r="Z612" i="4"/>
  <c r="E612" i="4"/>
  <c r="Z611" i="4"/>
  <c r="E611" i="4"/>
  <c r="Z610" i="4"/>
  <c r="E610" i="4"/>
  <c r="Z609" i="4"/>
  <c r="E609" i="4"/>
  <c r="Z608" i="4"/>
  <c r="E608" i="4"/>
  <c r="Z607" i="4"/>
  <c r="E607" i="4"/>
  <c r="Z606" i="4"/>
  <c r="E606" i="4"/>
  <c r="Z605" i="4"/>
  <c r="E605" i="4"/>
  <c r="Z604" i="4"/>
  <c r="E604" i="4"/>
  <c r="Z603" i="4"/>
  <c r="E603" i="4"/>
  <c r="Z602" i="4"/>
  <c r="E602" i="4"/>
  <c r="Z601" i="4"/>
  <c r="E601" i="4"/>
  <c r="Z600" i="4"/>
  <c r="E600" i="4"/>
  <c r="Z599" i="4"/>
  <c r="E599" i="4"/>
  <c r="Z598" i="4"/>
  <c r="E598" i="4"/>
  <c r="Z597" i="4"/>
  <c r="E597" i="4"/>
  <c r="Z596" i="4"/>
  <c r="E596" i="4"/>
  <c r="Z595" i="4"/>
  <c r="E595" i="4"/>
  <c r="Z594" i="4"/>
  <c r="E594" i="4"/>
  <c r="Z593" i="4"/>
  <c r="E593" i="4"/>
  <c r="Z592" i="4"/>
  <c r="E592" i="4"/>
  <c r="Z591" i="4"/>
  <c r="E591" i="4"/>
  <c r="Z590" i="4"/>
  <c r="E590" i="4"/>
  <c r="Z589" i="4"/>
  <c r="E589" i="4"/>
  <c r="Z588" i="4"/>
  <c r="E588" i="4"/>
  <c r="Z587" i="4"/>
  <c r="E587" i="4"/>
  <c r="Z586" i="4"/>
  <c r="E586" i="4"/>
  <c r="Z585" i="4"/>
  <c r="E585" i="4"/>
  <c r="Z584" i="4"/>
  <c r="E584" i="4"/>
  <c r="Z583" i="4"/>
  <c r="E583" i="4"/>
  <c r="Z582" i="4"/>
  <c r="E582" i="4"/>
  <c r="Z581" i="4"/>
  <c r="E581" i="4"/>
  <c r="Z580" i="4"/>
  <c r="E580" i="4"/>
  <c r="Z579" i="4"/>
  <c r="E579" i="4"/>
  <c r="Z578" i="4"/>
  <c r="E578" i="4"/>
  <c r="Z577" i="4"/>
  <c r="E577" i="4"/>
  <c r="Z576" i="4"/>
  <c r="E576" i="4"/>
  <c r="E575" i="4"/>
  <c r="Z574" i="4"/>
  <c r="E574" i="4"/>
  <c r="Z573" i="4"/>
  <c r="E573" i="4"/>
  <c r="Z572" i="4"/>
  <c r="E572" i="4"/>
  <c r="Z571" i="4"/>
  <c r="E571" i="4"/>
  <c r="Z570" i="4"/>
  <c r="E570" i="4"/>
  <c r="Z569" i="4"/>
  <c r="E569" i="4"/>
  <c r="Z568" i="4"/>
  <c r="E568" i="4"/>
  <c r="Z567" i="4"/>
  <c r="E567" i="4"/>
  <c r="Z566" i="4"/>
  <c r="E566" i="4"/>
  <c r="Z565" i="4"/>
  <c r="E565" i="4"/>
  <c r="Z564" i="4"/>
  <c r="E564" i="4"/>
  <c r="Z563" i="4"/>
  <c r="E563" i="4"/>
  <c r="Z562" i="4"/>
  <c r="E562" i="4"/>
  <c r="Z561" i="4"/>
  <c r="E561" i="4"/>
  <c r="Z560" i="4"/>
  <c r="E560" i="4"/>
  <c r="Z559" i="4"/>
  <c r="E559" i="4"/>
  <c r="Z558" i="4"/>
  <c r="E558" i="4"/>
  <c r="Z557" i="4"/>
  <c r="E557" i="4"/>
  <c r="Z556" i="4"/>
  <c r="E556" i="4"/>
  <c r="Z555" i="4"/>
  <c r="E555" i="4"/>
  <c r="Z554" i="4"/>
  <c r="E554" i="4"/>
  <c r="Z553" i="4"/>
  <c r="E553" i="4"/>
  <c r="Z552" i="4"/>
  <c r="E552" i="4"/>
  <c r="Z551" i="4"/>
  <c r="E551" i="4"/>
  <c r="Z550" i="4"/>
  <c r="E550" i="4"/>
  <c r="Z549" i="4"/>
  <c r="E549" i="4"/>
  <c r="Z548" i="4"/>
  <c r="E548" i="4"/>
  <c r="Z547" i="4"/>
  <c r="E547" i="4"/>
  <c r="Z546" i="4"/>
  <c r="E546" i="4"/>
  <c r="Z545" i="4"/>
  <c r="E545" i="4"/>
  <c r="Z544" i="4"/>
  <c r="E544" i="4"/>
  <c r="Z543" i="4"/>
  <c r="E543" i="4"/>
  <c r="Z542" i="4"/>
  <c r="E542" i="4"/>
  <c r="Z541" i="4"/>
  <c r="E541" i="4"/>
  <c r="Z540" i="4"/>
  <c r="E540" i="4"/>
  <c r="Z539" i="4"/>
  <c r="E539" i="4"/>
  <c r="Z538" i="4"/>
  <c r="E538" i="4"/>
  <c r="Z537" i="4"/>
  <c r="E537" i="4"/>
  <c r="Z536" i="4"/>
  <c r="E536" i="4"/>
  <c r="Z535" i="4"/>
  <c r="E535" i="4"/>
  <c r="Z534" i="4"/>
  <c r="E534" i="4"/>
  <c r="Z533" i="4"/>
  <c r="E533" i="4"/>
  <c r="Z532" i="4"/>
  <c r="E532" i="4"/>
  <c r="Z531" i="4"/>
  <c r="E531" i="4"/>
  <c r="Z530" i="4"/>
  <c r="E530" i="4"/>
  <c r="Z529" i="4"/>
  <c r="E529" i="4"/>
  <c r="Z528" i="4"/>
  <c r="E528" i="4"/>
  <c r="Z527" i="4"/>
  <c r="E527" i="4"/>
  <c r="Z526" i="4"/>
  <c r="E526" i="4"/>
  <c r="Z525" i="4"/>
  <c r="E525" i="4"/>
  <c r="Z524" i="4"/>
  <c r="E524" i="4"/>
  <c r="Z523" i="4"/>
  <c r="E523" i="4"/>
  <c r="Z522" i="4"/>
  <c r="E522" i="4"/>
  <c r="Z521" i="4"/>
  <c r="E521" i="4"/>
  <c r="Z520" i="4"/>
  <c r="E520" i="4"/>
  <c r="Z519" i="4"/>
  <c r="E519" i="4"/>
  <c r="Z518" i="4"/>
  <c r="E518" i="4"/>
  <c r="Z517" i="4"/>
  <c r="E517" i="4"/>
  <c r="Z516" i="4"/>
  <c r="E516" i="4"/>
  <c r="Z515" i="4"/>
  <c r="E515" i="4"/>
  <c r="Z514" i="4"/>
  <c r="E514" i="4"/>
  <c r="Z513" i="4"/>
  <c r="E513" i="4"/>
  <c r="Z512" i="4"/>
  <c r="E512" i="4"/>
  <c r="Z511" i="4"/>
  <c r="E511" i="4"/>
  <c r="Z510" i="4"/>
  <c r="E510" i="4"/>
  <c r="Z509" i="4"/>
  <c r="E509" i="4"/>
  <c r="Z508" i="4"/>
  <c r="E508" i="4"/>
  <c r="Z507" i="4"/>
  <c r="E507" i="4"/>
  <c r="Z506" i="4"/>
  <c r="E506" i="4"/>
  <c r="Z505" i="4"/>
  <c r="E505" i="4"/>
  <c r="Z504" i="4"/>
  <c r="E504" i="4"/>
  <c r="Z503" i="4"/>
  <c r="E503" i="4"/>
  <c r="Z502" i="4"/>
  <c r="E502" i="4"/>
  <c r="Z501" i="4"/>
  <c r="E501" i="4"/>
  <c r="Z500" i="4"/>
  <c r="E500" i="4"/>
  <c r="Z499" i="4"/>
  <c r="E499" i="4"/>
  <c r="Z498" i="4"/>
  <c r="E498" i="4"/>
  <c r="Z497" i="4"/>
  <c r="E497" i="4"/>
  <c r="Z496" i="4"/>
  <c r="E496" i="4"/>
  <c r="Z495" i="4"/>
  <c r="E495" i="4"/>
  <c r="Z494" i="4"/>
  <c r="E494" i="4"/>
  <c r="Z493" i="4"/>
  <c r="E493" i="4"/>
  <c r="Z492" i="4"/>
  <c r="E492" i="4"/>
  <c r="Z491" i="4"/>
  <c r="E491" i="4"/>
  <c r="Z490" i="4"/>
  <c r="E490" i="4"/>
  <c r="Z489" i="4"/>
  <c r="E489" i="4"/>
  <c r="Z488" i="4"/>
  <c r="E488" i="4"/>
  <c r="Z487" i="4"/>
  <c r="E487" i="4"/>
  <c r="Z486" i="4"/>
  <c r="E486" i="4"/>
  <c r="Z485" i="4"/>
  <c r="E485" i="4"/>
  <c r="Z484" i="4"/>
  <c r="E484" i="4"/>
  <c r="Z483" i="4"/>
  <c r="E483" i="4"/>
  <c r="Z482" i="4"/>
  <c r="E482" i="4"/>
  <c r="Z481" i="4"/>
  <c r="E481" i="4"/>
  <c r="Z480" i="4"/>
  <c r="E480" i="4"/>
  <c r="Z479" i="4"/>
  <c r="E479" i="4"/>
  <c r="Z478" i="4"/>
  <c r="E478" i="4"/>
  <c r="Z477" i="4"/>
  <c r="E477" i="4"/>
  <c r="Z476" i="4"/>
  <c r="E476" i="4"/>
  <c r="Z475" i="4"/>
  <c r="E475" i="4"/>
  <c r="Z474" i="4"/>
  <c r="E474" i="4"/>
  <c r="Z473" i="4"/>
  <c r="E473" i="4"/>
  <c r="Z472" i="4"/>
  <c r="E472" i="4"/>
  <c r="Z471" i="4"/>
  <c r="E471" i="4"/>
  <c r="Z470" i="4"/>
  <c r="E470" i="4"/>
  <c r="Z469" i="4"/>
  <c r="E469" i="4"/>
  <c r="Z468" i="4"/>
  <c r="E468" i="4"/>
  <c r="Z467" i="4"/>
  <c r="E467" i="4"/>
  <c r="Z466" i="4"/>
  <c r="E466" i="4"/>
  <c r="Z465" i="4"/>
  <c r="E465" i="4"/>
  <c r="Z464" i="4"/>
  <c r="E464" i="4"/>
  <c r="Z463" i="4"/>
  <c r="E463" i="4"/>
  <c r="Z462" i="4"/>
  <c r="E462" i="4"/>
  <c r="Z461" i="4"/>
  <c r="E461" i="4"/>
  <c r="Z460" i="4"/>
  <c r="E460" i="4"/>
  <c r="Z459" i="4"/>
  <c r="E459" i="4"/>
  <c r="Z458" i="4"/>
  <c r="E458" i="4"/>
  <c r="Z457" i="4"/>
  <c r="E457" i="4"/>
  <c r="Z456" i="4"/>
  <c r="E456" i="4"/>
  <c r="Z455" i="4"/>
  <c r="E455" i="4"/>
  <c r="Z454" i="4"/>
  <c r="E454" i="4"/>
  <c r="Z453" i="4"/>
  <c r="E453" i="4"/>
  <c r="Z452" i="4"/>
  <c r="E452" i="4"/>
  <c r="Z451" i="4"/>
  <c r="E451" i="4"/>
  <c r="Z450" i="4"/>
  <c r="E450" i="4"/>
  <c r="Z449" i="4"/>
  <c r="E449" i="4"/>
  <c r="Z448" i="4"/>
  <c r="E448" i="4"/>
  <c r="Z447" i="4"/>
  <c r="E447" i="4"/>
  <c r="Z446" i="4"/>
  <c r="E446" i="4"/>
  <c r="Z445" i="4"/>
  <c r="E445" i="4"/>
  <c r="Z444" i="4"/>
  <c r="E444" i="4"/>
  <c r="Z443" i="4"/>
  <c r="E443" i="4"/>
  <c r="Z442" i="4"/>
  <c r="E442" i="4"/>
  <c r="Z441" i="4"/>
  <c r="E441" i="4"/>
  <c r="Z440" i="4"/>
  <c r="E440" i="4"/>
  <c r="Z439" i="4"/>
  <c r="E439" i="4"/>
  <c r="Z438" i="4"/>
  <c r="E438" i="4"/>
  <c r="Z437" i="4"/>
  <c r="E437" i="4"/>
  <c r="Z436" i="4"/>
  <c r="E436" i="4"/>
  <c r="Z435" i="4"/>
  <c r="E435" i="4"/>
  <c r="Z434" i="4"/>
  <c r="E434" i="4"/>
  <c r="Z433" i="4"/>
  <c r="E433" i="4"/>
  <c r="Z432" i="4"/>
  <c r="E432" i="4"/>
  <c r="Z431" i="4"/>
  <c r="E431" i="4"/>
  <c r="Z430" i="4"/>
  <c r="E430" i="4"/>
  <c r="Z429" i="4"/>
  <c r="E429" i="4"/>
  <c r="Z428" i="4"/>
  <c r="E428" i="4"/>
  <c r="Z427" i="4"/>
  <c r="E427" i="4"/>
  <c r="Z426" i="4"/>
  <c r="E426" i="4"/>
  <c r="Z425" i="4"/>
  <c r="E425" i="4"/>
  <c r="Z424" i="4"/>
  <c r="E424" i="4"/>
  <c r="Z423" i="4"/>
  <c r="E423" i="4"/>
  <c r="Z422" i="4"/>
  <c r="E422" i="4"/>
  <c r="Z421" i="4"/>
  <c r="E421" i="4"/>
  <c r="Z420" i="4"/>
  <c r="E420" i="4"/>
  <c r="Z419" i="4"/>
  <c r="E419" i="4"/>
  <c r="Z418" i="4"/>
  <c r="E418" i="4"/>
  <c r="Z417" i="4"/>
  <c r="E417" i="4"/>
  <c r="Z416" i="4"/>
  <c r="E416" i="4"/>
  <c r="Z415" i="4"/>
  <c r="E415" i="4"/>
  <c r="Z414" i="4"/>
  <c r="E414" i="4"/>
  <c r="Z413" i="4"/>
  <c r="E413" i="4"/>
  <c r="Z412" i="4"/>
  <c r="E412" i="4"/>
  <c r="Z411" i="4"/>
  <c r="E411" i="4"/>
  <c r="Z410" i="4"/>
  <c r="E410" i="4"/>
  <c r="Z409" i="4"/>
  <c r="E409" i="4"/>
  <c r="Z408" i="4"/>
  <c r="E408" i="4"/>
  <c r="Z407" i="4"/>
  <c r="E407" i="4"/>
  <c r="Z406" i="4"/>
  <c r="E406" i="4"/>
  <c r="Z405" i="4"/>
  <c r="E405" i="4"/>
  <c r="Z404" i="4"/>
  <c r="E404" i="4"/>
  <c r="Z403" i="4"/>
  <c r="E403" i="4"/>
  <c r="Z402" i="4"/>
  <c r="E402" i="4"/>
  <c r="Z401" i="4"/>
  <c r="E401" i="4"/>
  <c r="Z400" i="4"/>
  <c r="E400" i="4"/>
  <c r="Z399" i="4"/>
  <c r="E399" i="4"/>
  <c r="Z398" i="4"/>
  <c r="E398" i="4"/>
  <c r="Z397" i="4"/>
  <c r="E397" i="4"/>
  <c r="Z396" i="4"/>
  <c r="E396" i="4"/>
  <c r="Z395" i="4"/>
  <c r="E395" i="4"/>
  <c r="Z394" i="4"/>
  <c r="E394" i="4"/>
  <c r="Z393" i="4"/>
  <c r="E393" i="4"/>
  <c r="Z392" i="4"/>
  <c r="E392" i="4"/>
  <c r="Z391" i="4"/>
  <c r="E391" i="4"/>
  <c r="Z390" i="4"/>
  <c r="E390" i="4"/>
  <c r="Z389" i="4"/>
  <c r="E389" i="4"/>
  <c r="Z388" i="4"/>
  <c r="E388" i="4"/>
  <c r="Z387" i="4"/>
  <c r="E387" i="4"/>
  <c r="Z386" i="4"/>
  <c r="E386" i="4"/>
  <c r="Z385" i="4"/>
  <c r="E385" i="4"/>
  <c r="Z384" i="4"/>
  <c r="E384" i="4"/>
  <c r="E383" i="4"/>
  <c r="Z382" i="4"/>
  <c r="E382" i="4"/>
  <c r="Z381" i="4"/>
  <c r="E381" i="4"/>
  <c r="Z380" i="4"/>
  <c r="E380" i="4"/>
  <c r="Z379" i="4"/>
  <c r="E379" i="4"/>
  <c r="Z378" i="4"/>
  <c r="E378" i="4"/>
  <c r="Z377" i="4"/>
  <c r="E377" i="4"/>
  <c r="Z376" i="4"/>
  <c r="E376" i="4"/>
  <c r="Z375" i="4"/>
  <c r="E375" i="4"/>
  <c r="Z374" i="4"/>
  <c r="E374" i="4"/>
  <c r="Z373" i="4"/>
  <c r="E373" i="4"/>
  <c r="Z372" i="4"/>
  <c r="E372" i="4"/>
  <c r="Z371" i="4"/>
  <c r="E371" i="4"/>
  <c r="Z370" i="4"/>
  <c r="E370" i="4"/>
  <c r="Z369" i="4"/>
  <c r="E369" i="4"/>
  <c r="Z368" i="4"/>
  <c r="E368" i="4"/>
  <c r="Z367" i="4"/>
  <c r="E367" i="4"/>
  <c r="Z366" i="4"/>
  <c r="E366" i="4"/>
  <c r="Z365" i="4"/>
  <c r="E365" i="4"/>
  <c r="Z364" i="4"/>
  <c r="E364" i="4"/>
  <c r="Z363" i="4"/>
  <c r="E363" i="4"/>
  <c r="Z362" i="4"/>
  <c r="E362" i="4"/>
  <c r="Z361" i="4"/>
  <c r="E361" i="4"/>
  <c r="Z360" i="4"/>
  <c r="E360" i="4"/>
  <c r="Z359" i="4"/>
  <c r="E359" i="4"/>
  <c r="Z358" i="4"/>
  <c r="E358" i="4"/>
  <c r="Z357" i="4"/>
  <c r="E357" i="4"/>
  <c r="Z356" i="4"/>
  <c r="E356" i="4"/>
  <c r="Z355" i="4"/>
  <c r="E355" i="4"/>
  <c r="Z354" i="4"/>
  <c r="E354" i="4"/>
  <c r="Z353" i="4"/>
  <c r="E353" i="4"/>
  <c r="Z352" i="4"/>
  <c r="E352" i="4"/>
  <c r="Z351" i="4"/>
  <c r="E351" i="4"/>
  <c r="Z350" i="4"/>
  <c r="E350" i="4"/>
  <c r="Z349" i="4"/>
  <c r="E349" i="4"/>
  <c r="Z348" i="4"/>
  <c r="E348" i="4"/>
  <c r="Z347" i="4"/>
  <c r="E347" i="4"/>
  <c r="Z346" i="4"/>
  <c r="E346" i="4"/>
  <c r="Z345" i="4"/>
  <c r="E345" i="4"/>
  <c r="Z344" i="4"/>
  <c r="E344" i="4"/>
  <c r="Z343" i="4"/>
  <c r="E343" i="4"/>
  <c r="Z342" i="4"/>
  <c r="E342" i="4"/>
  <c r="Z341" i="4"/>
  <c r="E341" i="4"/>
  <c r="Z340" i="4"/>
  <c r="E340" i="4"/>
  <c r="Z339" i="4"/>
  <c r="E339" i="4"/>
  <c r="Z338" i="4"/>
  <c r="E338" i="4"/>
  <c r="Z337" i="4"/>
  <c r="E337" i="4"/>
  <c r="Z336" i="4"/>
  <c r="E336" i="4"/>
  <c r="Z335" i="4"/>
  <c r="E335" i="4"/>
  <c r="Z334" i="4"/>
  <c r="E334" i="4"/>
  <c r="Z333" i="4"/>
  <c r="E333" i="4"/>
  <c r="Z332" i="4"/>
  <c r="E332" i="4"/>
  <c r="Z331" i="4"/>
  <c r="E331" i="4"/>
  <c r="Z330" i="4"/>
  <c r="E330" i="4"/>
  <c r="Z329" i="4"/>
  <c r="E329" i="4"/>
  <c r="Z328" i="4"/>
  <c r="E328" i="4"/>
  <c r="Z327" i="4"/>
  <c r="E327" i="4"/>
  <c r="Z326" i="4"/>
  <c r="E326" i="4"/>
  <c r="Z325" i="4"/>
  <c r="E325" i="4"/>
  <c r="Z324" i="4"/>
  <c r="E324" i="4"/>
  <c r="Z323" i="4"/>
  <c r="E323" i="4"/>
  <c r="Z322" i="4"/>
  <c r="E322" i="4"/>
  <c r="Z321" i="4"/>
  <c r="E321" i="4"/>
  <c r="Z320" i="4"/>
  <c r="E320" i="4"/>
  <c r="Z319" i="4"/>
  <c r="E319" i="4"/>
  <c r="Z318" i="4"/>
  <c r="E318" i="4"/>
  <c r="Z317" i="4"/>
  <c r="E317" i="4"/>
  <c r="Z316" i="4"/>
  <c r="E316" i="4"/>
  <c r="Z315" i="4"/>
  <c r="E315" i="4"/>
  <c r="Z314" i="4"/>
  <c r="E314" i="4"/>
  <c r="Z313" i="4"/>
  <c r="E313" i="4"/>
  <c r="Z312" i="4"/>
  <c r="E312" i="4"/>
  <c r="Z311" i="4"/>
  <c r="E311" i="4"/>
  <c r="Z310" i="4"/>
  <c r="E310" i="4"/>
  <c r="Z309" i="4"/>
  <c r="E309" i="4"/>
  <c r="Z308" i="4"/>
  <c r="E308" i="4"/>
  <c r="Z307" i="4"/>
  <c r="E307" i="4"/>
  <c r="Z306" i="4"/>
  <c r="E306" i="4"/>
  <c r="Z305" i="4"/>
  <c r="E305" i="4"/>
  <c r="Z304" i="4"/>
  <c r="E304" i="4"/>
  <c r="Z303" i="4"/>
  <c r="E303" i="4"/>
  <c r="Z302" i="4"/>
  <c r="E302" i="4"/>
  <c r="Z301" i="4"/>
  <c r="E301" i="4"/>
  <c r="Z300" i="4"/>
  <c r="E300" i="4"/>
  <c r="Z299" i="4"/>
  <c r="E299" i="4"/>
  <c r="Z298" i="4"/>
  <c r="E298" i="4"/>
  <c r="Z297" i="4"/>
  <c r="E297" i="4"/>
  <c r="Z296" i="4"/>
  <c r="E296" i="4"/>
  <c r="Z295" i="4"/>
  <c r="E295" i="4"/>
  <c r="Z294" i="4"/>
  <c r="E294" i="4"/>
  <c r="Z293" i="4"/>
  <c r="E293" i="4"/>
  <c r="Z292" i="4"/>
  <c r="E292" i="4"/>
  <c r="Z291" i="4"/>
  <c r="E291" i="4"/>
  <c r="Z290" i="4"/>
  <c r="E290" i="4"/>
  <c r="Z289" i="4"/>
  <c r="E289" i="4"/>
  <c r="Z288" i="4"/>
  <c r="E288" i="4"/>
  <c r="Z287" i="4"/>
  <c r="E287" i="4"/>
  <c r="Z286" i="4"/>
  <c r="E286" i="4"/>
  <c r="Z285" i="4"/>
  <c r="E285" i="4"/>
  <c r="Z284" i="4"/>
  <c r="E284" i="4"/>
  <c r="Z283" i="4"/>
  <c r="E283" i="4"/>
  <c r="Z282" i="4"/>
  <c r="E282" i="4"/>
  <c r="Z281" i="4"/>
  <c r="E281" i="4"/>
  <c r="Z280" i="4"/>
  <c r="E280" i="4"/>
  <c r="Z279" i="4"/>
  <c r="E279" i="4"/>
  <c r="Z278" i="4"/>
  <c r="E278" i="4"/>
  <c r="Z277" i="4"/>
  <c r="E277" i="4"/>
  <c r="Z276" i="4"/>
  <c r="E276" i="4"/>
  <c r="Z275" i="4"/>
  <c r="E275" i="4"/>
  <c r="Z274" i="4"/>
  <c r="E274" i="4"/>
  <c r="Z273" i="4"/>
  <c r="E273" i="4"/>
  <c r="Z272" i="4"/>
  <c r="E272" i="4"/>
  <c r="Z271" i="4"/>
  <c r="E271" i="4"/>
  <c r="Z270" i="4"/>
  <c r="E270" i="4"/>
  <c r="Z269" i="4"/>
  <c r="E269" i="4"/>
  <c r="Z268" i="4"/>
  <c r="E268" i="4"/>
  <c r="Z267" i="4"/>
  <c r="E267" i="4"/>
  <c r="Z266" i="4"/>
  <c r="E266" i="4"/>
  <c r="Z265" i="4"/>
  <c r="E265" i="4"/>
  <c r="Z264" i="4"/>
  <c r="E264" i="4"/>
  <c r="Z263" i="4"/>
  <c r="E263" i="4"/>
  <c r="Z262" i="4"/>
  <c r="E262" i="4"/>
  <c r="Z261" i="4"/>
  <c r="E261" i="4"/>
  <c r="Z260" i="4"/>
  <c r="E260" i="4"/>
  <c r="Z259" i="4"/>
  <c r="E259" i="4"/>
  <c r="Z258" i="4"/>
  <c r="E258" i="4"/>
  <c r="Z257" i="4"/>
  <c r="E257" i="4"/>
  <c r="Z256" i="4"/>
  <c r="E256" i="4"/>
  <c r="Z255" i="4"/>
  <c r="E255" i="4"/>
  <c r="Z254" i="4"/>
  <c r="E254" i="4"/>
  <c r="Z253" i="4"/>
  <c r="E253" i="4"/>
  <c r="Z252" i="4"/>
  <c r="E252" i="4"/>
  <c r="Z251" i="4"/>
  <c r="E251" i="4"/>
  <c r="Z250" i="4"/>
  <c r="E250" i="4"/>
  <c r="Z249" i="4"/>
  <c r="E249" i="4"/>
  <c r="Z248" i="4"/>
  <c r="E248" i="4"/>
  <c r="Z247" i="4"/>
  <c r="E247" i="4"/>
  <c r="Z246" i="4"/>
  <c r="E246" i="4"/>
  <c r="Z245" i="4"/>
  <c r="E245" i="4"/>
  <c r="Z244" i="4"/>
  <c r="E244" i="4"/>
  <c r="Z243" i="4"/>
  <c r="E243" i="4"/>
  <c r="Z242" i="4"/>
  <c r="E242" i="4"/>
  <c r="Z241" i="4"/>
  <c r="E241" i="4"/>
  <c r="Z240" i="4"/>
  <c r="E240" i="4"/>
  <c r="Z239" i="4"/>
  <c r="E239" i="4"/>
  <c r="Z238" i="4"/>
  <c r="E238" i="4"/>
  <c r="Z237" i="4"/>
  <c r="E237" i="4"/>
  <c r="Z236" i="4"/>
  <c r="E236" i="4"/>
  <c r="Z235" i="4"/>
  <c r="E235" i="4"/>
  <c r="Z234" i="4"/>
  <c r="E234" i="4"/>
  <c r="Z233" i="4"/>
  <c r="E233" i="4"/>
  <c r="Z232" i="4"/>
  <c r="E232" i="4"/>
  <c r="Z231" i="4"/>
  <c r="E231" i="4"/>
  <c r="Z230" i="4"/>
  <c r="E230" i="4"/>
  <c r="Z229" i="4"/>
  <c r="E229" i="4"/>
  <c r="Z228" i="4"/>
  <c r="E228" i="4"/>
  <c r="Z227" i="4"/>
  <c r="E227" i="4"/>
  <c r="Z226" i="4"/>
  <c r="E226" i="4"/>
  <c r="Z225" i="4"/>
  <c r="E225" i="4"/>
  <c r="Z224" i="4"/>
  <c r="E224" i="4"/>
  <c r="Z223" i="4"/>
  <c r="E223" i="4"/>
  <c r="Z222" i="4"/>
  <c r="E222" i="4"/>
  <c r="Z221" i="4"/>
  <c r="E221" i="4"/>
  <c r="Z220" i="4"/>
  <c r="E220" i="4"/>
  <c r="Z219" i="4"/>
  <c r="E219" i="4"/>
  <c r="Z218" i="4"/>
  <c r="E218" i="4"/>
  <c r="Z217" i="4"/>
  <c r="E217" i="4"/>
  <c r="Z216" i="4"/>
  <c r="E216" i="4"/>
  <c r="Z215" i="4"/>
  <c r="E215" i="4"/>
  <c r="Z214" i="4"/>
  <c r="E214" i="4"/>
  <c r="Z213" i="4"/>
  <c r="E213" i="4"/>
  <c r="Z212" i="4"/>
  <c r="E212" i="4"/>
  <c r="Z211" i="4"/>
  <c r="E211" i="4"/>
  <c r="Z210" i="4"/>
  <c r="E210" i="4"/>
  <c r="Z209" i="4"/>
  <c r="E209" i="4"/>
  <c r="Z208" i="4"/>
  <c r="E208" i="4"/>
  <c r="Z207" i="4"/>
  <c r="E207" i="4"/>
  <c r="Z206" i="4"/>
  <c r="E206" i="4"/>
  <c r="Z205" i="4"/>
  <c r="E205" i="4"/>
  <c r="Z204" i="4"/>
  <c r="E204" i="4"/>
  <c r="Z203" i="4"/>
  <c r="E203" i="4"/>
  <c r="Z202" i="4"/>
  <c r="E202" i="4"/>
  <c r="Z201" i="4"/>
  <c r="E201" i="4"/>
  <c r="Z200" i="4"/>
  <c r="E200" i="4"/>
  <c r="Z199" i="4"/>
  <c r="E199" i="4"/>
  <c r="Z198" i="4"/>
  <c r="E198" i="4"/>
  <c r="Z197" i="4"/>
  <c r="E197" i="4"/>
  <c r="Z196" i="4"/>
  <c r="E196" i="4"/>
  <c r="Z195" i="4"/>
  <c r="E195" i="4"/>
  <c r="Z194" i="4"/>
  <c r="E194" i="4"/>
  <c r="Z193" i="4"/>
  <c r="E193" i="4"/>
  <c r="Z192" i="4"/>
  <c r="E192" i="4"/>
  <c r="Z191" i="4"/>
  <c r="E191" i="4"/>
  <c r="Z190" i="4"/>
  <c r="E190" i="4"/>
  <c r="Z189" i="4"/>
  <c r="E189" i="4"/>
  <c r="Z188" i="4"/>
  <c r="E188" i="4"/>
  <c r="Z187" i="4"/>
  <c r="E187" i="4"/>
  <c r="Z186" i="4"/>
  <c r="E186" i="4"/>
  <c r="Z185" i="4"/>
  <c r="E185" i="4"/>
  <c r="Z184" i="4"/>
  <c r="E184" i="4"/>
  <c r="Z183" i="4"/>
  <c r="E183" i="4"/>
  <c r="Z182" i="4"/>
  <c r="E182" i="4"/>
  <c r="Z181" i="4"/>
  <c r="E181" i="4"/>
  <c r="Z180" i="4"/>
  <c r="E180" i="4"/>
  <c r="Z179" i="4"/>
  <c r="E179" i="4"/>
  <c r="Z178" i="4"/>
  <c r="E178" i="4"/>
  <c r="Z177" i="4"/>
  <c r="E177" i="4"/>
  <c r="Z176" i="4"/>
  <c r="E176" i="4"/>
  <c r="Z175" i="4"/>
  <c r="E175" i="4"/>
  <c r="Z174" i="4"/>
  <c r="E174" i="4"/>
  <c r="Z173" i="4"/>
  <c r="E173" i="4"/>
  <c r="Z172" i="4"/>
  <c r="E172" i="4"/>
  <c r="Z171" i="4"/>
  <c r="E171" i="4"/>
  <c r="Z170" i="4"/>
  <c r="E170" i="4"/>
  <c r="Z169" i="4"/>
  <c r="E169" i="4"/>
  <c r="Z168" i="4"/>
  <c r="E168" i="4"/>
  <c r="Z167" i="4"/>
  <c r="E167" i="4"/>
  <c r="Z166" i="4"/>
  <c r="E166" i="4"/>
  <c r="Z165" i="4"/>
  <c r="E165" i="4"/>
  <c r="Z164" i="4"/>
  <c r="E164" i="4"/>
  <c r="Z163" i="4"/>
  <c r="E163" i="4"/>
  <c r="Z162" i="4"/>
  <c r="E162" i="4"/>
  <c r="Z161" i="4"/>
  <c r="E161" i="4"/>
  <c r="Z160" i="4"/>
  <c r="E160" i="4"/>
  <c r="Z159" i="4"/>
  <c r="E159" i="4"/>
  <c r="Z158" i="4"/>
  <c r="E158" i="4"/>
  <c r="Z157" i="4"/>
  <c r="E157" i="4"/>
  <c r="Z156" i="4"/>
  <c r="E156" i="4"/>
  <c r="Z155" i="4"/>
  <c r="E155" i="4"/>
  <c r="Z154" i="4"/>
  <c r="E154" i="4"/>
  <c r="Z153" i="4"/>
  <c r="E153" i="4"/>
  <c r="Z152" i="4"/>
  <c r="E152" i="4"/>
  <c r="Z151" i="4"/>
  <c r="E151" i="4"/>
  <c r="Z150" i="4"/>
  <c r="E150" i="4"/>
  <c r="Z149" i="4"/>
  <c r="E149" i="4"/>
  <c r="Z148" i="4"/>
  <c r="E148" i="4"/>
  <c r="Z147" i="4"/>
  <c r="E147" i="4"/>
  <c r="Z146" i="4"/>
  <c r="E146" i="4"/>
  <c r="Z145" i="4"/>
  <c r="E145" i="4"/>
  <c r="Z144" i="4"/>
  <c r="E144" i="4"/>
  <c r="Z143" i="4"/>
  <c r="E143" i="4"/>
  <c r="Z142" i="4"/>
  <c r="E142" i="4"/>
  <c r="Z141" i="4"/>
  <c r="E141" i="4"/>
  <c r="Z140" i="4"/>
  <c r="E140" i="4"/>
  <c r="Z139" i="4"/>
  <c r="E139" i="4"/>
  <c r="Z138" i="4"/>
  <c r="E138" i="4"/>
  <c r="Z137" i="4"/>
  <c r="E137" i="4"/>
  <c r="Z136" i="4"/>
  <c r="E136" i="4"/>
  <c r="Z135" i="4"/>
  <c r="E135" i="4"/>
  <c r="Z134" i="4"/>
  <c r="E134" i="4"/>
  <c r="Z133" i="4"/>
  <c r="E133" i="4"/>
  <c r="Z132" i="4"/>
  <c r="E132" i="4"/>
  <c r="Z131" i="4"/>
  <c r="E131" i="4"/>
  <c r="Z130" i="4"/>
  <c r="E130" i="4"/>
  <c r="Z129" i="4"/>
  <c r="E129" i="4"/>
  <c r="Z128" i="4"/>
  <c r="E128" i="4"/>
  <c r="Z127" i="4"/>
  <c r="E127" i="4"/>
  <c r="Z126" i="4"/>
  <c r="E126" i="4"/>
  <c r="Z125" i="4"/>
  <c r="E125" i="4"/>
  <c r="Z124" i="4"/>
  <c r="E124" i="4"/>
  <c r="Z123" i="4"/>
  <c r="E123" i="4"/>
  <c r="Z122" i="4"/>
  <c r="E122" i="4"/>
  <c r="Z121" i="4"/>
  <c r="E121" i="4"/>
  <c r="Z120" i="4"/>
  <c r="E120" i="4"/>
  <c r="Z119" i="4"/>
  <c r="E119" i="4"/>
  <c r="Z118" i="4"/>
  <c r="E118" i="4"/>
  <c r="Z117" i="4"/>
  <c r="E117" i="4"/>
  <c r="Z116" i="4"/>
  <c r="E116" i="4"/>
  <c r="Z115" i="4"/>
  <c r="E115" i="4"/>
  <c r="Z114" i="4"/>
  <c r="E114" i="4"/>
  <c r="Z113" i="4"/>
  <c r="E113" i="4"/>
  <c r="Z112" i="4"/>
  <c r="E112" i="4"/>
  <c r="Z111" i="4"/>
  <c r="E111" i="4"/>
  <c r="Z110" i="4"/>
  <c r="E110" i="4"/>
  <c r="Z109" i="4"/>
  <c r="E109" i="4"/>
  <c r="Z108" i="4"/>
  <c r="E108" i="4"/>
  <c r="Z107" i="4"/>
  <c r="E107" i="4"/>
  <c r="Z106" i="4"/>
  <c r="E106" i="4"/>
  <c r="Z105" i="4"/>
  <c r="E105" i="4"/>
  <c r="Z104" i="4"/>
  <c r="E104" i="4"/>
  <c r="Z103" i="4"/>
  <c r="E103" i="4"/>
  <c r="Z102" i="4"/>
  <c r="E102" i="4"/>
  <c r="Z101" i="4"/>
  <c r="E101" i="4"/>
  <c r="Z100" i="4"/>
  <c r="E100" i="4"/>
  <c r="Z99" i="4"/>
  <c r="E99" i="4"/>
  <c r="Z98" i="4"/>
  <c r="E98" i="4"/>
  <c r="Z97" i="4"/>
  <c r="E97" i="4"/>
  <c r="Z96" i="4"/>
  <c r="E96" i="4"/>
  <c r="Z95" i="4"/>
  <c r="E95" i="4"/>
  <c r="Z94" i="4"/>
  <c r="E94" i="4"/>
  <c r="Z93" i="4"/>
  <c r="E93" i="4"/>
  <c r="Z92" i="4"/>
  <c r="E92" i="4"/>
  <c r="Z91" i="4"/>
  <c r="E91" i="4"/>
  <c r="Z90" i="4"/>
  <c r="E90" i="4"/>
  <c r="Z89" i="4"/>
  <c r="E89" i="4"/>
  <c r="Z88" i="4"/>
  <c r="E88" i="4"/>
  <c r="Z87" i="4"/>
  <c r="E87" i="4"/>
  <c r="Z86" i="4"/>
  <c r="E86" i="4"/>
  <c r="Z85" i="4"/>
  <c r="E85" i="4"/>
  <c r="Z84" i="4"/>
  <c r="E84" i="4"/>
  <c r="Z83" i="4"/>
  <c r="E83" i="4"/>
  <c r="Z82" i="4"/>
  <c r="E82" i="4"/>
  <c r="Z81" i="4"/>
  <c r="E81" i="4"/>
  <c r="Z80" i="4"/>
  <c r="E80" i="4"/>
  <c r="Z79" i="4"/>
  <c r="E79" i="4"/>
  <c r="Z78" i="4"/>
  <c r="E78" i="4"/>
  <c r="Z77" i="4"/>
  <c r="E77" i="4"/>
  <c r="Z76" i="4"/>
  <c r="E76" i="4"/>
  <c r="Z75" i="4"/>
  <c r="E75" i="4"/>
  <c r="Z74" i="4"/>
  <c r="E74" i="4"/>
  <c r="Z73" i="4"/>
  <c r="E73" i="4"/>
  <c r="Z72" i="4"/>
  <c r="E72" i="4"/>
  <c r="Z71" i="4"/>
  <c r="E71" i="4"/>
  <c r="Z70" i="4"/>
  <c r="E70" i="4"/>
  <c r="Z69" i="4"/>
  <c r="E69" i="4"/>
  <c r="Z68" i="4"/>
  <c r="E68" i="4"/>
  <c r="Z67" i="4"/>
  <c r="E67" i="4"/>
  <c r="Z66" i="4"/>
  <c r="E66" i="4"/>
  <c r="Z65" i="4"/>
  <c r="E65" i="4"/>
  <c r="Z64" i="4"/>
  <c r="E64" i="4"/>
  <c r="Z63" i="4"/>
  <c r="E63" i="4"/>
  <c r="Z62" i="4"/>
  <c r="E62" i="4"/>
  <c r="Z61" i="4"/>
  <c r="E61" i="4"/>
  <c r="Z60" i="4"/>
  <c r="E60" i="4"/>
  <c r="Z59" i="4"/>
  <c r="E59" i="4"/>
  <c r="Z58" i="4"/>
  <c r="E58" i="4"/>
  <c r="Z57" i="4"/>
  <c r="E57" i="4"/>
  <c r="Z56" i="4"/>
  <c r="E56" i="4"/>
  <c r="Z55" i="4"/>
  <c r="E55" i="4"/>
  <c r="Z54" i="4"/>
  <c r="E54" i="4"/>
  <c r="Z53" i="4"/>
  <c r="E53" i="4"/>
  <c r="Z52" i="4"/>
  <c r="E52" i="4"/>
  <c r="Z51" i="4"/>
  <c r="E51" i="4"/>
  <c r="Z50" i="4"/>
  <c r="E50" i="4"/>
  <c r="Z49" i="4"/>
  <c r="E49" i="4"/>
  <c r="Z48" i="4"/>
  <c r="E48" i="4"/>
  <c r="Z47" i="4"/>
  <c r="E47" i="4"/>
  <c r="Z46" i="4"/>
  <c r="E46" i="4"/>
  <c r="Z45" i="4"/>
  <c r="E45" i="4"/>
  <c r="Z44" i="4"/>
  <c r="E44" i="4"/>
  <c r="Z43" i="4"/>
  <c r="E43" i="4"/>
  <c r="Z42" i="4"/>
  <c r="E42" i="4"/>
  <c r="Z41" i="4"/>
  <c r="E41" i="4"/>
  <c r="Z40" i="4"/>
  <c r="E40" i="4"/>
  <c r="Z39" i="4"/>
  <c r="E39" i="4"/>
  <c r="Z38" i="4"/>
  <c r="E38" i="4"/>
  <c r="Z37" i="4"/>
  <c r="E37" i="4"/>
  <c r="Z36" i="4"/>
  <c r="E36" i="4"/>
  <c r="Z35" i="4"/>
  <c r="E35" i="4"/>
  <c r="E34" i="4"/>
  <c r="Z33" i="4"/>
  <c r="E33" i="4"/>
  <c r="Z32" i="4"/>
  <c r="E32" i="4"/>
  <c r="Z31" i="4"/>
  <c r="E31" i="4"/>
  <c r="Z30" i="4"/>
  <c r="E30" i="4"/>
  <c r="Z29" i="4"/>
  <c r="E29" i="4"/>
  <c r="Z28" i="4"/>
  <c r="E28" i="4"/>
  <c r="Z27" i="4"/>
  <c r="E27" i="4"/>
  <c r="Z26" i="4"/>
  <c r="E26" i="4"/>
  <c r="Z25" i="4"/>
  <c r="E25" i="4"/>
  <c r="Z24" i="4"/>
  <c r="E24" i="4"/>
  <c r="Z23" i="4"/>
  <c r="E23" i="4"/>
  <c r="Z22" i="4"/>
  <c r="E22" i="4"/>
  <c r="Z21" i="4"/>
  <c r="E21" i="4"/>
  <c r="E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6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sharedStrings.xml><?xml version="1.0" encoding="utf-8"?>
<sst xmlns="http://schemas.openxmlformats.org/spreadsheetml/2006/main" count="79788" uniqueCount="4484">
  <si>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</si>
  <si>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</si>
  <si>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</si>
  <si>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</si>
  <si>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</si>
  <si>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</si>
  <si>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</si>
  <si>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</si>
  <si>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</si>
  <si>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</si>
  <si>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</si>
  <si>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</si>
  <si>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</si>
  <si>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</si>
  <si>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</si>
  <si>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</si>
  <si>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</si>
  <si>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</si>
  <si>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</si>
  <si>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</si>
  <si>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</si>
  <si>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</si>
  <si>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</si>
  <si>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</si>
  <si>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</si>
  <si>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김지연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</si>
  <si>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</si>
  <si>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</si>
  <si>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</si>
  <si>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</si>
  <si>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</si>
  <si>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</si>
  <si>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</si>
  <si>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</si>
  <si>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</si>
  <si>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</si>
  <si>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</si>
  <si>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국내거주</t>
  </si>
  <si>
    <t>장: CIS01</t>
  </si>
  <si>
    <t>부: CIS01</t>
  </si>
  <si>
    <t>부: CIS02</t>
  </si>
  <si>
    <t>자: CIS01
부: CIS03</t>
  </si>
  <si>
    <t>부: CIS04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</si>
  <si>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</si>
  <si>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</si>
  <si>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</si>
  <si>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</si>
  <si>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</si>
  <si>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</si>
  <si>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</si>
  <si>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</si>
  <si>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</si>
  <si>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</si>
  <si>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</si>
  <si>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</si>
  <si>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</si>
  <si>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</si>
  <si>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</si>
  <si>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</si>
  <si>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</si>
  <si>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</si>
  <si>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</si>
  <si>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</si>
  <si>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</si>
  <si>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</si>
  <si>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</si>
  <si>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</si>
  <si>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</si>
  <si>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</si>
  <si>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</si>
  <si>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</si>
  <si>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</si>
  <si>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</si>
  <si>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</si>
  <si>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</si>
  <si>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</si>
  <si>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</si>
  <si>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</si>
  <si>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</si>
  <si>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</si>
  <si>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</si>
  <si>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</si>
  <si>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</si>
  <si>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</si>
  <si>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</si>
  <si>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</si>
  <si>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</si>
  <si>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</si>
  <si>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</si>
  <si>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</si>
  <si>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</si>
  <si>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</si>
  <si>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</si>
  <si>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</si>
  <si>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</si>
  <si>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</si>
  <si>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</si>
  <si>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</si>
  <si>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</si>
  <si>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</si>
  <si>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</si>
  <si>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</si>
  <si>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</si>
  <si>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</si>
  <si>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</si>
  <si>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</si>
  <si>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</si>
  <si>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</si>
  <si>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안양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</si>
  <si>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</si>
  <si>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</si>
  <si>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</si>
  <si>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</si>
  <si>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</si>
  <si>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</si>
  <si>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</si>
  <si>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</si>
  <si>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</si>
  <si>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</si>
  <si>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</si>
  <si>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</si>
  <si>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</si>
  <si>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</si>
  <si>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</si>
  <si>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</si>
  <si>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</si>
  <si>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</si>
  <si>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</si>
  <si>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</si>
  <si>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</si>
  <si>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</si>
  <si>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</si>
  <si>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</si>
  <si>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</si>
  <si>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</si>
  <si>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</si>
  <si>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</si>
  <si>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</si>
  <si>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</si>
  <si>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</si>
  <si>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</si>
  <si>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</si>
  <si>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</si>
  <si>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</si>
  <si>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</si>
  <si>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</si>
  <si>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</si>
  <si>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</si>
  <si>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</si>
  <si>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</si>
  <si>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</si>
  <si>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</si>
  <si>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</si>
  <si>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</si>
  <si>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</si>
  <si>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</si>
  <si>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</si>
  <si>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</si>
  <si>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</si>
  <si>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</si>
  <si>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</si>
  <si>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</si>
  <si>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</si>
  <si>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</si>
  <si>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</si>
  <si>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</si>
  <si>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</si>
  <si>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</si>
  <si>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</si>
  <si>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</si>
  <si>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</si>
  <si>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</si>
  <si>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</si>
  <si>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</si>
  <si>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</si>
  <si>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</si>
  <si>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</si>
  <si>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</si>
  <si>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</si>
  <si>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</si>
  <si>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</si>
  <si>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</si>
  <si>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</si>
  <si>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</si>
  <si>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</si>
  <si>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</si>
  <si>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</si>
  <si>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</si>
  <si>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</si>
  <si>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</si>
  <si>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</si>
  <si>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</si>
  <si>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</si>
  <si>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</si>
  <si>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</si>
  <si>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</si>
  <si>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</si>
  <si>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</si>
  <si>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</si>
  <si>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</si>
  <si>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</si>
  <si>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</si>
  <si>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</si>
  <si>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</si>
  <si>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</si>
  <si>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</si>
  <si>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</si>
  <si>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</si>
  <si>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</si>
  <si>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</si>
  <si>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</si>
  <si>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</si>
  <si>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</si>
  <si>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</si>
  <si>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</si>
  <si>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</si>
  <si>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</si>
  <si>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</si>
  <si>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</si>
  <si>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</si>
  <si>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</si>
  <si>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</si>
  <si>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</si>
  <si>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</si>
  <si>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</si>
  <si>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</si>
  <si>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</si>
  <si>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</si>
  <si>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</si>
  <si>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</si>
  <si>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</si>
  <si>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</si>
  <si>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</si>
  <si>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</si>
  <si>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</si>
  <si>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</si>
  <si>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</si>
  <si>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</si>
  <si>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</si>
  <si>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</si>
  <si>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</si>
  <si>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</si>
  <si>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</si>
  <si>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</si>
  <si>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</si>
  <si>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</si>
  <si>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</si>
  <si>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</si>
  <si>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</si>
  <si>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</si>
  <si>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</si>
  <si>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</si>
  <si>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</si>
  <si>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</si>
  <si>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</si>
  <si>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</si>
  <si>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</si>
  <si>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</si>
  <si>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</si>
  <si>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</si>
  <si>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</si>
  <si>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</si>
  <si>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</si>
  <si>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</si>
  <si>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</si>
  <si>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</si>
  <si>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</si>
  <si>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</si>
  <si>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</si>
  <si>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</si>
  <si>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</si>
  <si>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</si>
  <si>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</si>
  <si>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</si>
  <si>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</si>
  <si>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</si>
  <si>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</si>
  <si>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</si>
  <si>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</si>
  <si>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</si>
  <si>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</si>
  <si>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</si>
  <si>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</si>
  <si>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</si>
  <si>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</si>
  <si>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</si>
  <si>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</si>
  <si>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</si>
  <si>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</si>
  <si>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</si>
  <si>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</si>
  <si>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</si>
  <si>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</si>
  <si>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</si>
  <si>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</si>
  <si>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</si>
  <si>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</si>
  <si>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</si>
  <si>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</si>
  <si>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</si>
  <si>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</si>
  <si>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</si>
  <si>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</si>
  <si>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</si>
  <si>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</si>
  <si>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</si>
  <si>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</si>
  <si>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</si>
  <si>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</si>
  <si>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</si>
  <si>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</si>
  <si>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</si>
  <si>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</si>
  <si>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</si>
  <si>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</si>
  <si>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</si>
  <si>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</si>
  <si>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</si>
  <si>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</si>
  <si>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</si>
  <si>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</si>
  <si>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</si>
  <si>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</si>
  <si>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</si>
  <si>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</si>
  <si>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</si>
  <si>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</si>
  <si>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</si>
  <si>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</si>
  <si>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</si>
  <si>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</si>
  <si>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</si>
  <si>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</si>
  <si>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</si>
  <si>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</si>
  <si>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</si>
  <si>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</si>
  <si>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</si>
  <si>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</si>
  <si>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</si>
  <si>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</si>
  <si>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</si>
  <si>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</si>
  <si>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</si>
  <si>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</si>
  <si>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</si>
  <si>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</si>
  <si>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</si>
  <si>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</si>
  <si>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</si>
  <si>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</si>
  <si>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</si>
  <si>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</si>
  <si>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</si>
  <si>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</si>
  <si>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</si>
  <si>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</si>
  <si>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</si>
  <si>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</si>
  <si>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</si>
  <si>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</si>
  <si>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</si>
  <si>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</si>
  <si>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</si>
  <si>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</si>
  <si>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</si>
  <si>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</si>
  <si>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</si>
  <si>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</si>
  <si>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</si>
  <si>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</si>
  <si>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</si>
  <si>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</si>
  <si>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</si>
  <si>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</si>
  <si>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</si>
  <si>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</si>
  <si>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</si>
  <si>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</si>
  <si>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</si>
  <si>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</si>
  <si>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</si>
  <si>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</si>
  <si>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</si>
  <si>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</si>
  <si>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</si>
  <si>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</si>
  <si>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</si>
  <si>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</si>
  <si>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</si>
  <si>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</si>
  <si>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</si>
  <si>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</si>
  <si>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</si>
  <si>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</si>
  <si>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</si>
  <si>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</si>
  <si>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</si>
  <si>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</si>
  <si>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</si>
  <si>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</si>
  <si>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</si>
  <si>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</si>
  <si>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</si>
  <si>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</si>
  <si>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</si>
  <si>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</si>
  <si>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</si>
  <si>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</si>
  <si>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</si>
  <si>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</si>
  <si>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</si>
  <si>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</si>
  <si>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</si>
  <si>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</si>
  <si>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</si>
  <si>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</si>
  <si>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</si>
  <si>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</si>
  <si>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</si>
  <si>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</si>
  <si>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</si>
  <si>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</si>
  <si>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</si>
  <si>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</si>
  <si>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</si>
  <si>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</si>
  <si>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</si>
  <si>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</si>
  <si>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</si>
  <si>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</si>
  <si>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</si>
  <si>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</si>
  <si>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</si>
  <si>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</si>
  <si>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</si>
  <si>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</si>
  <si>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</si>
  <si>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</si>
  <si>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</si>
  <si>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</si>
  <si>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</si>
  <si>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</si>
  <si>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</si>
  <si>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</si>
  <si>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</si>
  <si>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</si>
  <si>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</si>
  <si>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</si>
  <si>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</si>
  <si>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</si>
  <si>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</si>
  <si>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</si>
  <si>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</si>
  <si>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</si>
  <si>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</si>
  <si>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</si>
  <si>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</si>
  <si>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</si>
  <si>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</si>
  <si>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</si>
  <si>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</si>
  <si>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</si>
  <si>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</si>
  <si>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</si>
  <si>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</si>
  <si>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</si>
  <si>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</si>
  <si>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</si>
  <si>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</si>
  <si>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</si>
  <si>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</si>
  <si>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</si>
  <si>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</si>
  <si>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</si>
  <si>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</si>
  <si>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</si>
  <si>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</si>
  <si>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</si>
  <si>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</si>
  <si>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</si>
  <si>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</si>
  <si>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</si>
  <si>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</si>
  <si>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</si>
  <si>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</si>
  <si>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</si>
  <si>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</si>
  <si>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</si>
  <si>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</si>
  <si>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</si>
  <si>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</si>
  <si>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</si>
  <si>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</si>
  <si>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</si>
  <si>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</si>
  <si>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</si>
  <si>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</si>
  <si>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</si>
  <si>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</si>
  <si>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</si>
  <si>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</si>
  <si>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</si>
  <si>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</si>
  <si>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</si>
  <si>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</si>
  <si>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</si>
  <si>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</si>
  <si>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</si>
  <si>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</si>
  <si>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</si>
  <si>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</si>
  <si>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</si>
  <si>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</si>
  <si>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</si>
  <si>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</si>
  <si>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</si>
  <si>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</si>
  <si>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</si>
  <si>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</si>
  <si>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</si>
  <si>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</si>
  <si>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</si>
  <si>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</si>
  <si>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</si>
  <si>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</si>
  <si>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</si>
  <si>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</si>
  <si>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</si>
  <si>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</si>
  <si>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</si>
  <si>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</si>
  <si>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</si>
  <si>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</si>
  <si>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</si>
  <si>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</si>
  <si>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</si>
  <si>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</si>
  <si>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</si>
  <si>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</si>
  <si>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</si>
  <si>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</si>
  <si>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</si>
  <si>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</si>
  <si>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</si>
  <si>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</si>
  <si>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</si>
  <si>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</si>
  <si>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</si>
  <si>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</si>
  <si>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</si>
  <si>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</si>
  <si>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</si>
  <si>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</si>
  <si>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</si>
  <si>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</si>
  <si>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</si>
  <si>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</si>
  <si>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</si>
  <si>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</si>
  <si>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</si>
  <si>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</si>
  <si>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</si>
  <si>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</si>
  <si>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</si>
  <si>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</si>
  <si>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</si>
  <si>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</si>
  <si>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</si>
  <si>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</si>
  <si>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</si>
  <si>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</si>
  <si>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</si>
  <si>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</si>
  <si>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</si>
  <si>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</si>
  <si>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</si>
  <si>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</si>
  <si>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</si>
  <si>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</si>
  <si>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</si>
  <si>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</si>
  <si>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</si>
  <si>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</si>
  <si>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</si>
  <si>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</si>
  <si>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</si>
  <si>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</si>
  <si>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</si>
  <si>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</si>
  <si>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</si>
  <si>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</si>
  <si>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</si>
  <si>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</si>
  <si>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</si>
  <si>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</si>
  <si>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</si>
  <si>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</si>
  <si>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</si>
  <si>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</si>
  <si>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</si>
  <si>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</si>
  <si>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</si>
  <si>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</si>
  <si>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</si>
  <si>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</si>
  <si>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</si>
  <si>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</si>
  <si>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</si>
  <si>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</si>
  <si>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</si>
  <si>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</si>
  <si>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</si>
  <si>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</si>
  <si>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</si>
  <si>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</si>
  <si>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</si>
  <si>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</si>
  <si>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</si>
  <si>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</si>
  <si>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</si>
  <si>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</si>
  <si>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</si>
  <si>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</si>
  <si>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</si>
  <si>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</si>
  <si>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</si>
  <si>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</si>
  <si>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</si>
  <si>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</si>
  <si>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</si>
  <si>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</si>
  <si>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</si>
  <si>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</si>
  <si>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</si>
  <si>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</si>
  <si>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</si>
  <si>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</si>
  <si>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</si>
  <si>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</si>
  <si>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</si>
  <si>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</si>
  <si>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</si>
  <si>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</si>
  <si>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</si>
  <si>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</si>
  <si>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</si>
  <si>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</si>
  <si>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</si>
  <si>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</si>
  <si>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</si>
  <si>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</si>
  <si>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</si>
  <si>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</si>
  <si>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</si>
  <si>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</si>
  <si>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</si>
  <si>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</si>
  <si>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</si>
  <si>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</si>
  <si>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</si>
  <si>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</si>
  <si>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</si>
  <si>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</si>
  <si>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</si>
  <si>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</si>
  <si>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</si>
  <si>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</si>
  <si>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</si>
  <si>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</si>
  <si>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</si>
  <si>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</si>
  <si>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</si>
  <si>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</si>
  <si>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</si>
  <si>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</si>
  <si>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</si>
  <si>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</si>
  <si>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</si>
  <si>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</si>
  <si>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</si>
  <si>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</si>
  <si>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</si>
  <si>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</si>
  <si>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</si>
  <si>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</si>
  <si>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</si>
  <si>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</si>
  <si>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</si>
  <si>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</si>
  <si>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</si>
  <si>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</si>
  <si>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</si>
  <si>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</si>
  <si>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</si>
  <si>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</si>
  <si>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</si>
  <si>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</si>
  <si>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</si>
  <si>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</si>
  <si>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</si>
  <si>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</si>
  <si>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</si>
  <si>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</si>
  <si>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</si>
  <si>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</si>
  <si>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</si>
  <si>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</si>
  <si>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</si>
  <si>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</si>
  <si>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</si>
  <si>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</si>
  <si>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</si>
  <si>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</si>
  <si>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</si>
  <si>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코노노바옐레나바실리예브나</t>
  </si>
  <si>
    <t>사르다랸사티크우나노브나</t>
  </si>
  <si>
    <t>가브릴로바옐레나알렉세예브나</t>
  </si>
  <si>
    <t>크라스노바옥사나레오니도브나</t>
  </si>
  <si>
    <t>아크마토바마디나마이람베코브나</t>
  </si>
  <si>
    <t>말르쉐브이고리세르게예비치</t>
  </si>
  <si>
    <t>다비도비치리디야니콜라예브나</t>
  </si>
  <si>
    <t>숄루흐바딤</t>
  </si>
  <si>
    <t>오가네샨리디야그르고리브나</t>
  </si>
  <si>
    <t>예기아자르얀소나사하키</t>
  </si>
  <si>
    <t>레비즈카야다리야레오니도브나</t>
  </si>
  <si>
    <t>쿠슈바코바촐폰칼무라토브나</t>
  </si>
  <si>
    <t>크바츄크나데즈다알렉세예브나</t>
  </si>
  <si>
    <t>소히봅보그단페루조비</t>
  </si>
  <si>
    <t>빌로킨발레리야바실리예브나</t>
  </si>
  <si>
    <t>쿠브스키일리야올레고비치</t>
  </si>
  <si>
    <t>골반보그단바실리예비치</t>
  </si>
  <si>
    <t>칠데바예바바길라자기파로브나</t>
  </si>
  <si>
    <t>파블리첸코니나일리니치나</t>
  </si>
  <si>
    <t>이만바예바오른굴자그파로브나</t>
  </si>
  <si>
    <t>레즈니코바타티야나예브게니예브나</t>
  </si>
  <si>
    <t>코체르바예바로자아크라모브나</t>
  </si>
  <si>
    <t>카르나우호바베로니카바실리예브나</t>
  </si>
  <si>
    <t>알리쉐르라헬</t>
  </si>
  <si>
    <t>세먀히나타티야나파블로브나</t>
  </si>
  <si>
    <t>국가별 지역 관할</t>
  </si>
  <si>
    <t>사할린</t>
  </si>
  <si>
    <t>사하공화국 (야쿠티야),야쿠츠크</t>
  </si>
  <si>
    <t>아스타나</t>
  </si>
  <si>
    <t>카라간다</t>
  </si>
  <si>
    <t>해외개척지역</t>
  </si>
  <si>
    <t>벨라루스,폴란드,루마니아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</si>
  <si>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</si>
  <si>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</si>
  <si>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</si>
  <si>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</si>
  <si>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</si>
  <si>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</si>
  <si>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</si>
  <si>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</si>
  <si>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</si>
  <si>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</si>
  <si>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</si>
  <si>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</si>
  <si>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</si>
  <si>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</si>
  <si>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</si>
  <si>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</si>
  <si>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</si>
  <si>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</si>
  <si>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</si>
  <si>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</si>
  <si>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</si>
  <si>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</si>
  <si>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</si>
  <si>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</si>
  <si>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</si>
  <si>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</si>
  <si>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</si>
  <si>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</si>
  <si>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</si>
  <si>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</si>
  <si>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</si>
  <si>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</si>
  <si>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</si>
  <si>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체크2</t>
  </si>
  <si>
    <t>00311023-00027</t>
  </si>
  <si>
    <t>국내성도</t>
  </si>
  <si>
    <t>국내_청년</t>
  </si>
  <si>
    <t>00350330-00205</t>
  </si>
  <si>
    <t>00360527-00006</t>
  </si>
  <si>
    <t>x</t>
  </si>
  <si>
    <t>1구역</t>
  </si>
  <si>
    <t>4청년</t>
  </si>
  <si>
    <t>Дю Юрий</t>
  </si>
  <si>
    <t>남</t>
  </si>
  <si>
    <t>010-3141-8193</t>
  </si>
  <si>
    <t>@DyuYurii</t>
  </si>
  <si>
    <t>문도</t>
  </si>
  <si>
    <t>총회등록</t>
  </si>
  <si>
    <t>한국</t>
  </si>
  <si>
    <t>서울특별시</t>
  </si>
  <si>
    <t>국내_장년</t>
  </si>
  <si>
    <t>국내총괄팀장</t>
  </si>
  <si>
    <t>2장년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</si>
  <si>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</si>
  <si>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</si>
  <si>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</si>
  <si>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</si>
  <si>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</si>
  <si>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</si>
  <si>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</si>
  <si>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</si>
  <si>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</si>
  <si>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</si>
  <si>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00291129-00211</t>
  </si>
  <si>
    <t>해외개척</t>
  </si>
  <si>
    <t>Ким Эдуард</t>
  </si>
  <si>
    <t>010-2426-2496/(1(506)-898-3709)</t>
  </si>
  <si>
    <t>@Edward_cbt</t>
  </si>
  <si>
    <t>우크라이나</t>
  </si>
  <si>
    <t>캐나다</t>
  </si>
  <si>
    <t>프레더릭턴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</si>
  <si>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</si>
  <si>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</si>
  <si>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</si>
  <si>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</si>
  <si>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</si>
  <si>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</si>
  <si>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</si>
  <si>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</si>
  <si>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00390826-00075</t>
  </si>
  <si>
    <t>00371217-01048</t>
  </si>
  <si>
    <t>2구역</t>
  </si>
  <si>
    <t>Ким Сергей Валерьевич</t>
  </si>
  <si>
    <t>010-8441-1728</t>
  </si>
  <si>
    <t>@k_i_m_sergey</t>
  </si>
  <si>
    <t>147-1기</t>
  </si>
  <si>
    <t>Кан Владимир</t>
  </si>
  <si>
    <t>010-5820-6557</t>
  </si>
  <si>
    <t>@kanVladimir7</t>
  </si>
  <si>
    <t>00371218-00469</t>
  </si>
  <si>
    <t>Хан Семён</t>
  </si>
  <si>
    <t>010-8433-2802</t>
  </si>
  <si>
    <t>00390826-00117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</si>
  <si>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</si>
  <si>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</si>
  <si>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</si>
  <si>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</si>
  <si>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</si>
  <si>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</si>
  <si>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</si>
  <si>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</si>
  <si>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</si>
  <si>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</si>
  <si>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</si>
  <si>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</si>
  <si>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</si>
  <si>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</si>
  <si>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</si>
  <si>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</si>
  <si>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</si>
  <si>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</si>
  <si>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</si>
  <si>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</si>
  <si>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신앙유약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</si>
  <si>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</si>
  <si>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</si>
  <si>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</si>
  <si>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</si>
  <si>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</si>
  <si>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</si>
  <si>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</si>
  <si>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00261114-00053</t>
  </si>
  <si>
    <t>국내_부녀</t>
  </si>
  <si>
    <t>00341026-00033</t>
  </si>
  <si>
    <t>임원</t>
  </si>
  <si>
    <t>중복</t>
  </si>
  <si>
    <t>00361031-00487</t>
  </si>
  <si>
    <t>3부녀</t>
  </si>
  <si>
    <t>Цой Лилия</t>
  </si>
  <si>
    <t>여</t>
  </si>
  <si>
    <t>010-7550-5848</t>
  </si>
  <si>
    <t>00310314-00227</t>
  </si>
  <si>
    <t>한옐레나</t>
  </si>
  <si>
    <t>Хан Елена</t>
  </si>
  <si>
    <t>010-8285-1011</t>
  </si>
  <si>
    <t>00311023-00028</t>
  </si>
  <si>
    <t>Пак Елена</t>
  </si>
  <si>
    <t>010-5615-2266</t>
  </si>
  <si>
    <t>00340624-00330</t>
  </si>
  <si>
    <t>Цой Ольга</t>
  </si>
  <si>
    <t>010-2570-6278</t>
  </si>
  <si>
    <t>00280508-00022</t>
  </si>
  <si>
    <t>엘리나바투크흐티나</t>
  </si>
  <si>
    <t>Батухтина Элина</t>
  </si>
  <si>
    <t>010-4593-5238</t>
  </si>
  <si>
    <t>00400227-01392</t>
  </si>
  <si>
    <t>리스베틀라나아나톨리예브나</t>
  </si>
  <si>
    <t>Светлана ЛИ</t>
  </si>
  <si>
    <t>010-2117-9127</t>
  </si>
  <si>
    <t>@Liswetik</t>
  </si>
  <si>
    <t>00400530-00093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</si>
  <si>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</si>
  <si>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</si>
  <si>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</si>
  <si>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</si>
  <si>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</si>
  <si>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</si>
  <si>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00400227-01414</t>
  </si>
  <si>
    <t>Ли Алексина Владиленовна</t>
  </si>
  <si>
    <t>010-4244-3010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</si>
  <si>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</si>
  <si>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</si>
  <si>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</si>
  <si>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</si>
  <si>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</si>
  <si>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</si>
  <si>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</si>
  <si>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</si>
  <si>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</si>
  <si>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</si>
  <si>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</si>
  <si>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</si>
  <si>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</si>
  <si>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</si>
  <si>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</si>
  <si>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</si>
  <si>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</si>
  <si>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</si>
  <si>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</si>
  <si>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</si>
  <si>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</si>
  <si>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</si>
  <si>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</si>
  <si>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00300823-00110</t>
  </si>
  <si>
    <t>김올가</t>
  </si>
  <si>
    <t>Ким Ольга</t>
  </si>
  <si>
    <t>010-2206-1590</t>
  </si>
  <si>
    <t>신앙유약(24/03/27)</t>
  </si>
  <si>
    <t>00390826-00066</t>
  </si>
  <si>
    <t>00270104-00035</t>
  </si>
  <si>
    <t>00290520-00027</t>
  </si>
  <si>
    <t>3구역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</si>
  <si>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</si>
  <si>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</si>
  <si>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</si>
  <si>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</si>
  <si>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</si>
  <si>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</si>
  <si>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</si>
  <si>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</si>
  <si>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</si>
  <si>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</si>
  <si>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</si>
  <si>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</si>
  <si>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</si>
  <si>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</si>
  <si>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</si>
  <si>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</si>
  <si>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</si>
  <si>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</si>
  <si>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</si>
  <si>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</si>
  <si>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</si>
  <si>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</si>
  <si>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</si>
  <si>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</si>
  <si>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</si>
  <si>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</si>
  <si>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</si>
  <si>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</si>
  <si>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</si>
  <si>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</si>
  <si>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</si>
  <si>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</si>
  <si>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</si>
  <si>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</si>
  <si>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</si>
  <si>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</si>
  <si>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</si>
  <si>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</si>
  <si>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00180613-00005</t>
  </si>
  <si>
    <t>4구역</t>
  </si>
  <si>
    <t>010-2058-7374</t>
  </si>
  <si>
    <t>@in2heaven</t>
  </si>
  <si>
    <t>우크라이나(키이우)</t>
  </si>
  <si>
    <t>해외지역강사</t>
  </si>
  <si>
    <t>0교역</t>
  </si>
  <si>
    <t>Ли Джин Мо</t>
  </si>
  <si>
    <t>010-7562-1362</t>
  </si>
  <si>
    <t>@Ciskorea</t>
  </si>
  <si>
    <t>00311023-00025</t>
  </si>
  <si>
    <t>Цой Трофим</t>
  </si>
  <si>
    <t>010-8318-5207</t>
  </si>
  <si>
    <t>00311023-00026</t>
  </si>
  <si>
    <t>Цой Лариса</t>
  </si>
  <si>
    <t>010-8217-5304</t>
  </si>
  <si>
    <t>@Larisa5304</t>
  </si>
  <si>
    <t>00400530-00092</t>
  </si>
  <si>
    <t xml:space="preserve">Пак Моисей </t>
  </si>
  <si>
    <t>010-4074-3821</t>
  </si>
  <si>
    <t>00360830-00342</t>
  </si>
  <si>
    <t>Кузь Ольга</t>
  </si>
  <si>
    <t>010-2186-2669</t>
  </si>
  <si>
    <t>00360423-00596</t>
  </si>
  <si>
    <t>카자흐스탄(알마티)</t>
  </si>
  <si>
    <t>강예카테리나</t>
  </si>
  <si>
    <t>Кан Екатеринa</t>
  </si>
  <si>
    <t>77479550557/010-8088-0311(한국번호)</t>
  </si>
  <si>
    <t>00330526-00005</t>
  </si>
  <si>
    <t>한블라디슬라브</t>
  </si>
  <si>
    <t>Хан Владислав</t>
  </si>
  <si>
    <t>010-7696-1311</t>
  </si>
  <si>
    <t>00281228-00434</t>
  </si>
  <si>
    <t>00230828-00053</t>
  </si>
  <si>
    <t>5구역</t>
  </si>
  <si>
    <t>Хонг Су Жонг</t>
  </si>
  <si>
    <t>010-6406-0466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</si>
  <si>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</si>
  <si>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</si>
  <si>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</si>
  <si>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</si>
  <si>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</si>
  <si>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</si>
  <si>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</si>
  <si>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</si>
  <si>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</si>
  <si>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</si>
  <si>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</si>
  <si>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</si>
  <si>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</si>
  <si>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</si>
  <si>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</si>
  <si>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</si>
  <si>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</si>
  <si>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</si>
  <si>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</si>
  <si>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</si>
  <si>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</si>
  <si>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</si>
  <si>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</si>
  <si>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Хан Сон Ён</t>
  </si>
  <si>
    <t>보안</t>
  </si>
  <si>
    <t>소통을원하면 총서기 및 홍수정 구역장에게 문의</t>
  </si>
  <si>
    <t>00180506-00010</t>
  </si>
  <si>
    <t>6구역</t>
  </si>
  <si>
    <t>국제부교육부장</t>
  </si>
  <si>
    <t>Ким Хён Джин</t>
  </si>
  <si>
    <t>010-2374-8001</t>
  </si>
  <si>
    <t>@JaceyKim</t>
  </si>
  <si>
    <t>00280830-00123</t>
  </si>
  <si>
    <t>국제부청년서기</t>
  </si>
  <si>
    <t>Ли Су Хён</t>
  </si>
  <si>
    <t>010-7183-3854</t>
  </si>
  <si>
    <t>@suhyun2</t>
  </si>
  <si>
    <t>00231128-00010</t>
  </si>
  <si>
    <t>Ким Ван Хи</t>
  </si>
  <si>
    <t>010-9080-1384</t>
  </si>
  <si>
    <t>@wani380328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</si>
  <si>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</si>
  <si>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</si>
  <si>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</si>
  <si>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</si>
  <si>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</si>
  <si>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</si>
  <si>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</si>
  <si>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</si>
  <si>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</si>
  <si>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</si>
  <si>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</si>
  <si>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</si>
  <si>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</si>
  <si>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</si>
  <si>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</si>
  <si>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</si>
  <si>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00240624-00014</t>
  </si>
  <si>
    <t>Пак Ын Хе</t>
  </si>
  <si>
    <t>010-7399-4505</t>
  </si>
  <si>
    <t>00360830-00341</t>
  </si>
  <si>
    <t>차소연</t>
  </si>
  <si>
    <t>00410822-00001</t>
  </si>
  <si>
    <t>7구역</t>
  </si>
  <si>
    <t>Хан Эльза</t>
  </si>
  <si>
    <t>010-8939-1957</t>
  </si>
  <si>
    <t>@han_elza</t>
  </si>
  <si>
    <t>Pak Svetlana Valerlyanovna</t>
  </si>
  <si>
    <t>010-4766-1953</t>
  </si>
  <si>
    <t>D</t>
  </si>
  <si>
    <t>00410822-01058</t>
  </si>
  <si>
    <t>Топоровская Людмила Александровна</t>
  </si>
  <si>
    <t>7-962-121-0324</t>
  </si>
  <si>
    <t>155-3기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</si>
  <si>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</si>
  <si>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</si>
  <si>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</si>
  <si>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</si>
  <si>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</si>
  <si>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</si>
  <si>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케메로보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</si>
  <si>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</si>
  <si>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</si>
  <si>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</si>
  <si>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</si>
  <si>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</si>
  <si>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</si>
  <si>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</si>
  <si>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</si>
  <si>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</si>
  <si>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</si>
  <si>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</si>
  <si>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</si>
  <si>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</si>
  <si>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</si>
  <si>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</si>
  <si>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</si>
  <si>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기획부과장</t>
  </si>
  <si>
    <t>Ким Ё Хван</t>
  </si>
  <si>
    <t>가편성중</t>
  </si>
  <si>
    <t>00230416-00002</t>
  </si>
  <si>
    <t>00350330-00206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</si>
  <si>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</si>
  <si>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</si>
  <si>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</si>
  <si>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</si>
  <si>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</si>
  <si>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</si>
  <si>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</si>
  <si>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</si>
  <si>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</si>
  <si>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</si>
  <si>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</si>
  <si>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</si>
  <si>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</si>
  <si>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</si>
  <si>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</si>
  <si>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</si>
  <si>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</si>
  <si>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</si>
  <si>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</si>
  <si>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</si>
  <si>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</si>
  <si>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</si>
  <si>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</si>
  <si>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00360829-00137</t>
  </si>
  <si>
    <t>Пак Хе Чжу</t>
  </si>
  <si>
    <t>010-6419-3607</t>
  </si>
  <si>
    <t>@HyejuPark</t>
  </si>
  <si>
    <t>가구역편성</t>
  </si>
  <si>
    <t>00310314-00231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</si>
  <si>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</si>
  <si>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</si>
  <si>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</si>
  <si>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</si>
  <si>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</si>
  <si>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</si>
  <si>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</si>
  <si>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</si>
  <si>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</si>
  <si>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</si>
  <si>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</si>
  <si>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</si>
  <si>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</si>
  <si>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</si>
  <si>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00310314-00223</t>
  </si>
  <si>
    <t>Ли Дарья(лидер)</t>
  </si>
  <si>
    <t>7-978-604-30-83</t>
  </si>
  <si>
    <t>@Dariya0609</t>
  </si>
  <si>
    <t>러시아(크림)</t>
  </si>
  <si>
    <t>크림반도 옥탸브리스크</t>
  </si>
  <si>
    <t>Усачев Виктор</t>
  </si>
  <si>
    <t>38)066-167-5845/7978-745-06-30</t>
  </si>
  <si>
    <t>@vikcrimea</t>
  </si>
  <si>
    <t>00310314-00224</t>
  </si>
  <si>
    <t>Моргунова Ольга</t>
  </si>
  <si>
    <t>7978-801-61-93</t>
  </si>
  <si>
    <t>@Omore70</t>
  </si>
  <si>
    <t>크림반도 얄타</t>
  </si>
  <si>
    <t>00371218-00464</t>
  </si>
  <si>
    <t>Щербаков Дмитрий</t>
  </si>
  <si>
    <t>7978-013-80-16</t>
  </si>
  <si>
    <t>@pilegrim2020</t>
  </si>
  <si>
    <t>예이스크</t>
  </si>
  <si>
    <t>00310314-00225</t>
  </si>
  <si>
    <t>Цой Таисия</t>
  </si>
  <si>
    <t>7978-940-32-85</t>
  </si>
  <si>
    <t>@TaisiaTcoj</t>
  </si>
  <si>
    <t>00361031-00504</t>
  </si>
  <si>
    <t>Щербакова Анастасия</t>
  </si>
  <si>
    <t>7-978-816-63-53</t>
  </si>
  <si>
    <t>@nashe80</t>
  </si>
  <si>
    <t>00340624-00329</t>
  </si>
  <si>
    <t>Силина Наталья</t>
  </si>
  <si>
    <t>7978-565-78-36</t>
  </si>
  <si>
    <t>@niknatz</t>
  </si>
  <si>
    <t>00330526-00003</t>
  </si>
  <si>
    <t>Селюн Антонина</t>
  </si>
  <si>
    <t>7978-968-15-02</t>
  </si>
  <si>
    <t>@Selyuntonya</t>
  </si>
  <si>
    <t>00360423-00594</t>
  </si>
  <si>
    <t>Петришина Татьяна</t>
  </si>
  <si>
    <t>7978-509-07-52</t>
  </si>
  <si>
    <t>@Petrishina69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</si>
  <si>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</si>
  <si>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</si>
  <si>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</si>
  <si>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</si>
  <si>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</si>
  <si>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</si>
  <si>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</si>
  <si>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</si>
  <si>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00320813-00003</t>
  </si>
  <si>
    <t>Егиян Валентина</t>
  </si>
  <si>
    <t>7978-738-85-04</t>
  </si>
  <si>
    <t>@valyahiva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</si>
  <si>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</si>
  <si>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</si>
  <si>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</si>
  <si>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</si>
  <si>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</si>
  <si>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</si>
  <si>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</si>
  <si>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</si>
  <si>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</si>
  <si>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</si>
  <si>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</si>
  <si>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</si>
  <si>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</si>
  <si>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</si>
  <si>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</si>
  <si>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00411226-00970</t>
  </si>
  <si>
    <t>Миназова Надежда Николаевна</t>
  </si>
  <si>
    <t>7-952-866-1690</t>
  </si>
  <si>
    <t>@Nadia159</t>
  </si>
  <si>
    <t>크라스노다르</t>
  </si>
  <si>
    <t>00361031-00503</t>
  </si>
  <si>
    <t>00381122-00020</t>
  </si>
  <si>
    <t>Солодовник Андрей</t>
  </si>
  <si>
    <t>7978-135-6921</t>
  </si>
  <si>
    <t>@ andrei1808</t>
  </si>
  <si>
    <t>Воронков Иван</t>
  </si>
  <si>
    <t>7-978-521-33-14</t>
  </si>
  <si>
    <t>@ouroboros1994</t>
  </si>
  <si>
    <t>00360423-00592</t>
  </si>
  <si>
    <t>Канивец Геннадий</t>
  </si>
  <si>
    <t>7-978-1043729</t>
  </si>
  <si>
    <t>@Opin05</t>
  </si>
  <si>
    <t>00371218-00462</t>
  </si>
  <si>
    <t>Осадчий Денис Николаевич</t>
  </si>
  <si>
    <t>7978-685-57-61</t>
  </si>
  <si>
    <t>@Denis_Osadchiy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</si>
  <si>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</si>
  <si>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</si>
  <si>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</si>
  <si>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</si>
  <si>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</si>
  <si>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</si>
  <si>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</si>
  <si>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</si>
  <si>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</si>
  <si>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</si>
  <si>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</si>
  <si>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</si>
  <si>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00320813-00004</t>
  </si>
  <si>
    <t>00381122-00012</t>
  </si>
  <si>
    <t>00381122-00011</t>
  </si>
  <si>
    <t>Майко Маргарита</t>
  </si>
  <si>
    <t>7978-146-80-18</t>
  </si>
  <si>
    <t>@May_ko18</t>
  </si>
  <si>
    <t>Власюк Алла</t>
  </si>
  <si>
    <t>420-77-564-4294</t>
  </si>
  <si>
    <t>@AllaAmin</t>
  </si>
  <si>
    <t>체코</t>
  </si>
  <si>
    <t>믈라다볼레슬라프</t>
  </si>
  <si>
    <t>Рабцун Юлия</t>
  </si>
  <si>
    <t>(380-96)-202-66-47</t>
  </si>
  <si>
    <t>@YuliIanAmin</t>
  </si>
  <si>
    <t>우크라이나(체코피난)</t>
  </si>
  <si>
    <t>키로보흐라드</t>
  </si>
  <si>
    <t>00381122-00004</t>
  </si>
  <si>
    <t>Чуйко Лариса</t>
  </si>
  <si>
    <t>7-978-677-2013</t>
  </si>
  <si>
    <t>@Logikaen</t>
  </si>
  <si>
    <t>00381122-00018</t>
  </si>
  <si>
    <t>오사드차클라브디야므콜라이브나</t>
  </si>
  <si>
    <t>Осадчая Клавдия</t>
  </si>
  <si>
    <t>(380-93)-489-06-06</t>
  </si>
  <si>
    <t>오데사</t>
  </si>
  <si>
    <t>출결제외해지(2022/08/30~2025/3/1)</t>
  </si>
  <si>
    <t>사고처리예정자</t>
  </si>
  <si>
    <t>00410326-00093</t>
  </si>
  <si>
    <t>Смірнова Олена Вікторівна</t>
  </si>
  <si>
    <t>995-59-334-7900</t>
  </si>
  <si>
    <t>@LenaaSmirnova</t>
  </si>
  <si>
    <t>조지아</t>
  </si>
  <si>
    <t>카스피</t>
  </si>
  <si>
    <t>00420613-00128</t>
  </si>
  <si>
    <t>КОНОНОВА ЕЛЕНА ВАСИЛЬЕВНА</t>
  </si>
  <si>
    <t>7-929-571-8303</t>
  </si>
  <si>
    <t>모스크바주</t>
  </si>
  <si>
    <t>158-5기</t>
  </si>
  <si>
    <t>00420613-00129</t>
  </si>
  <si>
    <t>САРДАРЯН САТИК УНАНОВНА</t>
  </si>
  <si>
    <t>7-961-452-6127</t>
  </si>
  <si>
    <t>스타브로폴 지방</t>
  </si>
  <si>
    <t>00420613-00130</t>
  </si>
  <si>
    <t>Гаврилова Елена Алексеевна</t>
  </si>
  <si>
    <t>7-914-178-4286</t>
  </si>
  <si>
    <t>벨고로드주</t>
  </si>
  <si>
    <t>00420613-00132</t>
  </si>
  <si>
    <t>Краснова Оксана Леонидовна</t>
  </si>
  <si>
    <t>7-952-803-9368</t>
  </si>
  <si>
    <t>레닌그라드주</t>
  </si>
  <si>
    <t>사랑구역</t>
  </si>
  <si>
    <t>00410326-00082</t>
  </si>
  <si>
    <t>러시아(모스크바)</t>
  </si>
  <si>
    <t>Бочкова Наталия Анатольевна</t>
  </si>
  <si>
    <t>7-925-490-3017</t>
  </si>
  <si>
    <t>모스크바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</si>
  <si>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</si>
  <si>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</si>
  <si>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</si>
  <si>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</si>
  <si>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</si>
  <si>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00400227-01415</t>
  </si>
  <si>
    <t>00400227-01421</t>
  </si>
  <si>
    <t>Клочкова Светлана Андреевна</t>
  </si>
  <si>
    <t>7-978-707-7365</t>
  </si>
  <si>
    <t>@KSveta77</t>
  </si>
  <si>
    <t>얄타시</t>
  </si>
  <si>
    <t>00361031-00505</t>
  </si>
  <si>
    <t>술타냔레일리샤리포브나</t>
  </si>
  <si>
    <t>Султанян Лейли Шарифовна</t>
  </si>
  <si>
    <t>7-928-042-7233</t>
  </si>
  <si>
    <t>@leyla_sulta</t>
  </si>
  <si>
    <t>00400227-01407</t>
  </si>
  <si>
    <t>Мурова Анна Александровна</t>
  </si>
  <si>
    <t>7-901-117-4477</t>
  </si>
  <si>
    <t>@murrmurova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</si>
  <si>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</si>
  <si>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</si>
  <si>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</si>
  <si>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</si>
  <si>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</si>
  <si>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</si>
  <si>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</si>
  <si>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</si>
  <si>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</si>
  <si>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00400227-01432</t>
  </si>
  <si>
    <t>Андреенко Вероника Андреевна</t>
  </si>
  <si>
    <t>7-959-157-0420</t>
  </si>
  <si>
    <t>@zionllider</t>
  </si>
  <si>
    <t>루간스크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</si>
  <si>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</si>
  <si>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</si>
  <si>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</si>
  <si>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</si>
  <si>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</si>
  <si>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00410822-01087</t>
  </si>
  <si>
    <t>Эсеналиева Мээрим Омурбековна</t>
  </si>
  <si>
    <t>7-991-879-7635</t>
  </si>
  <si>
    <t>@MeerimEsenalieva</t>
  </si>
  <si>
    <t>00410822-01091</t>
  </si>
  <si>
    <t>Джинджолия Мадина Теймуразовна</t>
  </si>
  <si>
    <t>7-940-935-9800</t>
  </si>
  <si>
    <t>@Madina_Dzhin</t>
  </si>
  <si>
    <t>압하지야</t>
  </si>
  <si>
    <t>00410822-01092</t>
  </si>
  <si>
    <t>Пасечник Анна Владимирович</t>
  </si>
  <si>
    <t>375-25-607-6997</t>
  </si>
  <si>
    <t>@anna_6997</t>
  </si>
  <si>
    <t>00411226-00990</t>
  </si>
  <si>
    <t>Рыбалко Татьяна Валерьевна</t>
  </si>
  <si>
    <t>7-929-839-8721</t>
  </si>
  <si>
    <t>@Tatyana_tanya2</t>
  </si>
  <si>
    <t>00411226-00993</t>
  </si>
  <si>
    <t>Бажина Ирина Александровна</t>
  </si>
  <si>
    <t>7-951-707-9810</t>
  </si>
  <si>
    <t>오룔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</si>
  <si>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</si>
  <si>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</si>
  <si>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</si>
  <si>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</si>
  <si>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</si>
  <si>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</si>
  <si>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</si>
  <si>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</si>
  <si>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</si>
  <si>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</si>
  <si>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</si>
  <si>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</si>
  <si>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</si>
  <si>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</si>
  <si>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</si>
  <si>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</si>
  <si>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</si>
  <si>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스타브로폴</t>
  </si>
  <si>
    <t>출결제외해지(2023/06/20~2025/2/28)</t>
  </si>
  <si>
    <t>00400530-00139</t>
  </si>
  <si>
    <t>00400530-00119</t>
  </si>
  <si>
    <t>00411226-00991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</si>
  <si>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</si>
  <si>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</si>
  <si>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</si>
  <si>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</si>
  <si>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</si>
  <si>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</si>
  <si>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</si>
  <si>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</si>
  <si>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</si>
  <si>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</si>
  <si>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 주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</si>
  <si>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</si>
  <si>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</si>
  <si>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</si>
  <si>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</si>
  <si>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</si>
  <si>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산타카타리나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</si>
  <si>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</si>
  <si>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</si>
  <si>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</si>
  <si>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</si>
  <si>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</si>
  <si>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</si>
  <si>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</si>
  <si>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</si>
  <si>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</si>
  <si>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</si>
  <si>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</si>
  <si>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</si>
  <si>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</si>
  <si>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</si>
  <si>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</si>
  <si>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</si>
  <si>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</si>
  <si>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</si>
  <si>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</si>
  <si>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00420306-00092</t>
  </si>
  <si>
    <t>Юров Сергей Николаевич</t>
  </si>
  <si>
    <t>34-60-714-7324</t>
  </si>
  <si>
    <t>@SergeyY1964</t>
  </si>
  <si>
    <t>스페인</t>
  </si>
  <si>
    <t>발렌시아</t>
  </si>
  <si>
    <t>157-5기</t>
  </si>
  <si>
    <t>00400530-00103</t>
  </si>
  <si>
    <t>00400530-00094</t>
  </si>
  <si>
    <t>Бахтина Ольга Викторовна</t>
  </si>
  <si>
    <t>7-978-895-6553</t>
  </si>
  <si>
    <t>@OlgaBahtina0</t>
  </si>
  <si>
    <t>바흐치사라이</t>
  </si>
  <si>
    <t>정스베틀라나페트로브나</t>
  </si>
  <si>
    <t xml:space="preserve">Чжен Светлана Петровна </t>
  </si>
  <si>
    <t>996-70-297-9730</t>
  </si>
  <si>
    <t>@SvetlanaChzhen</t>
  </si>
  <si>
    <t>로스토프주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</si>
  <si>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</si>
  <si>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</si>
  <si>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</si>
  <si>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</si>
  <si>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</si>
  <si>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흐로드나 주</t>
  </si>
  <si>
    <t>출결제외해지(2025/2/10~25/3/09)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</si>
  <si>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</si>
  <si>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</si>
  <si>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</si>
  <si>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</si>
  <si>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</si>
  <si>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</si>
  <si>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</si>
  <si>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</si>
  <si>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</si>
  <si>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</si>
  <si>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</si>
  <si>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</si>
  <si>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</si>
  <si>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</si>
  <si>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</si>
  <si>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</si>
  <si>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</si>
  <si>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</si>
  <si>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</si>
  <si>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</si>
  <si>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</si>
  <si>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</si>
  <si>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</si>
  <si>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</si>
  <si>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</si>
  <si>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</si>
  <si>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</si>
  <si>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</si>
  <si>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</si>
  <si>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</si>
  <si>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</si>
  <si>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</si>
  <si>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</si>
  <si>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</si>
  <si>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</si>
  <si>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</si>
  <si>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</si>
  <si>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</si>
  <si>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</si>
  <si>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</si>
  <si>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154-4기</t>
  </si>
  <si>
    <t>00390826-00081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</si>
  <si>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</si>
  <si>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</si>
  <si>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</si>
  <si>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</si>
  <si>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</si>
  <si>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</si>
  <si>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00381122-00023</t>
  </si>
  <si>
    <t>Дьячкова Виктория</t>
  </si>
  <si>
    <t>7-908-916-93-18</t>
  </si>
  <si>
    <t>@vi_win</t>
  </si>
  <si>
    <t>아스베스트</t>
  </si>
  <si>
    <t>00390826-00079</t>
  </si>
  <si>
    <t>Петросян Асмик Ишхановна</t>
  </si>
  <si>
    <t>8992-018-4886</t>
  </si>
  <si>
    <t>@hasmikpetrosyan7</t>
  </si>
  <si>
    <t>크라스노투린스크</t>
  </si>
  <si>
    <t>00361031-00489</t>
  </si>
  <si>
    <t>Степанова Анастасия</t>
  </si>
  <si>
    <t>(7-982)7556271/카톡: SteyshaVaughan</t>
  </si>
  <si>
    <t>@likeyz</t>
  </si>
  <si>
    <t>예카테린부르크</t>
  </si>
  <si>
    <t>00390826-00072</t>
  </si>
  <si>
    <t>00410822-01083</t>
  </si>
  <si>
    <t>Бухаринов Алексей Юрьевич</t>
  </si>
  <si>
    <t>7982-737-0061</t>
  </si>
  <si>
    <t>@AleBukh</t>
  </si>
  <si>
    <t>크라스노셀스키</t>
  </si>
  <si>
    <t>Бусловский Роман Владимирович</t>
  </si>
  <si>
    <t>7-920-065-3888</t>
  </si>
  <si>
    <t>@Roman_Buslovskiy</t>
  </si>
  <si>
    <t>니즈니노브고로드</t>
  </si>
  <si>
    <t>00391111-00162</t>
  </si>
  <si>
    <t>Евдокимов Роман Евгеньевич</t>
  </si>
  <si>
    <t>8-983-202-6063</t>
  </si>
  <si>
    <t>@r0man1990</t>
  </si>
  <si>
    <t>크라스노야르스크</t>
  </si>
  <si>
    <t>148-1기</t>
  </si>
  <si>
    <t>00410822-01078</t>
  </si>
  <si>
    <t>Казаков Константин Александрович</t>
  </si>
  <si>
    <t>7-900-035-3214</t>
  </si>
  <si>
    <t>@KonstantinKazakov77</t>
  </si>
  <si>
    <t>00410822-01081</t>
  </si>
  <si>
    <t>Джумашев Нурбек Кубанычбекович</t>
  </si>
  <si>
    <t>7-985-369-3591</t>
  </si>
  <si>
    <t>@nurbai1</t>
  </si>
  <si>
    <t>00410822-01082</t>
  </si>
  <si>
    <t>Рыбалко Алексей Владимирович</t>
  </si>
  <si>
    <t>7-903-459-4435</t>
  </si>
  <si>
    <t>@alexbr082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</si>
  <si>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</si>
  <si>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</si>
  <si>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</si>
  <si>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</si>
  <si>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</si>
  <si>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</si>
  <si>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</si>
  <si>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</si>
  <si>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</si>
  <si>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</si>
  <si>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</si>
  <si>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</si>
  <si>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</si>
  <si>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</si>
  <si>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</si>
  <si>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</si>
  <si>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</si>
  <si>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</si>
  <si>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</si>
  <si>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</si>
  <si>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</si>
  <si>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</si>
  <si>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</si>
  <si>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</si>
  <si>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</si>
  <si>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</si>
  <si>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</si>
  <si>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</si>
  <si>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</si>
  <si>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</si>
  <si>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</si>
  <si>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00410822-01090</t>
  </si>
  <si>
    <t>Иванов Владислав Андреевич</t>
  </si>
  <si>
    <t>7-996-108-2460</t>
  </si>
  <si>
    <t>@Reidamus</t>
  </si>
  <si>
    <t>바시키르 공화국</t>
  </si>
  <si>
    <t>00390826-00118</t>
  </si>
  <si>
    <t>벨로굽일리야안드레예비치</t>
  </si>
  <si>
    <t>Белогуб Илья Андреевич</t>
  </si>
  <si>
    <t>7903-4146784</t>
  </si>
  <si>
    <t>@belogub_1</t>
  </si>
  <si>
    <t>00410822-01088</t>
  </si>
  <si>
    <t>Беккер Андрей Яковлевич</t>
  </si>
  <si>
    <t>380-66-035-8767</t>
  </si>
  <si>
    <t>@Andbekker</t>
  </si>
  <si>
    <t>탈디코르간</t>
  </si>
  <si>
    <t>00410822-01093</t>
  </si>
  <si>
    <t>ИГНАТЬЕВ ЕВГЕНИЙ МИХАЙЛОВИЧ</t>
  </si>
  <si>
    <t>@Evgeny_Ignatiev</t>
  </si>
  <si>
    <t>상트페테르부르크</t>
  </si>
  <si>
    <t>00411010-02044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</si>
  <si>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</si>
  <si>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</si>
  <si>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</si>
  <si>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</si>
  <si>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</si>
  <si>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156-1기</t>
  </si>
  <si>
    <t>00411226-00999</t>
  </si>
  <si>
    <t>Рыбалко Никита Алексеевич</t>
  </si>
  <si>
    <t>7-951-821-6064</t>
  </si>
  <si>
    <t>@nikita_ryb2</t>
  </si>
  <si>
    <t>00420613-00105</t>
  </si>
  <si>
    <t>Малышев Игорь Сергеевич</t>
  </si>
  <si>
    <t>7-918-600-9088</t>
  </si>
  <si>
    <t>오렌부르크주</t>
  </si>
  <si>
    <t>00381122-00014</t>
  </si>
  <si>
    <t>00391111-00154</t>
  </si>
  <si>
    <t>코르네예바예카테리나유리예브나</t>
  </si>
  <si>
    <t>Корнеева Екатерина</t>
  </si>
  <si>
    <t>(7-978)-590-19-75</t>
  </si>
  <si>
    <t xml:space="preserve">@Ta_N_r_I </t>
  </si>
  <si>
    <t>무라비요바나탈리야알렉산드로브나</t>
  </si>
  <si>
    <t>Муравьёва Наталья Александровна</t>
  </si>
  <si>
    <t>7-918-093-4718</t>
  </si>
  <si>
    <t>@murnat7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</si>
  <si>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</si>
  <si>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</si>
  <si>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</si>
  <si>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</si>
  <si>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</si>
  <si>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</si>
  <si>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</si>
  <si>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</si>
  <si>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</si>
  <si>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</si>
  <si>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</si>
  <si>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00390826-00074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</si>
  <si>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</si>
  <si>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</si>
  <si>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</si>
  <si>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</si>
  <si>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</si>
  <si>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</si>
  <si>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</si>
  <si>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</si>
  <si>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</si>
  <si>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</si>
  <si>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</si>
  <si>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</si>
  <si>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00391111-00158</t>
  </si>
  <si>
    <t>00391111-00159</t>
  </si>
  <si>
    <t>00391111-00147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</si>
  <si>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</si>
  <si>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</si>
  <si>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</si>
  <si>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</si>
  <si>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</si>
  <si>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Минасова Галина Евгеньевна</t>
  </si>
  <si>
    <t>7-925-525-1169</t>
  </si>
  <si>
    <t>@Galinaminasova</t>
  </si>
  <si>
    <t>모스크바 지역, 루자, 투치코보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</si>
  <si>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</si>
  <si>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</si>
  <si>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</si>
  <si>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</si>
  <si>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</si>
  <si>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00390826-00108</t>
  </si>
  <si>
    <t>00390826-00107</t>
  </si>
  <si>
    <t>8900-5839345</t>
  </si>
  <si>
    <t>@Lus1983</t>
  </si>
  <si>
    <t>00391111-00149</t>
  </si>
  <si>
    <t>Зилинская Елена Леонидовна</t>
  </si>
  <si>
    <t>8-921-940-272</t>
  </si>
  <si>
    <t>@e04el</t>
  </si>
  <si>
    <t>핏야크, 크마오-유그라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</si>
  <si>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</si>
  <si>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</si>
  <si>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</si>
  <si>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</si>
  <si>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</si>
  <si>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</si>
  <si>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00400227-01400</t>
  </si>
  <si>
    <t>Бажанова Наталья Владимировна</t>
  </si>
  <si>
    <t>7-747-850-0766</t>
  </si>
  <si>
    <t>@natalia_bazhanova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</si>
  <si>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</si>
  <si>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</si>
  <si>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</si>
  <si>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</si>
  <si>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</si>
  <si>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</si>
  <si>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바세니나올가알렉산드로브나</t>
  </si>
  <si>
    <t>Васенина Ольга Александровна</t>
  </si>
  <si>
    <t>8950-5862033</t>
  </si>
  <si>
    <t>@Olga05051980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</si>
  <si>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</si>
  <si>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</si>
  <si>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</si>
  <si>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</si>
  <si>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</si>
  <si>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</si>
  <si>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</si>
  <si>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</si>
  <si>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</si>
  <si>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</si>
  <si>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</si>
  <si>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</si>
  <si>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</si>
  <si>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</si>
  <si>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</si>
  <si>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</si>
  <si>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00410326-00084</t>
  </si>
  <si>
    <t>00410326-00078</t>
  </si>
  <si>
    <t>Федченко Елена Александровна</t>
  </si>
  <si>
    <t>7-965-258-8596</t>
  </si>
  <si>
    <t>@elaf3755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</si>
  <si>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</si>
  <si>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</si>
  <si>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</si>
  <si>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</si>
  <si>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</si>
  <si>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00410326-00074</t>
  </si>
  <si>
    <t>Мухаметова Рида Исмагиловна</t>
  </si>
  <si>
    <t>7-917-368-8817</t>
  </si>
  <si>
    <t>거동불가(노환, 중병환자) 상세 : 심장수술, 시력이 거의 보이지 않아 거동 불가</t>
  </si>
  <si>
    <t>거동불가(노환, 중병환자)</t>
  </si>
  <si>
    <t>00410326-00076</t>
  </si>
  <si>
    <t>부구면직</t>
  </si>
  <si>
    <t>Ковальчук Людмила Викторовна</t>
  </si>
  <si>
    <t>7-982-185-5145</t>
  </si>
  <si>
    <t>@ljyda89</t>
  </si>
  <si>
    <t>튜멘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</si>
  <si>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</si>
  <si>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</si>
  <si>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</si>
  <si>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</si>
  <si>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</si>
  <si>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몰도바</t>
  </si>
  <si>
    <t>두버사리</t>
  </si>
  <si>
    <t>00390826-00063</t>
  </si>
  <si>
    <t>김옐리자베타페트로브나</t>
  </si>
  <si>
    <t>Ким Елизавета Петровна</t>
  </si>
  <si>
    <t>8914-343-9939</t>
  </si>
  <si>
    <t>연락안됨</t>
  </si>
  <si>
    <t>우수리스크</t>
  </si>
  <si>
    <t>00420613-00125</t>
  </si>
  <si>
    <t>글라드키크타마라알렉산드로브나</t>
  </si>
  <si>
    <t>ГЛАДКИХ ТАМАРА АЛЕКСАНДРОВНА</t>
  </si>
  <si>
    <t>7-950-728-7630</t>
  </si>
  <si>
    <t>첼랴빈스크주</t>
  </si>
  <si>
    <t>00420613-00126</t>
  </si>
  <si>
    <t>ДАВИДОВИЧ ЛИДИЯ НИКОЛАЕВНА</t>
  </si>
  <si>
    <t>7-904-854-2368</t>
  </si>
  <si>
    <t>펜자주</t>
  </si>
  <si>
    <t>00410326-00110</t>
  </si>
  <si>
    <t>00410326-00104</t>
  </si>
  <si>
    <t>00410326-00111</t>
  </si>
  <si>
    <t>8구역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</si>
  <si>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</si>
  <si>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</si>
  <si>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</si>
  <si>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</si>
  <si>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</si>
  <si>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아브라모바아가브닉발레리예브나</t>
  </si>
  <si>
    <t>Աբրամովա Աղավնիկ Վալերիի</t>
  </si>
  <si>
    <t>7-989-818-5078</t>
  </si>
  <si>
    <t>@Agavnik89</t>
  </si>
  <si>
    <t>오코네쉬니코바알리나세르게예브나</t>
  </si>
  <si>
    <t>Оконешникова Алина Сергеевна</t>
  </si>
  <si>
    <t>@secretpatient</t>
  </si>
  <si>
    <t>세르비아</t>
  </si>
  <si>
    <t>보이보디나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</si>
  <si>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</si>
  <si>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</si>
  <si>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</si>
  <si>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</si>
  <si>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</si>
  <si>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</si>
  <si>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</si>
  <si>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</si>
  <si>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</si>
  <si>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</si>
  <si>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</si>
  <si>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</si>
  <si>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</si>
  <si>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</si>
  <si>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</si>
  <si>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</si>
  <si>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</si>
  <si>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</si>
  <si>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</si>
  <si>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</si>
  <si>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</si>
  <si>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</si>
  <si>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</si>
  <si>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</si>
  <si>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</si>
  <si>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</si>
  <si>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</si>
  <si>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</si>
  <si>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</si>
  <si>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</si>
  <si>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</si>
  <si>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</si>
  <si>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</si>
  <si>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</si>
  <si>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</si>
  <si>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</si>
  <si>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</si>
  <si>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</si>
  <si>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</si>
  <si>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</si>
  <si>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</si>
  <si>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</si>
  <si>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</si>
  <si>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</si>
  <si>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</si>
  <si>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</si>
  <si>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</si>
  <si>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</si>
  <si>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</si>
  <si>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</si>
  <si>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</si>
  <si>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</si>
  <si>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우즈베키스탄(타슈켄트)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</si>
  <si>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</si>
  <si>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</si>
  <si>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</si>
  <si>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</si>
  <si>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</si>
  <si>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</si>
  <si>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</si>
  <si>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</si>
  <si>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</si>
  <si>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</si>
  <si>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</si>
  <si>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</si>
  <si>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00410523-00488</t>
  </si>
  <si>
    <t>00410326-00112</t>
  </si>
  <si>
    <t>ИГНАТЬЕВА АНАСТАСИЯ ВИТАЛЬЕВНА</t>
  </si>
  <si>
    <t>7-911-157-5815</t>
  </si>
  <si>
    <t>@NastyaIgnatyeva20</t>
  </si>
  <si>
    <t>출결제외해지(42/02/16)</t>
  </si>
  <si>
    <t>카자흐스탄(악토베)</t>
  </si>
  <si>
    <t>오스파놉미람</t>
  </si>
  <si>
    <t>Оспанов Мирам</t>
  </si>
  <si>
    <t>7-705-360-7426</t>
  </si>
  <si>
    <t>@MiramOspanov</t>
  </si>
  <si>
    <t>코스타나이</t>
  </si>
  <si>
    <t>00401127-01063</t>
  </si>
  <si>
    <t>Баброва Дзіяна Сцяпанаўна</t>
  </si>
  <si>
    <t>375-29-214-6353</t>
  </si>
  <si>
    <t>@dianabobrova7</t>
  </si>
  <si>
    <t>호멜주 레치차시</t>
  </si>
  <si>
    <t>152-4기</t>
  </si>
  <si>
    <t>00401127-01064</t>
  </si>
  <si>
    <t>Юзіпчук Маргарыта Русланаўна</t>
  </si>
  <si>
    <t>375-29-177-8700</t>
  </si>
  <si>
    <t>@margarytayuzipchuk</t>
  </si>
  <si>
    <t>00401127-01054</t>
  </si>
  <si>
    <t>Знаменский Олег Олегович</t>
  </si>
  <si>
    <t>996-77-218-8014</t>
  </si>
  <si>
    <t>@C_k_u_M_e_H</t>
  </si>
  <si>
    <t>불가리아</t>
  </si>
  <si>
    <t>가브로보</t>
  </si>
  <si>
    <t>지역이동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</si>
  <si>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</si>
  <si>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</si>
  <si>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</si>
  <si>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</si>
  <si>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</si>
  <si>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</si>
  <si>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</si>
  <si>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</si>
  <si>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</si>
  <si>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</si>
  <si>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</si>
  <si>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</si>
  <si>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</si>
  <si>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</si>
  <si>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</si>
  <si>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00420613-00110</t>
  </si>
  <si>
    <t>Билокинь Валерия Васильевна</t>
  </si>
  <si>
    <t>7-980-107-5052</t>
  </si>
  <si>
    <t>오룔주</t>
  </si>
  <si>
    <t>00400530-00169</t>
  </si>
  <si>
    <t>00411226-00996</t>
  </si>
  <si>
    <t>학생회부구역장</t>
  </si>
  <si>
    <t>5학생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</si>
  <si>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</si>
  <si>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</si>
  <si>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</si>
  <si>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</si>
  <si>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ПОПОВА ЮЛИЯ АНДРЕЕВНА</t>
  </si>
  <si>
    <t>7-917-488-7533</t>
  </si>
  <si>
    <t>@julyaiva</t>
  </si>
  <si>
    <t>바시키르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</si>
  <si>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</si>
  <si>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</si>
  <si>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</si>
  <si>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</si>
  <si>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</si>
  <si>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</si>
  <si>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</si>
  <si>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</si>
  <si>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</si>
  <si>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</si>
  <si>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</si>
  <si>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이르쿠츠크주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</si>
  <si>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</si>
  <si>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</si>
  <si>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</si>
  <si>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</si>
  <si>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</si>
  <si>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</si>
  <si>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00411010-02045</t>
  </si>
  <si>
    <t>САМУСЕНКО МАРИНА ЮРЬЕВНА</t>
  </si>
  <si>
    <t>7-900-245-3690</t>
  </si>
  <si>
    <t>@Marinasamysenko</t>
  </si>
  <si>
    <t>00411010-02049</t>
  </si>
  <si>
    <t>Баранова Дарья Сергеевна</t>
  </si>
  <si>
    <t>7-952-085-6228</t>
  </si>
  <si>
    <t>@the_true_vine</t>
  </si>
  <si>
    <t>트베르주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</si>
  <si>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</si>
  <si>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</si>
  <si>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</si>
  <si>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</si>
  <si>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</si>
  <si>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입원(25/05/22~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</si>
  <si>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</si>
  <si>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</si>
  <si>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</si>
  <si>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</si>
  <si>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</si>
  <si>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</si>
  <si>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</si>
  <si>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</si>
  <si>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</si>
  <si>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00410523-00478</t>
  </si>
  <si>
    <t>Амирханян Лусине Овиковна</t>
  </si>
  <si>
    <t>Бадалян Егине Самвеловна</t>
  </si>
  <si>
    <t>7-962-862-5827</t>
  </si>
  <si>
    <t>@Egine_09</t>
  </si>
  <si>
    <t>00410523-00475</t>
  </si>
  <si>
    <t>Ароян Лусине Эмиковна</t>
  </si>
  <si>
    <t>7-908-926-5177</t>
  </si>
  <si>
    <t>@LusineHaroyan</t>
  </si>
  <si>
    <t>00411010-02032</t>
  </si>
  <si>
    <t>ИСАХАНЯН ТАГУИ МАМИКОНОВНА</t>
  </si>
  <si>
    <t>7-999-632-7476</t>
  </si>
  <si>
    <t>@itm_ma</t>
  </si>
  <si>
    <t>156기</t>
  </si>
  <si>
    <t>00400530-00144</t>
  </si>
  <si>
    <t>00401127-01055</t>
  </si>
  <si>
    <t>00410523-00480</t>
  </si>
  <si>
    <t>00410523-00481</t>
  </si>
  <si>
    <t>00411010-02043</t>
  </si>
  <si>
    <t>곤차로바수산나삼벨로브나</t>
  </si>
  <si>
    <t>Гончарова Сусанна Самвеловна</t>
  </si>
  <si>
    <t>7-988-534-0685</t>
  </si>
  <si>
    <t>@susannagoncharova</t>
  </si>
  <si>
    <t>Кобызева Анастасия Сергеевна</t>
  </si>
  <si>
    <t>49-176-4177-7488</t>
  </si>
  <si>
    <t>@ankob1</t>
  </si>
  <si>
    <t>라인란트팔츠주 멘게르시드마을</t>
  </si>
  <si>
    <t>ГУБАНЕНКО ИРИНА ЛЕОНИДОВНА</t>
  </si>
  <si>
    <t>7-905-906-9505</t>
  </si>
  <si>
    <t>@Irina_Gubanenko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</si>
  <si>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</si>
  <si>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</si>
  <si>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</si>
  <si>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</si>
  <si>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</si>
  <si>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</si>
  <si>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니즈니노브고로드주</t>
  </si>
  <si>
    <t>00410523-00482</t>
  </si>
  <si>
    <t>КАЛЮЖНАЯ ОЛЬГА ВИКТОРОВНА</t>
  </si>
  <si>
    <t>7-705-476-4242</t>
  </si>
  <si>
    <t>@Olga_482</t>
  </si>
  <si>
    <t>리데르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</si>
  <si>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</si>
  <si>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</si>
  <si>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</si>
  <si>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</si>
  <si>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</si>
  <si>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</si>
  <si>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00390826-00120</t>
  </si>
  <si>
    <t>00410326-00118</t>
  </si>
  <si>
    <t>00410326-00119</t>
  </si>
  <si>
    <t>00410326-00120</t>
  </si>
  <si>
    <t>Плесовских Руфина</t>
  </si>
  <si>
    <t>7-747-816-32-62</t>
  </si>
  <si>
    <t>@Plesovskih_Rufina</t>
  </si>
  <si>
    <t>Цап Марія Юріївна</t>
  </si>
  <si>
    <t>380-98-665-4155</t>
  </si>
  <si>
    <t>@Mariya_Tsap</t>
  </si>
  <si>
    <t>자카르파티아</t>
  </si>
  <si>
    <t>Юревич Тимофій Євгенович</t>
  </si>
  <si>
    <t>380-66-320-3931</t>
  </si>
  <si>
    <t>@TymofeyJ</t>
  </si>
  <si>
    <t>오스트리아</t>
  </si>
  <si>
    <t>잘츠부르크</t>
  </si>
  <si>
    <t>Тарасюк Вікторія Іванівка</t>
  </si>
  <si>
    <t>380-96-673-7988</t>
  </si>
  <si>
    <t>@Vika1468</t>
  </si>
  <si>
    <t>리브네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</si>
  <si>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</si>
  <si>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</si>
  <si>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</si>
  <si>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</si>
  <si>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</si>
  <si>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</si>
  <si>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</si>
  <si>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</si>
  <si>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</si>
  <si>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00400227-01433</t>
  </si>
  <si>
    <t>Егупов Андрей Валерьевич</t>
  </si>
  <si>
    <t>7-928-139-5593</t>
  </si>
  <si>
    <t>@egupov6</t>
  </si>
  <si>
    <t>수감 (25/3/5)</t>
  </si>
  <si>
    <t>00400227-01434</t>
  </si>
  <si>
    <t>Васенин Кирилл Александрович</t>
  </si>
  <si>
    <t>7-904-576-2185</t>
  </si>
  <si>
    <t>@Hellogoodbau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</si>
  <si>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</si>
  <si>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</si>
  <si>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</si>
  <si>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</si>
  <si>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</si>
  <si>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</si>
  <si>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</si>
  <si>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00401127-01073</t>
  </si>
  <si>
    <t>00411226-01001</t>
  </si>
  <si>
    <t>Собачинский Кирилл Андреевич</t>
  </si>
  <si>
    <t>49-152-0830-9079</t>
  </si>
  <si>
    <t>@KirillS132</t>
  </si>
  <si>
    <t>함부르크시</t>
  </si>
  <si>
    <t>Оганян Виталий Маратович</t>
  </si>
  <si>
    <t>7-930-150-5032</t>
  </si>
  <si>
    <t>@Bitig777</t>
  </si>
  <si>
    <t>아르메니아</t>
  </si>
  <si>
    <t>00401127-01072</t>
  </si>
  <si>
    <t>Banaru Adriana Tudorovici</t>
  </si>
  <si>
    <t>373-78-131-866</t>
  </si>
  <si>
    <t>@banaruadriana</t>
  </si>
  <si>
    <t>오르헤이구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</si>
  <si>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</si>
  <si>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</si>
  <si>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</si>
  <si>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</si>
  <si>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</si>
  <si>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00401127-01076</t>
  </si>
  <si>
    <t>Рабцун Єва Олександрівна</t>
  </si>
  <si>
    <t>42-077-686-8250</t>
  </si>
  <si>
    <t>@evelinaaaq</t>
  </si>
  <si>
    <t>믈라다볼레슬라프구</t>
  </si>
  <si>
    <t>00410523-00489</t>
  </si>
  <si>
    <t>Щербаков Матфей Яковлевич</t>
  </si>
  <si>
    <t>7-999-416-2248</t>
  </si>
  <si>
    <t>@Mat932q</t>
  </si>
  <si>
    <t>00411226-01000</t>
  </si>
  <si>
    <t>Рыбалко Софья Алексеевна</t>
  </si>
  <si>
    <t>7-929-837-0751</t>
  </si>
  <si>
    <t>@rysssna</t>
  </si>
  <si>
    <t>00420306-00109</t>
  </si>
  <si>
    <t>Гуш Иван</t>
  </si>
  <si>
    <t>49-155-6043-4850</t>
  </si>
  <si>
    <t>@oganyan_Vitaly7</t>
  </si>
  <si>
    <t>함부르크</t>
  </si>
  <si>
    <t>00420306-00110</t>
  </si>
  <si>
    <t>КУНУЧАКОВА НАТАЛЬЯ АРТУРОВНА</t>
  </si>
  <si>
    <t>7-950-304-2949</t>
  </si>
  <si>
    <t>@Natalia14173</t>
  </si>
  <si>
    <t>하카시아공화국</t>
  </si>
  <si>
    <t>00420613-00111</t>
  </si>
  <si>
    <t>Куровский Илья Олегович</t>
  </si>
  <si>
    <t>7-978-068-0702</t>
  </si>
  <si>
    <t>보로네시주</t>
  </si>
  <si>
    <t>00420613-00112</t>
  </si>
  <si>
    <t>Голбан Богдан Васильевич</t>
  </si>
  <si>
    <t>7-960-954-8472</t>
  </si>
  <si>
    <t>알타이 지방</t>
  </si>
  <si>
    <t>00330526-00001</t>
  </si>
  <si>
    <t>Пак Людмила</t>
  </si>
  <si>
    <t>010-2697-2132/998974322917</t>
  </si>
  <si>
    <t>@LyudaUs</t>
  </si>
  <si>
    <t>타슈켄트</t>
  </si>
  <si>
    <t>00360423-00593</t>
  </si>
  <si>
    <t>Ким Елизавета</t>
  </si>
  <si>
    <t>99890-3212933</t>
  </si>
  <si>
    <t>@lizakim44</t>
  </si>
  <si>
    <t>00371217-01040</t>
  </si>
  <si>
    <t>Пак Зинаида</t>
  </si>
  <si>
    <t>99897-6043459</t>
  </si>
  <si>
    <t>@Zinapak59</t>
  </si>
  <si>
    <t>00320813-00006</t>
  </si>
  <si>
    <t>Огай Елена</t>
  </si>
  <si>
    <t>010-4134-1098/-998977178222</t>
  </si>
  <si>
    <t>@LenaLn81</t>
  </si>
  <si>
    <t>00360423-00589</t>
  </si>
  <si>
    <t>Ким Флора</t>
  </si>
  <si>
    <t>99899-8948924</t>
  </si>
  <si>
    <t>@kimflora01</t>
  </si>
  <si>
    <t>00381122-00019</t>
  </si>
  <si>
    <t>Губанкова Валентина</t>
  </si>
  <si>
    <t>998-90-936-3811</t>
  </si>
  <si>
    <t>@Valyagubanqova</t>
  </si>
  <si>
    <t>00330526-00002</t>
  </si>
  <si>
    <t xml:space="preserve"> Пак Вадим</t>
  </si>
  <si>
    <t>-99890-9322937</t>
  </si>
  <si>
    <t>@VValentinovic</t>
  </si>
  <si>
    <t>00360810-00482</t>
  </si>
  <si>
    <t>Мун Елизавета</t>
  </si>
  <si>
    <t>998-90-994-18-85</t>
  </si>
  <si>
    <t>@AYmynliza</t>
  </si>
  <si>
    <t>00381122-00015</t>
  </si>
  <si>
    <t>Турсунов Шухрат</t>
  </si>
  <si>
    <t>998-91-528-9594</t>
  </si>
  <si>
    <t>@Shuhrat_tursunov</t>
  </si>
  <si>
    <t>00371218-00458</t>
  </si>
  <si>
    <t>Асадова Машхура Носировна</t>
  </si>
  <si>
    <t>998-915551190</t>
  </si>
  <si>
    <t>@Masnknyra</t>
  </si>
  <si>
    <t>00390826-00061</t>
  </si>
  <si>
    <t>한예카테리나발렌티노브나</t>
  </si>
  <si>
    <t>Хан Екатерина Валентиновна</t>
  </si>
  <si>
    <t>998-90-905-0152</t>
  </si>
  <si>
    <t>@katyaahan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</si>
  <si>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</si>
  <si>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</si>
  <si>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</si>
  <si>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</si>
  <si>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</si>
  <si>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</si>
  <si>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</si>
  <si>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</si>
  <si>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</si>
  <si>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</si>
  <si>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</si>
  <si>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</si>
  <si>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</si>
  <si>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</si>
  <si>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</si>
  <si>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</si>
  <si>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출결제외해지(23/6/10~25/2/28)</t>
  </si>
  <si>
    <t>D 신앙유약 (기도모임예정)</t>
  </si>
  <si>
    <t>00390826-00064</t>
  </si>
  <si>
    <t>박올가페트로브나</t>
  </si>
  <si>
    <t>Пак Ольга Петровна</t>
  </si>
  <si>
    <t>출결제외해지(23/6/5~25/2/28)</t>
  </si>
  <si>
    <t>00391111-00165</t>
  </si>
  <si>
    <t>00401127-01057</t>
  </si>
  <si>
    <t>Тин Елена</t>
  </si>
  <si>
    <t>010-5936-0014</t>
  </si>
  <si>
    <t>Yurkova Polina Valerevna</t>
  </si>
  <si>
    <t>998-90-127-7750</t>
  </si>
  <si>
    <t>@yurkova_polina</t>
  </si>
  <si>
    <t>타슈켄트시</t>
  </si>
  <si>
    <t>00401127-01056</t>
  </si>
  <si>
    <t xml:space="preserve"> Улькина Виктория  Вячеславовна</t>
  </si>
  <si>
    <t>998-90-397-4747</t>
  </si>
  <si>
    <t>/@V_i_C_t_O_r_I_a777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</si>
  <si>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</si>
  <si>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</si>
  <si>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</si>
  <si>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</si>
  <si>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</si>
  <si>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00411010-02035</t>
  </si>
  <si>
    <t>ВДОВИНА ВИОЛЕТТА ВИТАЛЬЕВНА</t>
  </si>
  <si>
    <t>7-771-449-9114</t>
  </si>
  <si>
    <t>@Violettik8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</si>
  <si>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</si>
  <si>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</si>
  <si>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</si>
  <si>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</si>
  <si>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</si>
  <si>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</si>
  <si>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00420613-00133</t>
  </si>
  <si>
    <t>Акматова Мадина Майрамбековна</t>
  </si>
  <si>
    <t>996-55-215-5803</t>
  </si>
  <si>
    <t>비슈케크</t>
  </si>
  <si>
    <t>우즈베키스탄새신자</t>
  </si>
  <si>
    <t>00410523-00465</t>
  </si>
  <si>
    <t>00410326-00080</t>
  </si>
  <si>
    <t>Табалдиева Роза Коргоновна</t>
  </si>
  <si>
    <t>996-55-852-2833</t>
  </si>
  <si>
    <t>@Roza_Tabaldieva</t>
  </si>
  <si>
    <t>카라발타</t>
  </si>
  <si>
    <t>누르무함베토바알튼이스마일로브나</t>
  </si>
  <si>
    <t>Нурмухамбетова Алтын Исмаиловна</t>
  </si>
  <si>
    <t>996-55-554-5471</t>
  </si>
  <si>
    <t>@Altyn321</t>
  </si>
  <si>
    <t>추이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</si>
  <si>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</si>
  <si>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</si>
  <si>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</si>
  <si>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</si>
  <si>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</si>
  <si>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00410326-00096</t>
  </si>
  <si>
    <t>Темирбаева Айгуль Мырзакматовна</t>
  </si>
  <si>
    <t>996-77-710-4971</t>
  </si>
  <si>
    <t>@Aika7804</t>
  </si>
  <si>
    <t>00410523-00470</t>
  </si>
  <si>
    <t>Онищенко Елена Сергеевна</t>
  </si>
  <si>
    <t>996-70-686-4244</t>
  </si>
  <si>
    <t>@Elena01403</t>
  </si>
  <si>
    <t>00410523-00462</t>
  </si>
  <si>
    <t>XARGENKO ALLA NIKOLAYEVNA</t>
  </si>
  <si>
    <t>994-50-361-4419</t>
  </si>
  <si>
    <t>아제르바이잔</t>
  </si>
  <si>
    <t>자카탈라</t>
  </si>
  <si>
    <t>00420613-00131</t>
  </si>
  <si>
    <t>КУШУБАКОВА ЧОЛПОН КАЛМУРАТОВНА</t>
  </si>
  <si>
    <t>996-50-287-4141</t>
  </si>
  <si>
    <t>00400819-00489</t>
  </si>
  <si>
    <t>레임바예바줌라드아흐마도브나</t>
  </si>
  <si>
    <t>REYMBAYEVA ZUMRAD AXMADOVNA</t>
  </si>
  <si>
    <t>998-97-753-3346</t>
  </si>
  <si>
    <t>@zumrad1993</t>
  </si>
  <si>
    <t>타슈켄트주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</si>
  <si>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</si>
  <si>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</si>
  <si>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</si>
  <si>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</si>
  <si>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</si>
  <si>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</si>
  <si>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</si>
  <si>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</si>
  <si>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</si>
  <si>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</si>
  <si>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00400819-00494</t>
  </si>
  <si>
    <t>레임바예바마무라아흐마도브나</t>
  </si>
  <si>
    <t>REYMBAYEVA MA'MURA AXMADOVNA</t>
  </si>
  <si>
    <t>998-99-100-0674</t>
  </si>
  <si>
    <t>@RMAmurka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</si>
  <si>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</si>
  <si>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</si>
  <si>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</si>
  <si>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</si>
  <si>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</si>
  <si>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</si>
  <si>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</si>
  <si>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</si>
  <si>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</si>
  <si>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</si>
  <si>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</si>
  <si>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</si>
  <si>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</si>
  <si>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</si>
  <si>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</si>
  <si>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</si>
  <si>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</si>
  <si>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</si>
  <si>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</si>
  <si>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</si>
  <si>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</si>
  <si>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</si>
  <si>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</si>
  <si>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</si>
  <si>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</si>
  <si>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</si>
  <si>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</si>
  <si>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</si>
  <si>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</si>
  <si>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</si>
  <si>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00391111-00151</t>
  </si>
  <si>
    <t>우크라이나 장년</t>
  </si>
  <si>
    <t>00401127-01029</t>
  </si>
  <si>
    <t>00410523-00474</t>
  </si>
  <si>
    <t>Троян Володимир Іванович</t>
  </si>
  <si>
    <t>38-068-877-4578</t>
  </si>
  <si>
    <t>@Voloqia</t>
  </si>
  <si>
    <t>노보우크라인카</t>
  </si>
  <si>
    <t>목회자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</si>
  <si>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</si>
  <si>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</si>
  <si>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</si>
  <si>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</si>
  <si>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Прудкун Володимир Миколайович</t>
  </si>
  <si>
    <t>380-67-171-9458</t>
  </si>
  <si>
    <t>@vladimirprydkyn</t>
  </si>
  <si>
    <t>00401127-01038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</si>
  <si>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</si>
  <si>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</si>
  <si>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</si>
  <si>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</si>
  <si>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</si>
  <si>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</si>
  <si>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</si>
  <si>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</si>
  <si>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</si>
  <si>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</si>
  <si>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</si>
  <si>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</si>
  <si>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</si>
  <si>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</si>
  <si>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</si>
  <si>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</si>
  <si>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</si>
  <si>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</si>
  <si>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</si>
  <si>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</si>
  <si>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</si>
  <si>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</si>
  <si>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</si>
  <si>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</si>
  <si>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</si>
  <si>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</si>
  <si>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</si>
  <si>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</si>
  <si>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</si>
  <si>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</si>
  <si>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</si>
  <si>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</si>
  <si>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</si>
  <si>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</si>
  <si>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</si>
  <si>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</si>
  <si>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</si>
  <si>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</si>
  <si>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</si>
  <si>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</si>
  <si>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</si>
  <si>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</si>
  <si>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</si>
  <si>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</si>
  <si>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</si>
  <si>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</si>
  <si>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</si>
  <si>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</si>
  <si>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</si>
  <si>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</si>
  <si>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</si>
  <si>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</si>
  <si>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</si>
  <si>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</si>
  <si>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</si>
  <si>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</si>
  <si>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</si>
  <si>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</si>
  <si>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</si>
  <si>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</si>
  <si>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</si>
  <si>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</si>
  <si>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</si>
  <si>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</si>
  <si>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</si>
  <si>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</si>
  <si>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</si>
  <si>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</si>
  <si>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</si>
  <si>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</si>
  <si>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</si>
  <si>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</si>
  <si>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</si>
  <si>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</si>
  <si>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</si>
  <si>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</si>
  <si>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</si>
  <si>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</si>
  <si>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</si>
  <si>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</si>
  <si>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</si>
  <si>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</si>
  <si>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</si>
  <si>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</si>
  <si>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</si>
  <si>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</si>
  <si>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</si>
  <si>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00390826-00102</t>
  </si>
  <si>
    <t>우크라이나부녀</t>
  </si>
  <si>
    <t>트로얀라르사아나톨리이브나</t>
  </si>
  <si>
    <t>00411010-02041</t>
  </si>
  <si>
    <t>1-1구역</t>
  </si>
  <si>
    <t>Троян Лариса Анатоліївна</t>
  </si>
  <si>
    <t>38-097-2365764</t>
  </si>
  <si>
    <t>@Varioha</t>
  </si>
  <si>
    <t>Линник Катерина Іванівна</t>
  </si>
  <si>
    <t>380-98-760-0839</t>
  </si>
  <si>
    <t>@katerinalinnikm</t>
  </si>
  <si>
    <t>00360830-00348</t>
  </si>
  <si>
    <t>Чечельницкая Анна</t>
  </si>
  <si>
    <t>380-63-727-67-90</t>
  </si>
  <si>
    <t xml:space="preserve">@Annachechelnytska </t>
  </si>
  <si>
    <t>빈니차</t>
  </si>
  <si>
    <t>00390826-00105</t>
  </si>
  <si>
    <t>Лазаренку Светлана Владимировна</t>
  </si>
  <si>
    <t>37-367-507975</t>
  </si>
  <si>
    <t>@LSvet78</t>
  </si>
  <si>
    <t>발티</t>
  </si>
  <si>
    <t>00411010-02036</t>
  </si>
  <si>
    <t>Головко Надiя Никифорiвна</t>
  </si>
  <si>
    <t>380-67-270-2154</t>
  </si>
  <si>
    <t>00411010-02038</t>
  </si>
  <si>
    <t>Вергелес Любов Олександрівна</t>
  </si>
  <si>
    <t>380-97-689-2170</t>
  </si>
  <si>
    <t xml:space="preserve">@Vergeleslubov </t>
  </si>
  <si>
    <t>00411010-02040</t>
  </si>
  <si>
    <t>Головко Лiлiя Анатолiiвна</t>
  </si>
  <si>
    <t>380-93-344-8751</t>
  </si>
  <si>
    <t>00411010-02039</t>
  </si>
  <si>
    <t>Мармалюк Марина Владимировна</t>
  </si>
  <si>
    <t>380-66-930-3566</t>
  </si>
  <si>
    <t xml:space="preserve">@marisha239 </t>
  </si>
  <si>
    <t>00340624-00334</t>
  </si>
  <si>
    <t>Кулинич Виктория</t>
  </si>
  <si>
    <t>380-50-211-38-00</t>
  </si>
  <si>
    <t>@Vraestelley</t>
  </si>
  <si>
    <t>00420306-00090</t>
  </si>
  <si>
    <t>Скепська Ірина Миколаївна</t>
  </si>
  <si>
    <t>380-99-109-1106</t>
  </si>
  <si>
    <t xml:space="preserve">@Skeps_ka </t>
  </si>
  <si>
    <t>수미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</si>
  <si>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</si>
  <si>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</si>
  <si>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</si>
  <si>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</si>
  <si>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</si>
  <si>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 xml:space="preserve">00420613-00113 </t>
  </si>
  <si>
    <t>ОГАНЕСЯН ЛІДІЯ ГРИГОРІВНА</t>
  </si>
  <si>
    <t>380-96-342-1553</t>
  </si>
  <si>
    <t>00300725-00027</t>
  </si>
  <si>
    <t>김스베틀라나</t>
  </si>
  <si>
    <t>Ким Светлана</t>
  </si>
  <si>
    <t>해외출국(24-03-08)</t>
  </si>
  <si>
    <t>00400227-01398</t>
  </si>
  <si>
    <t>1-2구역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</si>
  <si>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</si>
  <si>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</si>
  <si>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</si>
  <si>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</si>
  <si>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</si>
  <si>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</si>
  <si>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</si>
  <si>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</si>
  <si>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</si>
  <si>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</si>
  <si>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</si>
  <si>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</si>
  <si>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</si>
  <si>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</si>
  <si>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</si>
  <si>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</si>
  <si>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</si>
  <si>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</si>
  <si>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</si>
  <si>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</si>
  <si>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</si>
  <si>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</si>
  <si>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</si>
  <si>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</si>
  <si>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</si>
  <si>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</si>
  <si>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</si>
  <si>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</si>
  <si>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</si>
  <si>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</si>
  <si>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</si>
  <si>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</si>
  <si>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</si>
  <si>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</si>
  <si>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00400227-01413</t>
  </si>
  <si>
    <t>1-3구역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</si>
  <si>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</si>
  <si>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</si>
  <si>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</si>
  <si>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</si>
  <si>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</si>
  <si>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</si>
  <si>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</si>
  <si>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</si>
  <si>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</si>
  <si>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</si>
  <si>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</si>
  <si>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</si>
  <si>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</si>
  <si>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</si>
  <si>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00400227-01401</t>
  </si>
  <si>
    <t>Мануэль Антонио Олена Леонiдiвна</t>
  </si>
  <si>
    <t>3-374-929-5532</t>
  </si>
  <si>
    <t>@Elena_Manue</t>
  </si>
  <si>
    <t>프랑스</t>
  </si>
  <si>
    <t>릴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</si>
  <si>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</si>
  <si>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</si>
  <si>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</si>
  <si>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</si>
  <si>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</si>
  <si>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</si>
  <si>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</si>
  <si>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</si>
  <si>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</si>
  <si>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</si>
  <si>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</si>
  <si>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</si>
  <si>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</si>
  <si>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</si>
  <si>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키이우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</si>
  <si>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</si>
  <si>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</si>
  <si>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</si>
  <si>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</si>
  <si>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</si>
  <si>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</si>
  <si>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</si>
  <si>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</si>
  <si>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</si>
  <si>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</si>
  <si>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</si>
  <si>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</si>
  <si>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</si>
  <si>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</si>
  <si>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</si>
  <si>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</si>
  <si>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</si>
  <si>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</si>
  <si>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</si>
  <si>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00401127-01047</t>
  </si>
  <si>
    <t>Новохацька Ксенія Миколаївна</t>
  </si>
  <si>
    <t>380-95-058-2658</t>
  </si>
  <si>
    <t>@KsenyaNovathaska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</si>
  <si>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</si>
  <si>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</si>
  <si>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</si>
  <si>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</si>
  <si>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</si>
  <si>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</si>
  <si>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</si>
  <si>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</si>
  <si>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</si>
  <si>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</si>
  <si>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</si>
  <si>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</si>
  <si>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</si>
  <si>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</si>
  <si>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</si>
  <si>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</si>
  <si>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</si>
  <si>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00410523-00453</t>
  </si>
  <si>
    <t>Мирончикова Лідія Олексіївна</t>
  </si>
  <si>
    <t>380-67-477-3791</t>
  </si>
  <si>
    <t xml:space="preserve">@zabaralida </t>
  </si>
  <si>
    <t>00410523-00471</t>
  </si>
  <si>
    <t>Бражко Оксана Олександрівна</t>
  </si>
  <si>
    <t>380-96-309-0512</t>
  </si>
  <si>
    <t>@Ksena1946</t>
  </si>
  <si>
    <t>00410822-01068</t>
  </si>
  <si>
    <t>00410822-01073</t>
  </si>
  <si>
    <t>Пузиня Світлана Василівна</t>
  </si>
  <si>
    <t>380-95-106-7115</t>
  </si>
  <si>
    <t>@puz32</t>
  </si>
  <si>
    <t>Кравченя Людмила Володимирівна</t>
  </si>
  <si>
    <t>380-96-926-7476</t>
  </si>
  <si>
    <t>@Kravlug</t>
  </si>
  <si>
    <t>00410822-01057</t>
  </si>
  <si>
    <t>Качковська Людмила Олександрівна</t>
  </si>
  <si>
    <t>@Luy_b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</si>
  <si>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</si>
  <si>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</si>
  <si>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</si>
  <si>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</si>
  <si>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</si>
  <si>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</si>
  <si>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</si>
  <si>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</si>
  <si>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</si>
  <si>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00410822-01072</t>
  </si>
  <si>
    <t>ЛЕОНЧИК НАТАЛІЯ ПЕТРІВНА</t>
  </si>
  <si>
    <t>380-97-880-7027</t>
  </si>
  <si>
    <t>@Natalie_Leo41</t>
  </si>
  <si>
    <t>00410822-01075</t>
  </si>
  <si>
    <t>크르탼시라누쉬</t>
  </si>
  <si>
    <t>კრტიან/სირანუშ</t>
  </si>
  <si>
    <t>995-57-102-4270</t>
  </si>
  <si>
    <t>아할치헤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</si>
  <si>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</si>
  <si>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</si>
  <si>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</si>
  <si>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</si>
  <si>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</si>
  <si>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</si>
  <si>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00410822-01085</t>
  </si>
  <si>
    <t>Гордієнко Надія Вікторівна</t>
  </si>
  <si>
    <t>380-66-111-2846</t>
  </si>
  <si>
    <t>@Gordien_ko12</t>
  </si>
  <si>
    <t>우크라이나청년</t>
  </si>
  <si>
    <t>00371218-00470</t>
  </si>
  <si>
    <t>부트르멘코발렌트나세르기이브나</t>
  </si>
  <si>
    <t>Валентина Бутрименко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</si>
  <si>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</si>
  <si>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</si>
  <si>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</si>
  <si>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</si>
  <si>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</si>
  <si>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</si>
  <si>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</si>
  <si>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</si>
  <si>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</si>
  <si>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</si>
  <si>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</si>
  <si>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00390826-00119</t>
  </si>
  <si>
    <t>00400227-01429</t>
  </si>
  <si>
    <t>00400530-00164</t>
  </si>
  <si>
    <t>Егупов Виктор Валериевич</t>
  </si>
  <si>
    <t>38-071-4251159</t>
  </si>
  <si>
    <t>@victoregupov</t>
  </si>
  <si>
    <t>Кравченя Марія Петрівна</t>
  </si>
  <si>
    <t>3809-8100-1196</t>
  </si>
  <si>
    <t xml:space="preserve"> @mariakravchenya</t>
  </si>
  <si>
    <t>바이츠게오르기이유리예비치</t>
  </si>
  <si>
    <t>Вайц Георгий</t>
  </si>
  <si>
    <t>49-176-8144-5890</t>
  </si>
  <si>
    <t>@J_Son_of_God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</si>
  <si>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</si>
  <si>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</si>
  <si>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</si>
  <si>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</si>
  <si>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</si>
  <si>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</si>
  <si>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</si>
  <si>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</si>
  <si>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00400227-01425</t>
  </si>
  <si>
    <t>Макаєва Алiна Вiталiiвна</t>
  </si>
  <si>
    <t>372-5851-7922</t>
  </si>
  <si>
    <t>@Flower_1r</t>
  </si>
  <si>
    <t>에스토니아</t>
  </si>
  <si>
    <t>탈린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</si>
  <si>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</si>
  <si>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</si>
  <si>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</si>
  <si>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</si>
  <si>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</si>
  <si>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</si>
  <si>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</si>
  <si>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</si>
  <si>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</si>
  <si>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</si>
  <si>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</si>
  <si>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</si>
  <si>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</si>
  <si>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</si>
  <si>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</si>
  <si>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</si>
  <si>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</si>
  <si>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</si>
  <si>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</si>
  <si>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</si>
  <si>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</si>
  <si>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</si>
  <si>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</si>
  <si>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00410523-00490</t>
  </si>
  <si>
    <t>Кольченко Вениамин Евгеньевич</t>
  </si>
  <si>
    <t>7-922-547-6249</t>
  </si>
  <si>
    <t>@Nuggets_KFC</t>
  </si>
  <si>
    <t>00410523-00492</t>
  </si>
  <si>
    <t>Юрков Саиджон Сиддикович</t>
  </si>
  <si>
    <t>998-90-948-5444</t>
  </si>
  <si>
    <t>@Saidka2010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</si>
  <si>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</si>
  <si>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</si>
  <si>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</si>
  <si>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</si>
  <si>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</si>
  <si>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</si>
  <si>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</si>
  <si>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</si>
  <si>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</si>
  <si>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</si>
  <si>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</si>
  <si>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</si>
  <si>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</si>
  <si>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</si>
  <si>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</si>
  <si>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</si>
  <si>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</si>
  <si>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</si>
  <si>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</si>
  <si>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</si>
  <si>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</si>
  <si>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</si>
  <si>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</si>
  <si>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</si>
  <si>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</si>
  <si>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</si>
  <si>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</si>
  <si>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</si>
  <si>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</si>
  <si>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00400530-00161</t>
  </si>
  <si>
    <t>00400530-00170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</si>
  <si>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</si>
  <si>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</si>
  <si>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</si>
  <si>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</si>
  <si>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</si>
  <si>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</si>
  <si>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</si>
  <si>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</si>
  <si>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</si>
  <si>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</si>
  <si>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</si>
  <si>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Гузова Виктория Юрьевна</t>
  </si>
  <si>
    <t>380-50-274-1148</t>
  </si>
  <si>
    <t>@viiktoosha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</si>
  <si>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</si>
  <si>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</si>
  <si>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</si>
  <si>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</si>
  <si>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</si>
  <si>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</si>
  <si>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</si>
  <si>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</si>
  <si>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</si>
  <si>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</si>
  <si>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</si>
  <si>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</si>
  <si>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</si>
  <si>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</si>
  <si>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</si>
  <si>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</si>
  <si>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</si>
  <si>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</si>
  <si>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</si>
  <si>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</si>
  <si>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</si>
  <si>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</si>
  <si>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</si>
  <si>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</si>
  <si>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</si>
  <si>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</si>
  <si>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</si>
  <si>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</si>
  <si>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</si>
  <si>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</si>
  <si>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</si>
  <si>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</si>
  <si>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폴타바</t>
  </si>
  <si>
    <t>00410523-00486</t>
  </si>
  <si>
    <t>Жиліна Єлизавета Андріївна</t>
  </si>
  <si>
    <t>380-95-498-5303</t>
  </si>
  <si>
    <t>@El_An_Zh</t>
  </si>
  <si>
    <t>00410523-00491</t>
  </si>
  <si>
    <t>Бескоровайна Софія Вячеславівна</t>
  </si>
  <si>
    <t>380-68-306-9895</t>
  </si>
  <si>
    <t>@beskorsofi</t>
  </si>
  <si>
    <t>가디야치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</si>
  <si>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</si>
  <si>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</si>
  <si>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</si>
  <si>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</si>
  <si>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</si>
  <si>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</si>
  <si>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</si>
  <si>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</si>
  <si>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</si>
  <si>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</si>
  <si>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</si>
  <si>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</si>
  <si>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</si>
  <si>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</si>
  <si>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</si>
  <si>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</si>
  <si>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</si>
  <si>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</si>
  <si>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</si>
  <si>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</si>
  <si>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</si>
  <si>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</si>
  <si>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</si>
  <si>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</si>
  <si>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브레스트주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</si>
  <si>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</si>
  <si>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</si>
  <si>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</si>
  <si>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</si>
  <si>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</si>
  <si>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</si>
  <si>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</si>
  <si>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</si>
  <si>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</si>
  <si>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</si>
  <si>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</si>
  <si>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</si>
  <si>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</si>
  <si>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</si>
  <si>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</si>
  <si>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</si>
  <si>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</si>
  <si>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</si>
  <si>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</si>
  <si>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</si>
  <si>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</si>
  <si>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</si>
  <si>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</si>
  <si>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</si>
  <si>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</si>
  <si>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</si>
  <si>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</si>
  <si>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</si>
  <si>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</si>
  <si>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</si>
  <si>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</si>
  <si>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</si>
  <si>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</si>
  <si>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</si>
  <si>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</si>
  <si>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</si>
  <si>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</si>
  <si>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</si>
  <si>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</si>
  <si>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</si>
  <si>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</si>
  <si>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</si>
  <si>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</si>
  <si>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</si>
  <si>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</si>
  <si>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</si>
  <si>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</si>
  <si>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</si>
  <si>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5-1구역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</si>
  <si>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</si>
  <si>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</si>
  <si>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</si>
  <si>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</si>
  <si>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</si>
  <si>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</si>
  <si>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</si>
  <si>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</si>
  <si>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</si>
  <si>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</si>
  <si>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</si>
  <si>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</si>
  <si>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</si>
  <si>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</si>
  <si>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</si>
  <si>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</si>
  <si>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</si>
  <si>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</si>
  <si>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</si>
  <si>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</si>
  <si>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</si>
  <si>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</si>
  <si>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</si>
  <si>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</si>
  <si>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</si>
  <si>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</si>
  <si>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</si>
  <si>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</si>
  <si>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</si>
  <si>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</si>
  <si>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</si>
  <si>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</si>
  <si>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</si>
  <si>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</si>
  <si>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</si>
  <si>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</si>
  <si>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</si>
  <si>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</si>
  <si>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</si>
  <si>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</si>
  <si>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</si>
  <si>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</si>
  <si>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</si>
  <si>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</si>
  <si>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</si>
  <si>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</si>
  <si>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5-2구역</t>
  </si>
  <si>
    <t>ШЕРШУН ЯНА АНДРІЇВНА</t>
  </si>
  <si>
    <t>380-99-604-7585</t>
  </si>
  <si>
    <t>@Yana_Shersh</t>
  </si>
  <si>
    <t>부차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</si>
  <si>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</si>
  <si>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</si>
  <si>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</si>
  <si>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</si>
  <si>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</si>
  <si>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</si>
  <si>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</si>
  <si>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</si>
  <si>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</si>
  <si>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</si>
  <si>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</si>
  <si>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</si>
  <si>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</si>
  <si>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</si>
  <si>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</si>
  <si>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</si>
  <si>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</si>
  <si>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</si>
  <si>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</si>
  <si>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노르트라인베스트팔렌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</si>
  <si>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</si>
  <si>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</si>
  <si>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</si>
  <si>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</si>
  <si>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</si>
  <si>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</si>
  <si>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</si>
  <si>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</si>
  <si>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</si>
  <si>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00361031-00485</t>
  </si>
  <si>
    <t>Киблер Марина</t>
  </si>
  <si>
    <t>7-747-228-23-20</t>
  </si>
  <si>
    <t>@mkibler55</t>
  </si>
  <si>
    <t>00371218-00455</t>
  </si>
  <si>
    <t>Тё Нина</t>
  </si>
  <si>
    <t>7-701-726-83-88</t>
  </si>
  <si>
    <t>@ninatyo52</t>
  </si>
  <si>
    <t>00361031-00483</t>
  </si>
  <si>
    <t>Романова София</t>
  </si>
  <si>
    <t>-7777-284-82-48</t>
  </si>
  <si>
    <t>@sofiyarom2023</t>
  </si>
  <si>
    <t>00340624-00327</t>
  </si>
  <si>
    <t>Сидорова Наиля</t>
  </si>
  <si>
    <t>7-705-273-4721</t>
  </si>
  <si>
    <t>@Xi10s</t>
  </si>
  <si>
    <t>00381122-00007</t>
  </si>
  <si>
    <t>Комекова Айткуль</t>
  </si>
  <si>
    <t>7-701-555-0539</t>
  </si>
  <si>
    <t>@amanat40</t>
  </si>
  <si>
    <t>00381122-00006</t>
  </si>
  <si>
    <t>Плесовских Татьяна</t>
  </si>
  <si>
    <t>(8-747)-285-65-85</t>
  </si>
  <si>
    <t>@Plesovskih_Tanya</t>
  </si>
  <si>
    <t>00371218-00456</t>
  </si>
  <si>
    <t>00390826-00096</t>
  </si>
  <si>
    <t>@Trofim52</t>
  </si>
  <si>
    <t>Цой Афанасий</t>
  </si>
  <si>
    <t>7-701-439-51-15</t>
  </si>
  <si>
    <t>@tsoyafanassiy</t>
  </si>
  <si>
    <t>제놉빅토르페트로비치</t>
  </si>
  <si>
    <t>Зенов Виктор Петрович</t>
  </si>
  <si>
    <t>7705-232-6840</t>
  </si>
  <si>
    <t>@zenov26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</si>
  <si>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</si>
  <si>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</si>
  <si>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</si>
  <si>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</si>
  <si>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</si>
  <si>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</si>
  <si>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</si>
  <si>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</si>
  <si>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</si>
  <si>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</si>
  <si>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</si>
  <si>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</si>
  <si>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</si>
  <si>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</si>
  <si>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</si>
  <si>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00381122-00017</t>
  </si>
  <si>
    <t>사그데옙티모페이불라토비치</t>
  </si>
  <si>
    <t>Сагдеев Тимофей</t>
  </si>
  <si>
    <t>87071653151</t>
  </si>
  <si>
    <t>출결제외해지(24/5/16~25/2/28)</t>
  </si>
  <si>
    <t>00390826-00112</t>
  </si>
  <si>
    <t>코메콥누르벡쉰그스칸지예비치</t>
  </si>
  <si>
    <t>Комеков Нурбек Шынгысказиевич</t>
  </si>
  <si>
    <t>142-43336121</t>
  </si>
  <si>
    <t>00371217-01043</t>
  </si>
  <si>
    <t>두비닌발레리발렌티노비치</t>
  </si>
  <si>
    <t>Дубинин Валерий</t>
  </si>
  <si>
    <t>7-707-360-33-24</t>
  </si>
  <si>
    <t>@Valer739</t>
  </si>
  <si>
    <t>00371217-01045</t>
  </si>
  <si>
    <t>마네소브알렉산드르샤무라토비치</t>
  </si>
  <si>
    <t>Манесов Александр</t>
  </si>
  <si>
    <t>7707-1027-388</t>
  </si>
  <si>
    <t>00360423-00588</t>
  </si>
  <si>
    <t>00361031-00484</t>
  </si>
  <si>
    <t>00371217-01041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</si>
  <si>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</si>
  <si>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</si>
  <si>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</si>
  <si>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</si>
  <si>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</si>
  <si>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</si>
  <si>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Миронова Маринa</t>
  </si>
  <si>
    <t>-7-702-340-48-75</t>
  </si>
  <si>
    <t>@marinamironovakamisheva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</si>
  <si>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</si>
  <si>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</si>
  <si>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</si>
  <si>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</si>
  <si>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</si>
  <si>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</si>
  <si>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</si>
  <si>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00371218-00457</t>
  </si>
  <si>
    <t>Огнева Ирина</t>
  </si>
  <si>
    <t>7-700-716-24-65</t>
  </si>
  <si>
    <t>출결제외해지 (25/3/6~25/5/11)</t>
  </si>
  <si>
    <t>입원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</si>
  <si>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</si>
  <si>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</si>
  <si>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</si>
  <si>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</si>
  <si>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</si>
  <si>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</si>
  <si>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</si>
  <si>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</si>
  <si>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</si>
  <si>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</si>
  <si>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</si>
  <si>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</si>
  <si>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</si>
  <si>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00391111-00148</t>
  </si>
  <si>
    <t>아만졸로바굴미라아미로브나</t>
  </si>
  <si>
    <t>Аманжолова Гульмира Амировна</t>
  </si>
  <si>
    <t>8-705-421-7676</t>
  </si>
  <si>
    <t>@Amanzholova_Gulmira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</si>
  <si>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</si>
  <si>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</si>
  <si>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</si>
  <si>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</si>
  <si>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</si>
  <si>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00350330-00147</t>
  </si>
  <si>
    <t>Егорова Людмила</t>
  </si>
  <si>
    <t>7-747-479-7479</t>
  </si>
  <si>
    <t>@Lusia5</t>
  </si>
  <si>
    <t>00381122-00005</t>
  </si>
  <si>
    <t>김글라피라니콜라예브나</t>
  </si>
  <si>
    <t>Ким Глафира</t>
  </si>
  <si>
    <t>(8-705)-107-48-85</t>
  </si>
  <si>
    <t>@Glafirakim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</si>
  <si>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</si>
  <si>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</si>
  <si>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</si>
  <si>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</si>
  <si>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</si>
  <si>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</si>
  <si>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</si>
  <si>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</si>
  <si>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</si>
  <si>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</si>
  <si>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</si>
  <si>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</si>
  <si>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</si>
  <si>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</si>
  <si>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</si>
  <si>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00391111-00150</t>
  </si>
  <si>
    <t>Кулинич Алла</t>
  </si>
  <si>
    <t>7-777-459-7382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</si>
  <si>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</si>
  <si>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</si>
  <si>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</si>
  <si>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</si>
  <si>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</si>
  <si>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</si>
  <si>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</si>
  <si>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</si>
  <si>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</si>
  <si>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</si>
  <si>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</si>
  <si>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</si>
  <si>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</si>
  <si>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</si>
  <si>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</si>
  <si>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</si>
  <si>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00400227-01382</t>
  </si>
  <si>
    <t>Гилева Любовь Артемовна</t>
  </si>
  <si>
    <t>7-747-848-6388</t>
  </si>
  <si>
    <t xml:space="preserve"> @LUBOVGILEVA</t>
  </si>
  <si>
    <t>쿼스타나이주</t>
  </si>
  <si>
    <t>00400227-01380</t>
  </si>
  <si>
    <t>Пак Анна Алексеевна</t>
  </si>
  <si>
    <t>7-705-196-7998</t>
  </si>
  <si>
    <t xml:space="preserve"> @AnnaPak1380</t>
  </si>
  <si>
    <t>알마티시</t>
  </si>
  <si>
    <t>00400227-01384</t>
  </si>
  <si>
    <t>Авяева Вера Петровна</t>
  </si>
  <si>
    <t>7-707-585-8242</t>
  </si>
  <si>
    <t>@VeraAvyaeva1384</t>
  </si>
  <si>
    <t>?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</si>
  <si>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</si>
  <si>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</si>
  <si>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</si>
  <si>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</si>
  <si>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</si>
  <si>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</si>
  <si>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</si>
  <si>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</si>
  <si>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</si>
  <si>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</si>
  <si>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</si>
  <si>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</si>
  <si>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</si>
  <si>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</si>
  <si>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</si>
  <si>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</si>
  <si>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</si>
  <si>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</si>
  <si>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</si>
  <si>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</si>
  <si>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</si>
  <si>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</si>
  <si>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</si>
  <si>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</si>
  <si>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</si>
  <si>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</si>
  <si>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</si>
  <si>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</si>
  <si>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</si>
  <si>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</si>
  <si>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</si>
  <si>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</si>
  <si>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</si>
  <si>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</si>
  <si>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</si>
  <si>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</si>
  <si>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00410523-00454</t>
  </si>
  <si>
    <t>Пыркова Ольга Александровна</t>
  </si>
  <si>
    <t>7-777-398-0775</t>
  </si>
  <si>
    <t>@Oligapircova54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</si>
  <si>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</si>
  <si>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</si>
  <si>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</si>
  <si>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</si>
  <si>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</si>
  <si>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00410523-00458</t>
  </si>
  <si>
    <t>Валова Наталья Александровна</t>
  </si>
  <si>
    <t>7-701-352-5809</t>
  </si>
  <si>
    <t>@Natalia_Valova</t>
  </si>
  <si>
    <t>00410523-00464</t>
  </si>
  <si>
    <t>БАТЫРЖАНОВА ЗИЯГУЛЬ БАКАНОВНА</t>
  </si>
  <si>
    <t>7-777-678-3300</t>
  </si>
  <si>
    <t>@Ziagul_batyrjanova</t>
  </si>
  <si>
    <t>00410523-00467</t>
  </si>
  <si>
    <t>Хасанова Гулсинай Утегеновна</t>
  </si>
  <si>
    <t>7-771-496-1648</t>
  </si>
  <si>
    <t>@Guly6419</t>
  </si>
  <si>
    <t>탈가르</t>
  </si>
  <si>
    <t>00400227-01402</t>
  </si>
  <si>
    <t>2-1구역</t>
  </si>
  <si>
    <t>Етикпаева Мадина Бакытхановна</t>
  </si>
  <si>
    <t>7-705-679-0009</t>
  </si>
  <si>
    <t>@EtikpaevaM</t>
  </si>
  <si>
    <t>00371218-00467</t>
  </si>
  <si>
    <t>Ан Александра</t>
  </si>
  <si>
    <t>7-700-294-95-53</t>
  </si>
  <si>
    <t>@alexandralan</t>
  </si>
  <si>
    <t>00381122-00016</t>
  </si>
  <si>
    <t>Сагдеева Регина</t>
  </si>
  <si>
    <t>7747-297-8980</t>
  </si>
  <si>
    <t>@ReginaCISKazakhstan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</si>
  <si>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</si>
  <si>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</si>
  <si>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</si>
  <si>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</si>
  <si>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</si>
  <si>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</si>
  <si>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</si>
  <si>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</si>
  <si>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</si>
  <si>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</si>
  <si>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00400227-01404</t>
  </si>
  <si>
    <t>Акпирова Арзигул Амановна</t>
  </si>
  <si>
    <t>7-707-481-7352</t>
  </si>
  <si>
    <t>@akpirova1981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</si>
  <si>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</si>
  <si>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</si>
  <si>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</si>
  <si>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</si>
  <si>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</si>
  <si>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00400227-01419</t>
  </si>
  <si>
    <t>Стрюк Ирина Александровна</t>
  </si>
  <si>
    <t>7-777-046-0284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</si>
  <si>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</si>
  <si>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</si>
  <si>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</si>
  <si>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</si>
  <si>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</si>
  <si>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</si>
  <si>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</si>
  <si>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</si>
  <si>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</si>
  <si>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</si>
  <si>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</si>
  <si>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</si>
  <si>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</si>
  <si>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</si>
  <si>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</si>
  <si>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</si>
  <si>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</si>
  <si>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</si>
  <si>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</si>
  <si>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00410822-01059</t>
  </si>
  <si>
    <t>2-2구역</t>
  </si>
  <si>
    <t>Турсуналиева Ырызбубу</t>
  </si>
  <si>
    <t>996-70-809-2928</t>
  </si>
  <si>
    <t>@AKJKU</t>
  </si>
  <si>
    <t>00410822-01064</t>
  </si>
  <si>
    <t>Бабенко Ирина Владимировна</t>
  </si>
  <si>
    <t>7-777-373-6723</t>
  </si>
  <si>
    <t>@IrinaBabenko64</t>
  </si>
  <si>
    <t>00410822-01065</t>
  </si>
  <si>
    <t>Саттарова Алла Борисовна</t>
  </si>
  <si>
    <t>7-705-229-2391</t>
  </si>
  <si>
    <t>@SAllAbor</t>
  </si>
  <si>
    <t>00410822-01070</t>
  </si>
  <si>
    <t>DAVIDOVICH ALBINA</t>
  </si>
  <si>
    <t>7-777-920-8855</t>
  </si>
  <si>
    <t>@Aldavid528</t>
  </si>
  <si>
    <t>망기스타우</t>
  </si>
  <si>
    <t>00410822-01074</t>
  </si>
  <si>
    <t>Джуматаева Азиза Тылевовна</t>
  </si>
  <si>
    <t>998-90-914-4473</t>
  </si>
  <si>
    <t>@Aziza197104</t>
  </si>
  <si>
    <t>00410822-01076</t>
  </si>
  <si>
    <t>Радаева Елена Александровна</t>
  </si>
  <si>
    <t>7-777-611-3529</t>
  </si>
  <si>
    <t>울리타우</t>
  </si>
  <si>
    <t>00410822-01077</t>
  </si>
  <si>
    <t>Абдрахманова Алтынай Шавкатбековна</t>
  </si>
  <si>
    <t>7-705-476-1429</t>
  </si>
  <si>
    <t>@Altyn2906</t>
  </si>
  <si>
    <t>아크몰라</t>
  </si>
  <si>
    <t>00410822-01086</t>
  </si>
  <si>
    <t>KIM OKSANA LEONTEVNA</t>
  </si>
  <si>
    <t>998-99-369-0410</t>
  </si>
  <si>
    <t xml:space="preserve"> @oksashka10</t>
  </si>
  <si>
    <t>00400530-00100</t>
  </si>
  <si>
    <t>00400530-00095</t>
  </si>
  <si>
    <t>3-1구역</t>
  </si>
  <si>
    <t>주마예바부룰뷰뷰주마카드로브나</t>
  </si>
  <si>
    <t>Жумаева Бурул Джумакадыровна</t>
  </si>
  <si>
    <t>996-552-008-110</t>
  </si>
  <si>
    <t>@Jburul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</si>
  <si>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</si>
  <si>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</si>
  <si>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</si>
  <si>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</si>
  <si>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</si>
  <si>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</si>
  <si>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</si>
  <si>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</si>
  <si>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</si>
  <si>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</si>
  <si>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</si>
  <si>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</si>
  <si>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</si>
  <si>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</si>
  <si>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</si>
  <si>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</si>
  <si>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</si>
  <si>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</si>
  <si>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</si>
  <si>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</si>
  <si>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</si>
  <si>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</si>
  <si>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카라간다주</t>
  </si>
  <si>
    <t>사타로바투르두부부주마카드로브나</t>
  </si>
  <si>
    <t>Сатарова Турду Жумакадыровна</t>
  </si>
  <si>
    <t>7-777-789-0456</t>
  </si>
  <si>
    <t>@turdushka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</si>
  <si>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</si>
  <si>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</si>
  <si>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</si>
  <si>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</si>
  <si>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</si>
  <si>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</si>
  <si>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00400530-00099</t>
  </si>
  <si>
    <t>프르샤즈뉵류샤므콜라이브나</t>
  </si>
  <si>
    <t>Присяжнюк Люся Николаевна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</si>
  <si>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</si>
  <si>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</si>
  <si>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</si>
  <si>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</si>
  <si>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</si>
  <si>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</si>
  <si>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</si>
  <si>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</si>
  <si>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</si>
  <si>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</si>
  <si>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</si>
  <si>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00411010-02034</t>
  </si>
  <si>
    <t>Тохтарова Фарида Сулеймовна</t>
  </si>
  <si>
    <t>7-702-702-4008</t>
  </si>
  <si>
    <t>@Farida777888</t>
  </si>
  <si>
    <t>3-2구역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</si>
  <si>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</si>
  <si>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</si>
  <si>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</si>
  <si>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</si>
  <si>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</si>
  <si>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</si>
  <si>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</si>
  <si>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</si>
  <si>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</si>
  <si>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</si>
  <si>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</si>
  <si>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</si>
  <si>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</si>
  <si>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</si>
  <si>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</si>
  <si>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</si>
  <si>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</si>
  <si>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</si>
  <si>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</si>
  <si>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</si>
  <si>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</si>
  <si>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</si>
  <si>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</si>
  <si>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</si>
  <si>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</si>
  <si>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</si>
  <si>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</si>
  <si>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</si>
  <si>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@Elena_teen9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</si>
  <si>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</si>
  <si>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</si>
  <si>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</si>
  <si>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</si>
  <si>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</si>
  <si>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</si>
  <si>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00400530-00153</t>
  </si>
  <si>
    <t>록테바올레샤세르게예브나</t>
  </si>
  <si>
    <t>Локтева Олеся Сергеевна</t>
  </si>
  <si>
    <t>7-707-821-7383 / 7-778-400-4655</t>
  </si>
  <si>
    <t>남카자흐스탄 주</t>
  </si>
  <si>
    <t>출결제외해지(24/2/16~25/2/28)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</si>
  <si>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</si>
  <si>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</si>
  <si>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</si>
  <si>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</si>
  <si>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</si>
  <si>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</si>
  <si>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00400819-00476</t>
  </si>
  <si>
    <t>나우루즈바예바미르굴비심바예브나</t>
  </si>
  <si>
    <t>Евбасарова Татьяна Петровна</t>
  </si>
  <si>
    <t>7-705-321-7853</t>
  </si>
  <si>
    <t xml:space="preserve"> @petrovnapx</t>
  </si>
  <si>
    <t>00381122-00002</t>
  </si>
  <si>
    <t>칸라리사표도로브나</t>
  </si>
  <si>
    <t>Кан Лариса</t>
  </si>
  <si>
    <t>7-700-687-9705</t>
  </si>
  <si>
    <t>@larisa_kan49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</si>
  <si>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</si>
  <si>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</si>
  <si>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</si>
  <si>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</si>
  <si>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</si>
  <si>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</si>
  <si>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</si>
  <si>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</si>
  <si>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</si>
  <si>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</si>
  <si>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</si>
  <si>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</si>
  <si>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00381122-00009</t>
  </si>
  <si>
    <t>Хожамкулова Гульнара</t>
  </si>
  <si>
    <t>(7-707)-877-84-22</t>
  </si>
  <si>
    <t>@Culnara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</si>
  <si>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</si>
  <si>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</si>
  <si>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</si>
  <si>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</si>
  <si>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</si>
  <si>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00381122-00022</t>
  </si>
  <si>
    <t>나우루즈바옙아흐마디아타튜르코비치</t>
  </si>
  <si>
    <t>Наурузбаев Ахмади</t>
  </si>
  <si>
    <t>7-778-180-14-97</t>
  </si>
  <si>
    <t>@akhmadi_3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</si>
  <si>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</si>
  <si>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</si>
  <si>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</si>
  <si>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</si>
  <si>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</si>
  <si>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</si>
  <si>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</si>
  <si>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</si>
  <si>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</si>
  <si>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</si>
  <si>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</si>
  <si>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</si>
  <si>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</si>
  <si>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</si>
  <si>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</si>
  <si>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</si>
  <si>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</si>
  <si>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</si>
  <si>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</si>
  <si>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</si>
  <si>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</si>
  <si>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</si>
  <si>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</si>
  <si>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</si>
  <si>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</si>
  <si>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00381122-00010</t>
  </si>
  <si>
    <t>00400530-00116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</si>
  <si>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</si>
  <si>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</si>
  <si>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</si>
  <si>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</si>
  <si>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</si>
  <si>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</si>
  <si>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</si>
  <si>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</si>
  <si>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</si>
  <si>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</si>
  <si>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</si>
  <si>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</si>
  <si>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</si>
  <si>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</si>
  <si>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</si>
  <si>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</si>
  <si>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</si>
  <si>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</si>
  <si>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</si>
  <si>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</si>
  <si>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</si>
  <si>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</si>
  <si>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</si>
  <si>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알마티주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</si>
  <si>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</si>
  <si>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</si>
  <si>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</si>
  <si>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</si>
  <si>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</si>
  <si>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</si>
  <si>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</si>
  <si>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</si>
  <si>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</si>
  <si>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</si>
  <si>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</si>
  <si>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</si>
  <si>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</si>
  <si>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</si>
  <si>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</si>
  <si>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</si>
  <si>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</si>
  <si>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</si>
  <si>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</si>
  <si>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</si>
  <si>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</si>
  <si>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</si>
  <si>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</si>
  <si>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</si>
  <si>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</si>
  <si>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</si>
  <si>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</si>
  <si>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</si>
  <si>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</si>
  <si>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</si>
  <si>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</si>
  <si>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00400530-00110</t>
  </si>
  <si>
    <t>클라브디노바타티야나바실리예브나</t>
  </si>
  <si>
    <t>Клавдинова Татьяна Васильевна</t>
  </si>
  <si>
    <t>380-98-130-5061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</si>
  <si>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</si>
  <si>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</si>
  <si>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</si>
  <si>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</si>
  <si>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</si>
  <si>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00371218-00461</t>
  </si>
  <si>
    <t>악토베 새신자</t>
  </si>
  <si>
    <t>Наурузбаева Миргуль</t>
  </si>
  <si>
    <t>@heat_wave_s</t>
  </si>
  <si>
    <t>00400819-00479</t>
  </si>
  <si>
    <t>МАКСИМОВА НАТАЛЬЯ ИГОРЕВНА</t>
  </si>
  <si>
    <t>7-707-610-6765</t>
  </si>
  <si>
    <t>@Maksimova_natalia7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</si>
  <si>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</si>
  <si>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</si>
  <si>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</si>
  <si>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</si>
  <si>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</si>
  <si>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</si>
  <si>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00400819-00486</t>
  </si>
  <si>
    <t xml:space="preserve">Черновская Мария Андреевна </t>
  </si>
  <si>
    <t>7-707-314-6182</t>
  </si>
  <si>
    <t>@Chernovskay_Mariy</t>
  </si>
  <si>
    <t>00400819-00484</t>
  </si>
  <si>
    <t>БОРОВИКОВА Светлана Владимировна</t>
  </si>
  <si>
    <t>996-55-080-1488</t>
  </si>
  <si>
    <t>잘랄아바트주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</si>
  <si>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</si>
  <si>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</si>
  <si>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</si>
  <si>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</si>
  <si>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00420306-00111</t>
  </si>
  <si>
    <t>나손키나마리야블라디미로브나</t>
  </si>
  <si>
    <t>Насонкина Мария Владимировна</t>
  </si>
  <si>
    <t>@nassonkina_mary</t>
  </si>
  <si>
    <t>00400819-00460</t>
  </si>
  <si>
    <t>Ботте Юлия Николаевна</t>
  </si>
  <si>
    <t>7-707-997-2944</t>
  </si>
  <si>
    <t>00400819-00461</t>
  </si>
  <si>
    <t>Гуреева Руза Александровна</t>
  </si>
  <si>
    <t>7-702-471-7801</t>
  </si>
  <si>
    <t>00400819-00467</t>
  </si>
  <si>
    <t>Даулетмуратова Марияна Уралбаевна</t>
  </si>
  <si>
    <t>7-778-466-1511</t>
  </si>
  <si>
    <t>쉼켄트시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</si>
  <si>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</si>
  <si>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</si>
  <si>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</si>
  <si>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</si>
  <si>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</si>
  <si>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00400819-00459</t>
  </si>
  <si>
    <t>나자르베코바쿨자안</t>
  </si>
  <si>
    <t>Назарбекова Кулжаан</t>
  </si>
  <si>
    <t>996-55-507-1029</t>
  </si>
  <si>
    <t>@Gulya14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</si>
  <si>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</si>
  <si>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</si>
  <si>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</si>
  <si>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</si>
  <si>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</si>
  <si>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00410523-00455</t>
  </si>
  <si>
    <t>Лісун Сергій Олександрович</t>
  </si>
  <si>
    <t>380-50-256-0434</t>
  </si>
  <si>
    <t>00410523-00459</t>
  </si>
  <si>
    <t>Лісун Лариса Михайлівна</t>
  </si>
  <si>
    <t>@Iar5d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</si>
  <si>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</si>
  <si>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</si>
  <si>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</si>
  <si>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</si>
  <si>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</si>
  <si>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00401127-01013</t>
  </si>
  <si>
    <t>00401127-01012</t>
  </si>
  <si>
    <t>00401127-01023</t>
  </si>
  <si>
    <t>00401127-01033</t>
  </si>
  <si>
    <t>Гауф Галина Михайловна</t>
  </si>
  <si>
    <t>7-771-624-6405</t>
  </si>
  <si>
    <t>@gauf_galina</t>
  </si>
  <si>
    <t>아바이주, 세메이시</t>
  </si>
  <si>
    <t>ЖУСУПОВА ЖАНЫЛКАН</t>
  </si>
  <si>
    <t>7-775-834-5147</t>
  </si>
  <si>
    <t>@janyljusup</t>
  </si>
  <si>
    <t>아크몰라주, 아스타나</t>
  </si>
  <si>
    <t>Сердюк Ольга Иосифовна</t>
  </si>
  <si>
    <t>7-778-619-7832</t>
  </si>
  <si>
    <t>@OlgaSerdyuk62</t>
  </si>
  <si>
    <t>쉬기스카자흐스탄주 세레브랸스크시</t>
  </si>
  <si>
    <t>Шадчнева Ирина Дмитриевна</t>
  </si>
  <si>
    <t>7-705-318-9617</t>
  </si>
  <si>
    <t>@Schadchneva52</t>
  </si>
  <si>
    <t>쉬기스카자흐스탄주 리데르 시</t>
  </si>
  <si>
    <t>00401127-01024</t>
  </si>
  <si>
    <t>Drozdova Tatyana Anatolevna</t>
  </si>
  <si>
    <t>998-90-950-4694</t>
  </si>
  <si>
    <t>타슈켄트시 타슈켄트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</si>
  <si>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</si>
  <si>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</si>
  <si>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</si>
  <si>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</si>
  <si>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</si>
  <si>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알마티 가까움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</si>
  <si>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</si>
  <si>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</si>
  <si>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</si>
  <si>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</si>
  <si>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</si>
  <si>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</si>
  <si>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</si>
  <si>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</si>
  <si>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</si>
  <si>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</si>
  <si>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</si>
  <si>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</si>
  <si>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</si>
  <si>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</si>
  <si>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</si>
  <si>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</si>
  <si>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</si>
  <si>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</si>
  <si>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</si>
  <si>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</si>
  <si>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</si>
  <si>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</si>
  <si>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</si>
  <si>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</si>
  <si>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</si>
  <si>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</si>
  <si>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</si>
  <si>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</si>
  <si>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</si>
  <si>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00410326-00117</t>
  </si>
  <si>
    <t>Мамутова Алсу Сухрабовна</t>
  </si>
  <si>
    <t>7-708-356-2526</t>
  </si>
  <si>
    <t>@alsu_m18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</si>
  <si>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</si>
  <si>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</si>
  <si>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</si>
  <si>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</si>
  <si>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</si>
  <si>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</si>
  <si>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</si>
  <si>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</si>
  <si>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00400530-00142</t>
  </si>
  <si>
    <t xml:space="preserve"> Кулешова Сардана Сергеевна</t>
  </si>
  <si>
    <t>7-914-235-3571</t>
  </si>
  <si>
    <t>@o_sardana_Mas_wrestling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</si>
  <si>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</si>
  <si>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</si>
  <si>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</si>
  <si>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</si>
  <si>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</si>
  <si>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</si>
  <si>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</si>
  <si>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00400530-00147</t>
  </si>
  <si>
    <t>포포바안나니콜라예브나</t>
  </si>
  <si>
    <t>Попова Анна</t>
  </si>
  <si>
    <t>7-914-225-9851</t>
  </si>
  <si>
    <t>@popova_anya97</t>
  </si>
  <si>
    <t>00410822-01084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</si>
  <si>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</si>
  <si>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</si>
  <si>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</si>
  <si>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</si>
  <si>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</si>
  <si>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00411010-02042</t>
  </si>
  <si>
    <t>일리나올가페트로브나</t>
  </si>
  <si>
    <t>Ильина Ольга Петровна</t>
  </si>
  <si>
    <t>7-908-668-5505</t>
  </si>
  <si>
    <t>@ilina_op</t>
  </si>
  <si>
    <t>00420306-00105</t>
  </si>
  <si>
    <t>Кунучакова Алёна Александровна</t>
  </si>
  <si>
    <t>7-983-272-2499</t>
  </si>
  <si>
    <t>@Alena387</t>
  </si>
  <si>
    <t>00420306-00107</t>
  </si>
  <si>
    <t>Турсунова Маргарита Сергеевна</t>
  </si>
  <si>
    <t>7-993-556-4188</t>
  </si>
  <si>
    <t>@Margarita90_Zhemchug</t>
  </si>
  <si>
    <t>00400530-00097</t>
  </si>
  <si>
    <t>00400530-00121</t>
  </si>
  <si>
    <t>크라이스만마리나</t>
  </si>
  <si>
    <t>Крайсман Марина</t>
  </si>
  <si>
    <t>8-901-438-7446</t>
  </si>
  <si>
    <t>@mplarksch</t>
  </si>
  <si>
    <t>브람쉐</t>
  </si>
  <si>
    <t>크비린그나탈리야</t>
  </si>
  <si>
    <t>Квиринг Наталья</t>
  </si>
  <si>
    <t>49-176-2046-0446</t>
  </si>
  <si>
    <t>@quieringnatalia</t>
  </si>
  <si>
    <t>데드몰트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</si>
  <si>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</si>
  <si>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</si>
  <si>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</si>
  <si>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</si>
  <si>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</si>
  <si>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</si>
  <si>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</si>
  <si>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</si>
  <si>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</si>
  <si>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</si>
  <si>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</si>
  <si>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</si>
  <si>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</si>
  <si>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</si>
  <si>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</si>
  <si>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</si>
  <si>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</si>
  <si>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</si>
  <si>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</si>
  <si>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</si>
  <si>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</si>
  <si>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00420613-00116</t>
  </si>
  <si>
    <t>Alischer Rahel</t>
  </si>
  <si>
    <t>49-176-2277-8496</t>
  </si>
  <si>
    <t>00400227-01408</t>
  </si>
  <si>
    <t xml:space="preserve">@natalia_bazhanova </t>
  </si>
  <si>
    <t>Атажанова Екатерина Олеговна</t>
  </si>
  <si>
    <t>7-914-787-4461</t>
  </si>
  <si>
    <t>@atazhanovakatya</t>
  </si>
  <si>
    <t>페트로파블로프스크 캄차츠키시</t>
  </si>
  <si>
    <t>00400227-01394</t>
  </si>
  <si>
    <t>Михальчук Елена Викторовна</t>
  </si>
  <si>
    <t>7-951-528-3177</t>
  </si>
  <si>
    <t>@ElenaMixalhyk</t>
  </si>
  <si>
    <t>로스토프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</si>
  <si>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</si>
  <si>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</si>
  <si>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</si>
  <si>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</si>
  <si>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</si>
  <si>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</si>
  <si>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</si>
  <si>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</si>
  <si>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</si>
  <si>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</si>
  <si>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00400819-00482</t>
  </si>
  <si>
    <t>파니나크리스티나아나톨리예브나</t>
  </si>
  <si>
    <t>Панина Кристина Анатольевна</t>
  </si>
  <si>
    <t>7-985-759-2803</t>
  </si>
  <si>
    <t>00400819-00488</t>
  </si>
  <si>
    <t>00400819-00495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</si>
  <si>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</si>
  <si>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</si>
  <si>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</si>
  <si>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</si>
  <si>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Мамоян Мидия Шарифовна</t>
  </si>
  <si>
    <t>7-918-332-3853</t>
  </si>
  <si>
    <t>@Midiya_M</t>
  </si>
  <si>
    <t>크라스노다르주</t>
  </si>
  <si>
    <t>00400819-00493</t>
  </si>
  <si>
    <t xml:space="preserve">Галуц Яна Валерьевна </t>
  </si>
  <si>
    <t>375-33-619-9084</t>
  </si>
  <si>
    <t>@janka_galuts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</si>
  <si>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</si>
  <si>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</si>
  <si>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</si>
  <si>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</si>
  <si>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</si>
  <si>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</si>
  <si>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</si>
  <si>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</si>
  <si>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</si>
  <si>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</si>
  <si>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</si>
  <si>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</si>
  <si>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</si>
  <si>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</si>
  <si>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</si>
  <si>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</si>
  <si>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</si>
  <si>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</si>
  <si>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</si>
  <si>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00410326-00092</t>
  </si>
  <si>
    <t xml:space="preserve">@Petrishina69 </t>
  </si>
  <si>
    <t>Сосновская Наталья Владимировна</t>
  </si>
  <si>
    <t>380-99-037-2566</t>
  </si>
  <si>
    <t>@natala74</t>
  </si>
  <si>
    <t>00410326-00087</t>
  </si>
  <si>
    <t>Оюн Оксана Куштарановна</t>
  </si>
  <si>
    <t>7-913-342-2490</t>
  </si>
  <si>
    <t>투바공화국</t>
  </si>
  <si>
    <t>00410326-00089</t>
  </si>
  <si>
    <t>Ковальчук Ирина Ивановна</t>
  </si>
  <si>
    <t>380-95-445-2838</t>
  </si>
  <si>
    <t>@Irina08_04</t>
  </si>
  <si>
    <t>지토미르</t>
  </si>
  <si>
    <t>00410326-00091</t>
  </si>
  <si>
    <t>Лобанова Ольга Анатольевна</t>
  </si>
  <si>
    <t>7-911-349-4962</t>
  </si>
  <si>
    <t>@LobanovaOlga72</t>
  </si>
  <si>
    <t>무르만스크</t>
  </si>
  <si>
    <t>00410326-00094</t>
  </si>
  <si>
    <t>Rəhimova Könül Kazım</t>
  </si>
  <si>
    <t>994-55-492-5942</t>
  </si>
  <si>
    <t>@OkXan</t>
  </si>
  <si>
    <t>숨가이트</t>
  </si>
  <si>
    <t>00410326-00095</t>
  </si>
  <si>
    <t>Арычкова Нина Александровна</t>
  </si>
  <si>
    <t>7-927-717-1795</t>
  </si>
  <si>
    <t>@ArihkovaN</t>
  </si>
  <si>
    <t>사마라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</si>
  <si>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</si>
  <si>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</si>
  <si>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</si>
  <si>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</si>
  <si>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</si>
  <si>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</si>
  <si>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</si>
  <si>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</si>
  <si>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</si>
  <si>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</si>
  <si>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</si>
  <si>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</si>
  <si>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</si>
  <si>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</si>
  <si>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</si>
  <si>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00400227-01386</t>
  </si>
  <si>
    <t>00410326-00085</t>
  </si>
  <si>
    <t>Мисикова Тамара Ивановна</t>
  </si>
  <si>
    <t>7-922-709-0151</t>
  </si>
  <si>
    <t>@Tamara_186</t>
  </si>
  <si>
    <t>한티만시스크</t>
  </si>
  <si>
    <t>Назарова Ольга Анатольевна</t>
  </si>
  <si>
    <t>7-902-258-4308</t>
  </si>
  <si>
    <t>@Onasar55</t>
  </si>
  <si>
    <t>00410326-00079</t>
  </si>
  <si>
    <t>Плотникова Наталья Михайловна</t>
  </si>
  <si>
    <t>7-927-187-6088</t>
  </si>
  <si>
    <t>@NatalyaPlotnikova58</t>
  </si>
  <si>
    <t>00410326-00090</t>
  </si>
  <si>
    <t>Исаева Анна Аркадьевна</t>
  </si>
  <si>
    <t>7-924-656-6951</t>
  </si>
  <si>
    <t>@annanikakat</t>
  </si>
  <si>
    <t>부라티야공화국</t>
  </si>
  <si>
    <t>00420306-00083</t>
  </si>
  <si>
    <t>Кулакова Ирина Михайловна</t>
  </si>
  <si>
    <t>7-924-628-4215</t>
  </si>
  <si>
    <t>@Irina58_19</t>
  </si>
  <si>
    <t>앙가르스크</t>
  </si>
  <si>
    <t>00420306-00091</t>
  </si>
  <si>
    <t>КЛЯЙН МАРИНА ГЕНРИХОВНА</t>
  </si>
  <si>
    <t>7-904-459-7959</t>
  </si>
  <si>
    <t>@Marina_180963</t>
  </si>
  <si>
    <t>00420306-00095</t>
  </si>
  <si>
    <t>ЕДИНАРХОВА ОЛЬГА ВЛАДИМИРОВНА</t>
  </si>
  <si>
    <t>7-913-715-4557</t>
  </si>
  <si>
    <t>@Olga65e</t>
  </si>
  <si>
    <t>노보시비르스크</t>
  </si>
  <si>
    <t>00420613-00127</t>
  </si>
  <si>
    <t>Семяхина Татьяна Павловна</t>
  </si>
  <si>
    <t>7-913-459-2029</t>
  </si>
  <si>
    <t>노보시비르스크주</t>
  </si>
  <si>
    <t>새신자3팀</t>
  </si>
  <si>
    <t>00410523-00469</t>
  </si>
  <si>
    <t>00410523-00472</t>
  </si>
  <si>
    <t>ЦойТаисия</t>
  </si>
  <si>
    <t>Чекмазова Татьяна Ивановна</t>
  </si>
  <si>
    <t>7-977-805-0017</t>
  </si>
  <si>
    <t>@Tatjanyshka_svetlaja</t>
  </si>
  <si>
    <t>00410523-00460</t>
  </si>
  <si>
    <t>Мараховская Лариса Андреевна</t>
  </si>
  <si>
    <t>7-961-501-9834</t>
  </si>
  <si>
    <t>@Larakim333</t>
  </si>
  <si>
    <t>00410523-00461</t>
  </si>
  <si>
    <t>Оконешникова Наиля Шамильевна</t>
  </si>
  <si>
    <t>7-916-771-4813</t>
  </si>
  <si>
    <t>@Nelysok59</t>
  </si>
  <si>
    <t>00410523-00463</t>
  </si>
  <si>
    <t>Усачёва Людмила Борисовна</t>
  </si>
  <si>
    <t>7-951-707-7012</t>
  </si>
  <si>
    <t>@Ludmila12300</t>
  </si>
  <si>
    <t>00410523-00466</t>
  </si>
  <si>
    <t>Ефременко Ирина Анфилогеновна</t>
  </si>
  <si>
    <t>7-977-815-5364</t>
  </si>
  <si>
    <t>@Iirina64</t>
  </si>
  <si>
    <t>АЛИЕВА АЛЛА АЛМАХАНОВНА</t>
  </si>
  <si>
    <t>7-952-089-6711</t>
  </si>
  <si>
    <t>@aveilalo7</t>
  </si>
  <si>
    <t>00411010-02031</t>
  </si>
  <si>
    <t>최베네라아파나시예브나</t>
  </si>
  <si>
    <t>Цой Венера Афанасьевна</t>
  </si>
  <si>
    <t>7-901-726-2578</t>
  </si>
  <si>
    <t>@tsoivenera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</si>
  <si>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</si>
  <si>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</si>
  <si>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</si>
  <si>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</si>
  <si>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</si>
  <si>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00420306-00082</t>
  </si>
  <si>
    <t>Леонардт Лариса Викторовна</t>
  </si>
  <si>
    <t>7-952-815-9614</t>
  </si>
  <si>
    <t>@Larico65639</t>
  </si>
  <si>
    <t>00420306-00084</t>
  </si>
  <si>
    <t>Волохова Наталья Фёдоровна</t>
  </si>
  <si>
    <t>7-921-033-7704</t>
  </si>
  <si>
    <t>@Natali67o</t>
  </si>
  <si>
    <t>00400819-00475</t>
  </si>
  <si>
    <t>00400819-00464</t>
  </si>
  <si>
    <t>Семендяева Ирина Викторовна</t>
  </si>
  <si>
    <t>49-176-4454-2439</t>
  </si>
  <si>
    <t>@irinarambs</t>
  </si>
  <si>
    <t>헤센주</t>
  </si>
  <si>
    <t xml:space="preserve">Герасимова Валентина Сергеевна </t>
  </si>
  <si>
    <t>375-29-240-4591</t>
  </si>
  <si>
    <t>@leto140200</t>
  </si>
  <si>
    <t>민스크주</t>
  </si>
  <si>
    <t>00400819-00457</t>
  </si>
  <si>
    <t>Катамада Гералиса (ქათამაძე ლარისა)</t>
  </si>
  <si>
    <t>995-59-311-1825</t>
  </si>
  <si>
    <t>@Enri1952</t>
  </si>
  <si>
    <t>아자리야공화국</t>
  </si>
  <si>
    <t>00400819-00472</t>
  </si>
  <si>
    <t>Пролыгина Татьяна Александровна</t>
  </si>
  <si>
    <t>7-919-146-8610</t>
  </si>
  <si>
    <t>출결제외해지(22/2/16~25/3/14)</t>
  </si>
  <si>
    <t>00401127-01011</t>
  </si>
  <si>
    <t xml:space="preserve"> @e04el 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</si>
  <si>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</si>
  <si>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</si>
  <si>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</si>
  <si>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</si>
  <si>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</si>
  <si>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</si>
  <si>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</si>
  <si>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</si>
  <si>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</si>
  <si>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</si>
  <si>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</si>
  <si>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</si>
  <si>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</si>
  <si>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</si>
  <si>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</si>
  <si>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</si>
  <si>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</si>
  <si>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</si>
  <si>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</si>
  <si>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</si>
  <si>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</si>
  <si>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</si>
  <si>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</si>
  <si>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</si>
  <si>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</si>
  <si>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</si>
  <si>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</si>
  <si>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</si>
  <si>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</si>
  <si>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</si>
  <si>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</si>
  <si>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</si>
  <si>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</si>
  <si>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</si>
  <si>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</si>
  <si>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</si>
  <si>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</si>
  <si>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</si>
  <si>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</si>
  <si>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</si>
  <si>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00401127-01030</t>
  </si>
  <si>
    <t>00401127-01026</t>
  </si>
  <si>
    <t>9구역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</si>
  <si>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</si>
  <si>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</si>
  <si>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</si>
  <si>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</si>
  <si>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Билокинь Лариса Викторовна</t>
  </si>
  <si>
    <t>7-996-161-0528</t>
  </si>
  <si>
    <t>@Larisa3344</t>
  </si>
  <si>
    <t>오룔주, 리브니 세르기예프스코마을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</si>
  <si>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</si>
  <si>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</si>
  <si>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</si>
  <si>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</si>
  <si>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</si>
  <si>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</si>
  <si>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</si>
  <si>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</si>
  <si>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</si>
  <si>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</si>
  <si>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00401127-01045</t>
  </si>
  <si>
    <t>Бурнашева Наталья Викторовна</t>
  </si>
  <si>
    <t>7-909-777-0710</t>
  </si>
  <si>
    <t xml:space="preserve">@MurzilkaNati </t>
  </si>
  <si>
    <t>칼리닌그라드주 칼리닌그라드</t>
  </si>
  <si>
    <t>00401127-01049</t>
  </si>
  <si>
    <t>Басилашвили Татьяна Тариеловна</t>
  </si>
  <si>
    <t>7-964-892-3414</t>
  </si>
  <si>
    <t>크라스노다르 예이스크시</t>
  </si>
  <si>
    <t>00410822-01061</t>
  </si>
  <si>
    <t>마요로바류보비니콜라예브나</t>
  </si>
  <si>
    <t>Майорова Любовь Николаевна</t>
  </si>
  <si>
    <t>34-62-084-0740</t>
  </si>
  <si>
    <t>@Lyubovnico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</si>
  <si>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</si>
  <si>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</si>
  <si>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</si>
  <si>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</si>
  <si>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</si>
  <si>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</si>
  <si>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</si>
  <si>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</si>
  <si>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</si>
  <si>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</si>
  <si>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</si>
  <si>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10구역</t>
  </si>
  <si>
    <t xml:space="preserve">@kanVladimir7 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</si>
  <si>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</si>
  <si>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</si>
  <si>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</si>
  <si>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</si>
  <si>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</si>
  <si>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</si>
  <si>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</si>
  <si>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</si>
  <si>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</si>
  <si>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</si>
  <si>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</si>
  <si>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00400819-00465</t>
  </si>
  <si>
    <t>00400819-00473</t>
  </si>
  <si>
    <t>11구역</t>
  </si>
  <si>
    <t>Ким Сергей</t>
  </si>
  <si>
    <t xml:space="preserve">@execute25 </t>
  </si>
  <si>
    <t>Жанузаков Сиазбек Кангашович</t>
  </si>
  <si>
    <t>7-705-572-6464</t>
  </si>
  <si>
    <t>@siazbek11</t>
  </si>
  <si>
    <t>아바이주</t>
  </si>
  <si>
    <t>Айтмурзакова Сауле Данабековна</t>
  </si>
  <si>
    <t>7-771-176-7346</t>
  </si>
  <si>
    <t>@saule7788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</si>
  <si>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</si>
  <si>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</si>
  <si>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</si>
  <si>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</si>
  <si>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</si>
  <si>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</si>
  <si>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00400819-00468</t>
  </si>
  <si>
    <t>ABDULLAYEV AXMAD REYIMBAYEVICH</t>
  </si>
  <si>
    <t>998-95-904-1266</t>
  </si>
  <si>
    <t>@ahmad120466</t>
  </si>
  <si>
    <t>00400819-00471</t>
  </si>
  <si>
    <t>BOBROV IGOR LEONIDOVICH</t>
  </si>
  <si>
    <t>@Igorbret17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</si>
  <si>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</si>
  <si>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</si>
  <si>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</si>
  <si>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</si>
  <si>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</si>
  <si>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00420306-00100</t>
  </si>
  <si>
    <t>Рульков Игорь Александрович</t>
  </si>
  <si>
    <t>7-952-167-7171</t>
  </si>
  <si>
    <t>@Igor_Rulkiv</t>
  </si>
  <si>
    <t>프로코피옙스크</t>
  </si>
  <si>
    <t>12구역</t>
  </si>
  <si>
    <t xml:space="preserve">@vikcrimea 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</si>
  <si>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</si>
  <si>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</si>
  <si>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</si>
  <si>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</si>
  <si>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</si>
  <si>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</si>
  <si>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</si>
  <si>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</si>
  <si>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</si>
  <si>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</si>
  <si>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</si>
  <si>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</si>
  <si>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</si>
  <si>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00410326-00075</t>
  </si>
  <si>
    <t>Ковальчук Иван Васильевич</t>
  </si>
  <si>
    <t>7-982-185-5197</t>
  </si>
  <si>
    <t>@vanja_09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</si>
  <si>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</si>
  <si>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</si>
  <si>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</si>
  <si>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</si>
  <si>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</si>
  <si>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</si>
  <si>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</si>
  <si>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</si>
  <si>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</si>
  <si>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</si>
  <si>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</si>
  <si>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</si>
  <si>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</si>
  <si>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</si>
  <si>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</si>
  <si>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</si>
  <si>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</si>
  <si>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</si>
  <si>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</si>
  <si>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</si>
  <si>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</si>
  <si>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</si>
  <si>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</si>
  <si>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</si>
  <si>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</si>
  <si>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00411226-00977</t>
  </si>
  <si>
    <t>Агаджанян Заруи Шемщажовна</t>
  </si>
  <si>
    <t>7-989-229-2657</t>
  </si>
  <si>
    <t>@Zarui67</t>
  </si>
  <si>
    <t>00411226-00984</t>
  </si>
  <si>
    <t>Кулакова Светлана Александровна</t>
  </si>
  <si>
    <t>7-953-813-7627</t>
  </si>
  <si>
    <t>00411226-00986</t>
  </si>
  <si>
    <t>Михалеаская Надежда Ильясовна</t>
  </si>
  <si>
    <t>7-920-894-0655</t>
  </si>
  <si>
    <t>@Strong2408</t>
  </si>
  <si>
    <t>칼루가</t>
  </si>
  <si>
    <t>00411226-00989</t>
  </si>
  <si>
    <t>Галечян Анжела Андраниковна</t>
  </si>
  <si>
    <t>374-94-14-2091</t>
  </si>
  <si>
    <t>코타이크</t>
  </si>
  <si>
    <t>00411226-00992</t>
  </si>
  <si>
    <t>Оганян Сусанна Вагифовна</t>
  </si>
  <si>
    <t>7-918-173-0559</t>
  </si>
  <si>
    <t>@susannaoganyan7</t>
  </si>
  <si>
    <t>14구역</t>
  </si>
  <si>
    <t xml:space="preserve">@Tamara_186 </t>
  </si>
  <si>
    <t>00411226-00972</t>
  </si>
  <si>
    <t>Баранова Надежда Алексеевна</t>
  </si>
  <si>
    <t>7-950-279-7651</t>
  </si>
  <si>
    <t>@Nadia_1362</t>
  </si>
  <si>
    <t>00411226-00979</t>
  </si>
  <si>
    <t>Файзуллина Гульнара Гиндулловна</t>
  </si>
  <si>
    <t>7-919-613-0561</t>
  </si>
  <si>
    <t xml:space="preserve"> @cemia41</t>
  </si>
  <si>
    <t>00411226-00980</t>
  </si>
  <si>
    <t>Соболева Ольга Яковлевна</t>
  </si>
  <si>
    <t>7-908-910-0160</t>
  </si>
  <si>
    <t>@Soboleva_68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</si>
  <si>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</si>
  <si>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</si>
  <si>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</si>
  <si>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</si>
  <si>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</si>
  <si>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</si>
  <si>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</si>
  <si>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</si>
  <si>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</si>
  <si>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</si>
  <si>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15구역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</si>
  <si>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</si>
  <si>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</si>
  <si>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</si>
  <si>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</si>
  <si>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</si>
  <si>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</si>
  <si>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</si>
  <si>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</si>
  <si>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</si>
  <si>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드니프로페트로우스크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</si>
  <si>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</si>
  <si>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</si>
  <si>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</si>
  <si>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</si>
  <si>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</si>
  <si>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</si>
  <si>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</si>
  <si>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</si>
  <si>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</si>
  <si>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</si>
  <si>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</si>
  <si>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</si>
  <si>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16구역</t>
  </si>
  <si>
    <t>00411226-01002</t>
  </si>
  <si>
    <t>Рысбекова Алма Абдисаликызы</t>
  </si>
  <si>
    <t>7-747-408-1236</t>
  </si>
  <si>
    <t>@rysalma</t>
  </si>
  <si>
    <t>157기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</si>
  <si>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</si>
  <si>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</si>
  <si>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</si>
  <si>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</si>
  <si>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</si>
  <si>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</si>
  <si>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</si>
  <si>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</si>
  <si>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00411226-00975</t>
  </si>
  <si>
    <t>Кенжетаева Гульсим Рахметоллаевна</t>
  </si>
  <si>
    <t>7-700-375-1675</t>
  </si>
  <si>
    <t>@Gulsa64</t>
  </si>
  <si>
    <t>00411226-00976</t>
  </si>
  <si>
    <t>Каниетова Гульмира Калыковна</t>
  </si>
  <si>
    <t>996-77-298-0267</t>
  </si>
  <si>
    <t>이식쿨</t>
  </si>
  <si>
    <t>새신자6팀</t>
  </si>
  <si>
    <t>17구역</t>
  </si>
  <si>
    <t>00420306-00101</t>
  </si>
  <si>
    <t>SAVTCHIENKO CORBOBESSE OLGA VIKTOROVNA</t>
  </si>
  <si>
    <t>33-66-577-9393</t>
  </si>
  <si>
    <t>@Oviky7</t>
  </si>
  <si>
    <t>모르생스</t>
  </si>
  <si>
    <t>00420306-00102</t>
  </si>
  <si>
    <t>Рыбакова Алена Аляксандрауна</t>
  </si>
  <si>
    <t>375-29-551-1193</t>
  </si>
  <si>
    <t>@alenaribakova</t>
  </si>
  <si>
    <t>00420306-00103</t>
  </si>
  <si>
    <t>Дивисенко Екатерина Афанасьевна</t>
  </si>
  <si>
    <t>7-926-256-7056</t>
  </si>
  <si>
    <t>@Ekaterina_Divisenko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</si>
  <si>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</si>
  <si>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</si>
  <si>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</si>
  <si>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</si>
  <si>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</si>
  <si>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00420613-00104</t>
  </si>
  <si>
    <t>КАРНАУХОВА ВЕРОНИКА ВАСИЛЬЕВНА</t>
  </si>
  <si>
    <t>7-960-997-0110</t>
  </si>
  <si>
    <t>쿠르스크주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</si>
  <si>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</si>
  <si>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</si>
  <si>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</si>
  <si>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</si>
  <si>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</si>
  <si>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18구역</t>
  </si>
  <si>
    <t>00420306-00093</t>
  </si>
  <si>
    <t>Текебаева Гульнара Шаршеевна</t>
  </si>
  <si>
    <t>7-962-918-2397</t>
  </si>
  <si>
    <t>@gulnara0564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</si>
  <si>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</si>
  <si>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</si>
  <si>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</si>
  <si>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</si>
  <si>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</si>
  <si>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00420306-00098</t>
  </si>
  <si>
    <t>Юмагузина Венера Салиховна</t>
  </si>
  <si>
    <t>7-908-051-3545</t>
  </si>
  <si>
    <t>@YumaguzinaVenera</t>
  </si>
  <si>
    <t>첼랴빈스크</t>
  </si>
  <si>
    <t>00420306-00099</t>
  </si>
  <si>
    <t>Зеленчук Наталья Владимировна</t>
  </si>
  <si>
    <t>7-908-491-2612</t>
  </si>
  <si>
    <t>@NEFNATA</t>
  </si>
  <si>
    <t>울랴노브스크</t>
  </si>
  <si>
    <t>00420306-00112</t>
  </si>
  <si>
    <t>Улаева Лариса Александровна</t>
  </si>
  <si>
    <t>7-926-374-5742</t>
  </si>
  <si>
    <t>@lorik_2340</t>
  </si>
  <si>
    <t>19구역</t>
  </si>
  <si>
    <t>00420306-00085</t>
  </si>
  <si>
    <t>Прадед Зайтуня Закиевна</t>
  </si>
  <si>
    <t>998-90-391-9182</t>
  </si>
  <si>
    <t>@zaitynia</t>
  </si>
  <si>
    <t>00420306-00086</t>
  </si>
  <si>
    <t>Далиева Мурзабүбү Бакасовна</t>
  </si>
  <si>
    <t>996-70-470-7035</t>
  </si>
  <si>
    <t>@Mirra2555</t>
  </si>
  <si>
    <t>00420306-00087</t>
  </si>
  <si>
    <t>Кокоева Гулнар Абдрасуловна</t>
  </si>
  <si>
    <t>996-55-210-1260</t>
  </si>
  <si>
    <t>@kokoeva_gul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</si>
  <si>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</si>
  <si>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</si>
  <si>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</si>
  <si>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</si>
  <si>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</si>
  <si>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</si>
  <si>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</si>
  <si>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00420306-00094</t>
  </si>
  <si>
    <t>Узахбергенова Тамара Кадирнизовна</t>
  </si>
  <si>
    <t>998-90-653-4443</t>
  </si>
  <si>
    <t>@tamarauzb</t>
  </si>
  <si>
    <t>누쿠스</t>
  </si>
  <si>
    <t>육사망(자는자)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</si>
  <si>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</si>
  <si>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</si>
  <si>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인천광역시 연수구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</si>
  <si>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</si>
  <si>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PAK IN-GA NIKOLAYEVNA</t>
  </si>
  <si>
    <t>광주</t>
  </si>
  <si>
    <t>00400819-00458</t>
  </si>
  <si>
    <t>암치료입원(42/2/16)/출결제외해지(41/12/15)</t>
  </si>
  <si>
    <t>CIS직책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</si>
  <si>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</si>
  <si>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</si>
  <si>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</si>
  <si>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</si>
  <si>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</si>
  <si>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</si>
  <si>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</si>
  <si>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</si>
  <si>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</si>
  <si>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</si>
  <si>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</si>
  <si>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</si>
  <si>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</si>
  <si>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</si>
  <si>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</si>
  <si>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</si>
  <si>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</si>
  <si>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</si>
  <si>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</si>
  <si>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</si>
  <si>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</si>
  <si>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</si>
  <si>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</si>
  <si>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</si>
  <si>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</si>
  <si>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</si>
  <si>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</si>
  <si>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</si>
  <si>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</si>
  <si>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</si>
  <si>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</si>
  <si>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</si>
  <si>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</si>
  <si>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</si>
  <si>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</si>
  <si>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</si>
  <si>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</si>
  <si>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7-940-935-9800
</t>
  </si>
  <si>
    <t xml:space="preserve">러시아
</t>
  </si>
  <si>
    <t xml:space="preserve">압하지야
</t>
  </si>
  <si>
    <t xml:space="preserve">375-25-607-6997
</t>
  </si>
  <si>
    <t xml:space="preserve">카자흐스탄
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</si>
  <si>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</si>
  <si>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거동불가(노환,중병환자)
입원 (23.08.22)</t>
  </si>
  <si>
    <t>출결제외해지(23/07/24~25/2/28)</t>
  </si>
  <si>
    <t>7-707-345-0087</t>
  </si>
  <si>
    <t>2025.02.10 기준</t>
  </si>
  <si>
    <t>전도과장</t>
  </si>
  <si>
    <t>교육과장</t>
  </si>
  <si>
    <t>섭외과장</t>
  </si>
  <si>
    <t>문화과장</t>
  </si>
  <si>
    <t>교육서기</t>
  </si>
  <si>
    <t>신앙관리과장</t>
  </si>
  <si>
    <t>명민수</t>
  </si>
  <si>
    <t>신앙관리과서기</t>
  </si>
  <si>
    <t>이은지</t>
  </si>
  <si>
    <t>기획과장</t>
  </si>
  <si>
    <t>통번역과장</t>
  </si>
  <si>
    <t>최지선</t>
  </si>
  <si>
    <t>CIS 국내</t>
  </si>
  <si>
    <t>장년팀장: 김세진 &amp;  부녀팀장: 차소연 &amp; 청년팀장:자카르첸코마리야</t>
  </si>
  <si>
    <t>부: CIS05</t>
  </si>
  <si>
    <t>부: CIS06</t>
  </si>
  <si>
    <t>청: CIS03</t>
  </si>
  <si>
    <t>청장: CIS04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</si>
  <si>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</si>
  <si>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</si>
  <si>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</si>
  <si>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인덕원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</si>
  <si>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</si>
  <si>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임진주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</si>
  <si>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</si>
  <si>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</si>
  <si>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</si>
  <si>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</si>
  <si>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</si>
  <si>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</si>
  <si>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</si>
  <si>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</si>
  <si>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</si>
  <si>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</si>
  <si>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</si>
  <si>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</si>
  <si>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</si>
  <si>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</si>
  <si>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</si>
  <si>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</si>
  <si>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모로즈이르나므하일리브나(151-2새신자)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</si>
  <si>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</si>
  <si>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r>
      <rPr>
        <b/>
        <sz val="7"/>
        <color rgb="FFFF0000"/>
        <rFont val="Malgun Gothic"/>
        <family val="3"/>
        <charset val="129"/>
      </rPr>
      <t xml:space="preserve">벨로굽일리야안드레예비치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</si>
  <si>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</si>
  <si>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</si>
  <si>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</si>
  <si>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</si>
  <si>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🔺다즈카야올가세르기이브나 
Дацкая Ольга Сергіївна</t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</si>
  <si>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</si>
  <si>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</si>
  <si>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</si>
  <si>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</si>
  <si>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</si>
  <si>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</si>
  <si>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</si>
  <si>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</si>
  <si>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</si>
  <si>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</si>
  <si>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t>🔺타토얀그레타바가노브나
Татоян Грета</t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</si>
  <si>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</si>
  <si>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</si>
  <si>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sz val="8"/>
        <color theme="1"/>
        <rFont val="Arial"/>
        <family val="2"/>
      </rPr>
      <t xml:space="preserve">🔺마코베치카카테르나올렉산드리브나
</t>
    </r>
    <r>
      <rPr>
        <sz val="8"/>
        <color theme="1"/>
        <rFont val="Calibri"/>
        <family val="2"/>
      </rPr>
      <t>Маковецька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Катерина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Олександрівна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</si>
  <si>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</si>
  <si>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</si>
  <si>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</si>
  <si>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</si>
  <si>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(우크라이나)
 CIS02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</si>
  <si>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</si>
  <si>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</si>
  <si>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</si>
  <si>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</si>
  <si>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</si>
  <si>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</si>
  <si>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</si>
  <si>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</si>
  <si>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</si>
  <si>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</si>
  <si>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</si>
  <si>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</si>
  <si>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</si>
  <si>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</si>
  <si>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</si>
  <si>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</si>
  <si>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</si>
  <si>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</si>
  <si>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</si>
  <si>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</si>
  <si>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</si>
  <si>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</si>
  <si>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</si>
  <si>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</si>
  <si>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</si>
  <si>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</si>
  <si>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</si>
  <si>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</si>
  <si>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</si>
  <si>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</si>
  <si>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</si>
  <si>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🔺파치예카테리나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</si>
  <si>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</si>
  <si>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🔺153-5/잘레브시카빅토리야빅토리브나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</si>
  <si>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</si>
  <si>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</si>
  <si>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</si>
  <si>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</si>
  <si>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</si>
  <si>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</si>
  <si>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</si>
  <si>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</si>
  <si>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</si>
  <si>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</si>
  <si>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</si>
  <si>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</si>
  <si>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</si>
  <si>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</si>
  <si>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</si>
  <si>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</si>
  <si>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</si>
  <si>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</si>
  <si>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</si>
  <si>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</si>
  <si>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</si>
  <si>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</si>
  <si>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</si>
  <si>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</si>
  <si>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</si>
  <si>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</si>
  <si>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</si>
  <si>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</si>
  <si>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</si>
  <si>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</si>
  <si>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</si>
  <si>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</si>
  <si>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</si>
  <si>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</si>
  <si>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</si>
  <si>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</si>
  <si>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</si>
  <si>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</si>
  <si>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</si>
  <si>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</si>
  <si>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</si>
  <si>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r>
      <rPr>
        <sz val="7"/>
        <color rgb="FF000000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</si>
  <si>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r>
      <rPr>
        <sz val="7"/>
        <color rgb="FF000000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</si>
  <si>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r>
      <rPr>
        <sz val="7"/>
        <color rgb="FF000000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</si>
  <si>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r>
      <rPr>
        <sz val="7"/>
        <color rgb="FF000000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</si>
  <si>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</si>
  <si>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rgb="FF000000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</si>
  <si>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</si>
  <si>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rgb="FF000000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</si>
  <si>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</si>
  <si>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rgb="FF000000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</si>
  <si>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</si>
  <si>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</si>
  <si>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</si>
  <si>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</si>
  <si>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</si>
  <si>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</si>
  <si>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</si>
  <si>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</si>
  <si>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🔺그리고랸가야네마르티코브나</t>
  </si>
  <si>
    <r>
      <rPr>
        <b/>
        <sz val="8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8"/>
        <color rgb="FF000000"/>
        <rFont val="Calibri"/>
        <family val="2"/>
      </rPr>
      <t>Фолимонова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</si>
  <si>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</si>
  <si>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Ли Светлана Анатольевна</t>
  </si>
  <si>
    <t xml:space="preserve">모스크바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</si>
  <si>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</si>
  <si>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</si>
  <si>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</si>
  <si>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</si>
  <si>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</si>
  <si>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</si>
  <si>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</si>
  <si>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</si>
  <si>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</si>
  <si>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</si>
  <si>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</si>
  <si>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</si>
  <si>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</si>
  <si>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</si>
  <si>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</si>
  <si>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</si>
  <si>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</si>
  <si>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</si>
  <si>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</si>
  <si>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</si>
  <si>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</si>
  <si>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</si>
  <si>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</si>
  <si>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</si>
  <si>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</si>
  <si>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</si>
  <si>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</si>
  <si>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</si>
  <si>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</si>
  <si>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</si>
  <si>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</si>
  <si>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</si>
  <si>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</si>
  <si>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</si>
  <si>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</si>
  <si>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</si>
  <si>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</si>
  <si>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</si>
  <si>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</si>
  <si>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</si>
  <si>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</si>
  <si>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출산(41/4/19~6/30), 해제7.3</t>
  </si>
  <si>
    <t>신앙유약(40/7/21)</t>
  </si>
  <si>
    <t>신앙유약(42/09/06)</t>
  </si>
  <si>
    <t>신앙유약자(42/02/16)</t>
  </si>
  <si>
    <t>신앙유약(42/12/15)</t>
  </si>
  <si>
    <t>(원) 한국 계좌로 납부</t>
  </si>
  <si>
    <t>벨라루스 루블</t>
  </si>
  <si>
    <t>유로</t>
  </si>
  <si>
    <t>러시아 계좌로 입금</t>
  </si>
  <si>
    <t>4 252</t>
  </si>
  <si>
    <t>카자흐스탄 텡게</t>
  </si>
  <si>
    <t>폴란드 즈워티</t>
  </si>
  <si>
    <t>우크라이나 흐리브냐</t>
  </si>
  <si>
    <t>금액</t>
  </si>
  <si>
    <t>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</si>
</sst>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m\.dd\(aaa\)"/>
    <numFmt numFmtId="178" formatCode="00&quot;세&quot;"/>
  </numFmts>
  <fonts count="140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9"/>
      <color rgb="FF1F1F1F"/>
      <name val="&quot;맑은 고딕&quot;"/>
      <family val="3"/>
      <charset val="129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7"/>
      <color theme="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sz val="8"/>
      <color theme="1"/>
      <name val="Calibri"/>
      <family val="2"/>
    </font>
    <font>
      <b/>
      <sz val="10"/>
      <color theme="0"/>
      <name val="Calibri"/>
      <family val="2"/>
    </font>
    <font>
      <b/>
      <sz val="8"/>
      <color rgb="FF009900"/>
      <name val="Malgun Gothic"/>
      <family val="3"/>
      <charset val="129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9"/>
      <color rgb="FF000000"/>
      <name val="&quot;Malgun Gothic&quot;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F7CAAC"/>
        <bgColor rgb="FFF7CAAC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1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3" fillId="2" borderId="18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34" xfId="0" applyFont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26" xfId="0" applyFont="1" applyBorder="1" applyAlignment="1">
      <alignment vertical="center" shrinkToFit="1"/>
    </xf>
    <xf numFmtId="0" fontId="1" fillId="0" borderId="26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 shrinkToFit="1"/>
    </xf>
    <xf numFmtId="0" fontId="3" fillId="7" borderId="40" xfId="0" applyFont="1" applyFill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1" fillId="9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shrinkToFit="1"/>
    </xf>
    <xf numFmtId="0" fontId="3" fillId="10" borderId="46" xfId="0" applyFont="1" applyFill="1" applyBorder="1" applyAlignment="1">
      <alignment horizontal="center" vertical="center" shrinkToFit="1"/>
    </xf>
    <xf numFmtId="0" fontId="3" fillId="10" borderId="48" xfId="0" applyFont="1" applyFill="1" applyBorder="1" applyAlignment="1">
      <alignment horizontal="center" vertical="center" shrinkToFit="1"/>
    </xf>
    <xf numFmtId="0" fontId="3" fillId="11" borderId="46" xfId="0" applyFont="1" applyFill="1" applyBorder="1" applyAlignment="1">
      <alignment horizontal="center" vertical="center" shrinkToFit="1"/>
    </xf>
    <xf numFmtId="0" fontId="3" fillId="11" borderId="48" xfId="0" applyFont="1" applyFill="1" applyBorder="1" applyAlignment="1">
      <alignment horizontal="center" vertical="center" shrinkToFit="1"/>
    </xf>
    <xf numFmtId="0" fontId="20" fillId="12" borderId="49" xfId="0" applyFont="1" applyFill="1" applyBorder="1" applyAlignment="1">
      <alignment horizontal="center" vertical="center" shrinkToFit="1"/>
    </xf>
    <xf numFmtId="0" fontId="5" fillId="8" borderId="48" xfId="0" applyFont="1" applyFill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3" fillId="8" borderId="50" xfId="0" applyFont="1" applyFill="1" applyBorder="1" applyAlignment="1">
      <alignment horizontal="center" vertical="center" shrinkToFit="1"/>
    </xf>
    <xf numFmtId="0" fontId="5" fillId="12" borderId="46" xfId="0" applyFont="1" applyFill="1" applyBorder="1" applyAlignment="1">
      <alignment horizontal="center" vertical="center" shrinkToFit="1"/>
    </xf>
    <xf numFmtId="0" fontId="5" fillId="13" borderId="46" xfId="0" applyFont="1" applyFill="1" applyBorder="1" applyAlignment="1">
      <alignment horizontal="center" vertical="center" shrinkToFit="1"/>
    </xf>
    <xf numFmtId="0" fontId="3" fillId="12" borderId="53" xfId="0" applyFont="1" applyFill="1" applyBorder="1" applyAlignment="1">
      <alignment horizontal="center" vertical="center" shrinkToFit="1"/>
    </xf>
    <xf numFmtId="0" fontId="5" fillId="11" borderId="46" xfId="0" applyFont="1" applyFill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21" fillId="8" borderId="46" xfId="0" applyFont="1" applyFill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5" fillId="10" borderId="46" xfId="0" applyFont="1" applyFill="1" applyBorder="1" applyAlignment="1">
      <alignment horizontal="center" vertical="center" shrinkToFit="1"/>
    </xf>
    <xf numFmtId="0" fontId="3" fillId="15" borderId="46" xfId="0" applyFont="1" applyFill="1" applyBorder="1" applyAlignment="1">
      <alignment horizontal="center" vertical="center" shrinkToFit="1"/>
    </xf>
    <xf numFmtId="0" fontId="5" fillId="10" borderId="48" xfId="0" applyFont="1" applyFill="1" applyBorder="1" applyAlignment="1">
      <alignment horizontal="center" vertical="center" shrinkToFit="1"/>
    </xf>
    <xf numFmtId="0" fontId="5" fillId="16" borderId="46" xfId="0" applyFont="1" applyFill="1" applyBorder="1" applyAlignment="1">
      <alignment horizontal="center" vertical="center" shrinkToFit="1"/>
    </xf>
    <xf numFmtId="0" fontId="5" fillId="16" borderId="48" xfId="0" applyFont="1" applyFill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9" borderId="56" xfId="0" applyFont="1" applyFill="1" applyBorder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5" fillId="9" borderId="57" xfId="0" applyFont="1" applyFill="1" applyBorder="1" applyAlignment="1">
      <alignment horizontal="center" vertical="center" shrinkToFit="1"/>
    </xf>
    <xf numFmtId="0" fontId="23" fillId="11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3" fillId="8" borderId="46" xfId="0" applyFont="1" applyFill="1" applyBorder="1" applyAlignment="1">
      <alignment horizontal="center" vertical="center" shrinkToFit="1"/>
    </xf>
    <xf numFmtId="0" fontId="5" fillId="8" borderId="46" xfId="0" applyFont="1" applyFill="1" applyBorder="1" applyAlignment="1">
      <alignment horizontal="center" vertical="center" shrinkToFit="1"/>
    </xf>
    <xf numFmtId="0" fontId="5" fillId="9" borderId="58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5" fillId="9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9" borderId="46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shrinkToFit="1"/>
    </xf>
    <xf numFmtId="0" fontId="3" fillId="8" borderId="48" xfId="0" applyFont="1" applyFill="1" applyBorder="1" applyAlignment="1">
      <alignment horizontal="center" vertical="center" shrinkToFit="1"/>
    </xf>
    <xf numFmtId="0" fontId="5" fillId="0" borderId="59" xfId="0" applyFont="1" applyBorder="1" applyAlignment="1">
      <alignment vertical="center" shrinkToFit="1"/>
    </xf>
    <xf numFmtId="0" fontId="5" fillId="0" borderId="60" xfId="0" applyFont="1" applyBorder="1" applyAlignment="1">
      <alignment vertical="center" shrinkToFit="1"/>
    </xf>
    <xf numFmtId="0" fontId="24" fillId="0" borderId="59" xfId="0" applyFont="1" applyBorder="1" applyAlignment="1">
      <alignment vertical="center"/>
    </xf>
    <xf numFmtId="0" fontId="24" fillId="0" borderId="60" xfId="0" applyFont="1" applyBorder="1" applyAlignment="1">
      <alignment vertical="center"/>
    </xf>
    <xf numFmtId="0" fontId="5" fillId="0" borderId="52" xfId="0" applyFont="1" applyBorder="1" applyAlignment="1">
      <alignment vertical="center" shrinkToFit="1"/>
    </xf>
    <xf numFmtId="0" fontId="3" fillId="0" borderId="61" xfId="0" applyFont="1" applyBorder="1" applyAlignment="1">
      <alignment horizontal="center" vertical="center" shrinkToFit="1"/>
    </xf>
    <xf numFmtId="0" fontId="12" fillId="8" borderId="62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shrinkToFit="1"/>
    </xf>
    <xf numFmtId="0" fontId="12" fillId="8" borderId="6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5" xfId="0" applyFont="1" applyBorder="1" applyAlignment="1">
      <alignment vertical="center" shrinkToFit="1"/>
    </xf>
    <xf numFmtId="0" fontId="1" fillId="0" borderId="66" xfId="0" applyFont="1" applyBorder="1" applyAlignment="1">
      <alignment vertical="center" shrinkToFit="1"/>
    </xf>
    <xf numFmtId="0" fontId="5" fillId="0" borderId="66" xfId="0" applyFont="1" applyBorder="1" applyAlignment="1">
      <alignment vertical="center" shrinkToFit="1"/>
    </xf>
    <xf numFmtId="0" fontId="3" fillId="0" borderId="67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6" xfId="0" applyFont="1" applyBorder="1" applyAlignment="1">
      <alignment vertical="center" shrinkToFit="1"/>
    </xf>
    <xf numFmtId="0" fontId="3" fillId="3" borderId="43" xfId="0" applyFont="1" applyFill="1" applyBorder="1" applyAlignment="1">
      <alignment horizontal="center" vertical="center" shrinkToFit="1"/>
    </xf>
    <xf numFmtId="0" fontId="27" fillId="0" borderId="40" xfId="0" applyFont="1" applyBorder="1" applyAlignment="1">
      <alignment horizontal="center" vertical="center"/>
    </xf>
    <xf numFmtId="0" fontId="28" fillId="7" borderId="70" xfId="0" applyFont="1" applyFill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0" fontId="28" fillId="3" borderId="7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27" fillId="0" borderId="39" xfId="0" applyFont="1" applyBorder="1" applyAlignment="1">
      <alignment horizontal="center" vertical="center"/>
    </xf>
    <xf numFmtId="0" fontId="17" fillId="16" borderId="71" xfId="0" applyFont="1" applyFill="1" applyBorder="1" applyAlignment="1">
      <alignment horizontal="center" vertical="center" shrinkToFit="1"/>
    </xf>
    <xf numFmtId="0" fontId="17" fillId="16" borderId="72" xfId="0" applyFont="1" applyFill="1" applyBorder="1" applyAlignment="1">
      <alignment horizontal="center" vertical="center" shrinkToFit="1"/>
    </xf>
    <xf numFmtId="0" fontId="17" fillId="16" borderId="58" xfId="0" applyFont="1" applyFill="1" applyBorder="1" applyAlignment="1">
      <alignment horizontal="center" vertical="center" shrinkToFit="1"/>
    </xf>
    <xf numFmtId="0" fontId="17" fillId="16" borderId="53" xfId="0" applyFont="1" applyFill="1" applyBorder="1" applyAlignment="1">
      <alignment horizontal="center" vertical="center" shrinkToFit="1"/>
    </xf>
    <xf numFmtId="0" fontId="17" fillId="12" borderId="58" xfId="0" applyFont="1" applyFill="1" applyBorder="1" applyAlignment="1">
      <alignment horizontal="center" vertical="center" shrinkToFit="1"/>
    </xf>
    <xf numFmtId="0" fontId="17" fillId="12" borderId="53" xfId="0" applyFont="1" applyFill="1" applyBorder="1" applyAlignment="1">
      <alignment horizontal="center" vertical="center" wrapText="1"/>
    </xf>
    <xf numFmtId="0" fontId="17" fillId="11" borderId="58" xfId="0" applyFont="1" applyFill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" fillId="3" borderId="7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5" fillId="12" borderId="48" xfId="0" applyFont="1" applyFill="1" applyBorder="1" applyAlignment="1">
      <alignment horizontal="center" vertical="center" shrinkToFit="1"/>
    </xf>
    <xf numFmtId="0" fontId="16" fillId="0" borderId="75" xfId="0" applyFont="1" applyBorder="1" applyAlignment="1">
      <alignment horizontal="center" vertical="center" shrinkToFit="1"/>
    </xf>
    <xf numFmtId="0" fontId="1" fillId="10" borderId="56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24" fillId="0" borderId="76" xfId="0" applyFont="1" applyBorder="1" applyAlignment="1">
      <alignment vertical="center"/>
    </xf>
    <xf numFmtId="0" fontId="32" fillId="0" borderId="77" xfId="0" applyFont="1" applyBorder="1" applyAlignment="1">
      <alignment horizontal="center" vertical="center" wrapText="1"/>
    </xf>
    <xf numFmtId="0" fontId="31" fillId="11" borderId="78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shrinkToFit="1"/>
    </xf>
    <xf numFmtId="0" fontId="33" fillId="0" borderId="29" xfId="0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shrinkToFit="1"/>
    </xf>
    <xf numFmtId="0" fontId="34" fillId="0" borderId="29" xfId="0" applyFont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17" fillId="18" borderId="46" xfId="0" applyFont="1" applyFill="1" applyBorder="1" applyAlignment="1">
      <alignment horizontal="center" vertical="center" shrinkToFit="1"/>
    </xf>
    <xf numFmtId="0" fontId="12" fillId="16" borderId="79" xfId="0" applyFont="1" applyFill="1" applyBorder="1" applyAlignment="1">
      <alignment horizontal="center" vertical="center" shrinkToFit="1"/>
    </xf>
    <xf numFmtId="0" fontId="12" fillId="16" borderId="48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0" fontId="12" fillId="8" borderId="46" xfId="0" applyFont="1" applyFill="1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shrinkToFit="1"/>
    </xf>
    <xf numFmtId="0" fontId="5" fillId="17" borderId="41" xfId="0" applyFont="1" applyFill="1" applyBorder="1" applyAlignment="1">
      <alignment vertical="center" shrinkToFit="1"/>
    </xf>
    <xf numFmtId="0" fontId="32" fillId="19" borderId="80" xfId="0" applyFont="1" applyFill="1" applyBorder="1" applyAlignment="1">
      <alignment horizontal="center" vertical="center" shrinkToFit="1"/>
    </xf>
    <xf numFmtId="0" fontId="31" fillId="0" borderId="6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8" xfId="0" applyFont="1" applyFill="1" applyBorder="1" applyAlignment="1">
      <alignment horizontal="center" vertical="center" shrinkToFit="1"/>
    </xf>
    <xf numFmtId="0" fontId="33" fillId="0" borderId="29" xfId="0" applyFont="1" applyBorder="1" applyAlignment="1">
      <alignment horizontal="center" vertical="center" wrapText="1"/>
    </xf>
    <xf numFmtId="0" fontId="31" fillId="11" borderId="48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38" fillId="0" borderId="81" xfId="0" applyFont="1" applyBorder="1" applyAlignment="1">
      <alignment horizontal="center" vertical="center" wrapText="1"/>
    </xf>
    <xf numFmtId="0" fontId="39" fillId="0" borderId="29" xfId="0" applyFont="1" applyBorder="1" applyAlignment="1">
      <alignment vertical="center" wrapText="1"/>
    </xf>
    <xf numFmtId="0" fontId="5" fillId="11" borderId="56" xfId="0" applyFont="1" applyFill="1" applyBorder="1" applyAlignment="1">
      <alignment horizontal="center" vertical="center" shrinkToFit="1"/>
    </xf>
    <xf numFmtId="0" fontId="17" fillId="18" borderId="58" xfId="0" applyFont="1" applyFill="1" applyBorder="1" applyAlignment="1">
      <alignment horizontal="center" vertical="center" shrinkToFit="1"/>
    </xf>
    <xf numFmtId="0" fontId="12" fillId="16" borderId="46" xfId="0" applyFont="1" applyFill="1" applyBorder="1" applyAlignment="1">
      <alignment horizontal="center" vertical="center" shrinkToFit="1"/>
    </xf>
    <xf numFmtId="0" fontId="17" fillId="8" borderId="48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vertical="center" shrinkToFit="1"/>
    </xf>
    <xf numFmtId="0" fontId="32" fillId="19" borderId="82" xfId="0" applyFont="1" applyFill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8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31" fillId="9" borderId="56" xfId="0" applyFont="1" applyFill="1" applyBorder="1" applyAlignment="1">
      <alignment horizontal="center" vertical="center"/>
    </xf>
    <xf numFmtId="0" fontId="12" fillId="10" borderId="48" xfId="0" applyFont="1" applyFill="1" applyBorder="1" applyAlignment="1">
      <alignment horizontal="center" vertical="center" shrinkToFit="1"/>
    </xf>
    <xf numFmtId="0" fontId="13" fillId="0" borderId="6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12" borderId="46" xfId="0" applyFont="1" applyFill="1" applyBorder="1" applyAlignment="1">
      <alignment horizontal="center" vertical="center" shrinkToFit="1"/>
    </xf>
    <xf numFmtId="0" fontId="12" fillId="12" borderId="48" xfId="0" applyFont="1" applyFill="1" applyBorder="1" applyAlignment="1">
      <alignment horizontal="center" vertical="center" shrinkToFit="1"/>
    </xf>
    <xf numFmtId="0" fontId="12" fillId="16" borderId="84" xfId="0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24" fillId="0" borderId="85" xfId="0" applyFont="1" applyBorder="1" applyAlignment="1">
      <alignment vertical="center"/>
    </xf>
    <xf numFmtId="0" fontId="1" fillId="10" borderId="86" xfId="0" applyFont="1" applyFill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17" fillId="11" borderId="48" xfId="0" applyFont="1" applyFill="1" applyBorder="1" applyAlignment="1">
      <alignment horizontal="center" vertical="center" shrinkToFit="1"/>
    </xf>
    <xf numFmtId="0" fontId="17" fillId="11" borderId="79" xfId="0" applyFont="1" applyFill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2" fillId="0" borderId="44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41" fillId="0" borderId="76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shrinkToFit="1"/>
    </xf>
    <xf numFmtId="0" fontId="1" fillId="10" borderId="89" xfId="0" applyFont="1" applyFill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1" fillId="0" borderId="9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/>
    </xf>
    <xf numFmtId="0" fontId="31" fillId="11" borderId="91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shrinkToFit="1"/>
    </xf>
    <xf numFmtId="0" fontId="12" fillId="0" borderId="44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/>
    </xf>
    <xf numFmtId="0" fontId="12" fillId="20" borderId="48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shrinkToFit="1"/>
    </xf>
    <xf numFmtId="0" fontId="17" fillId="11" borderId="46" xfId="0" applyFont="1" applyFill="1" applyBorder="1" applyAlignment="1">
      <alignment horizontal="center" vertical="center" shrinkToFit="1"/>
    </xf>
    <xf numFmtId="0" fontId="45" fillId="0" borderId="46" xfId="0" applyFont="1" applyBorder="1" applyAlignment="1">
      <alignment horizontal="center" vertical="center" shrinkToFit="1"/>
    </xf>
    <xf numFmtId="0" fontId="29" fillId="0" borderId="55" xfId="0" applyFont="1" applyBorder="1" applyAlignment="1">
      <alignment horizontal="center" vertical="center" shrinkToFit="1"/>
    </xf>
    <xf numFmtId="0" fontId="46" fillId="0" borderId="21" xfId="0" applyFont="1" applyBorder="1" applyAlignment="1">
      <alignment horizontal="center" vertical="center" wrapText="1"/>
    </xf>
    <xf numFmtId="0" fontId="32" fillId="0" borderId="8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5" fillId="10" borderId="84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4" fillId="0" borderId="93" xfId="0" applyFont="1" applyBorder="1" applyAlignment="1">
      <alignment vertical="center"/>
    </xf>
    <xf numFmtId="0" fontId="5" fillId="0" borderId="94" xfId="0" applyFont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shrinkToFit="1"/>
    </xf>
    <xf numFmtId="0" fontId="12" fillId="8" borderId="59" xfId="0" applyFont="1" applyFill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vertical="center"/>
    </xf>
    <xf numFmtId="0" fontId="24" fillId="8" borderId="48" xfId="0" applyFont="1" applyFill="1" applyBorder="1" applyAlignment="1">
      <alignment vertical="center"/>
    </xf>
    <xf numFmtId="0" fontId="29" fillId="0" borderId="61" xfId="0" applyFont="1" applyBorder="1" applyAlignment="1">
      <alignment horizontal="center" vertical="center" shrinkToFit="1"/>
    </xf>
    <xf numFmtId="0" fontId="12" fillId="11" borderId="59" xfId="0" applyFont="1" applyFill="1" applyBorder="1" applyAlignment="1">
      <alignment horizontal="center" vertical="center" shrinkToFit="1"/>
    </xf>
    <xf numFmtId="0" fontId="17" fillId="10" borderId="60" xfId="0" applyFont="1" applyFill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wrapText="1"/>
    </xf>
    <xf numFmtId="0" fontId="5" fillId="16" borderId="56" xfId="0" applyFont="1" applyFill="1" applyBorder="1" applyAlignment="1">
      <alignment horizontal="center" vertical="center" shrinkToFit="1"/>
    </xf>
    <xf numFmtId="0" fontId="17" fillId="0" borderId="45" xfId="0" applyFont="1" applyBorder="1" applyAlignment="1">
      <alignment horizontal="center" vertical="center" shrinkToFit="1"/>
    </xf>
    <xf numFmtId="0" fontId="47" fillId="0" borderId="55" xfId="0" applyFont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24" fillId="0" borderId="44" xfId="0" applyFont="1" applyBorder="1" applyAlignment="1">
      <alignment vertical="center" wrapText="1"/>
    </xf>
    <xf numFmtId="0" fontId="24" fillId="0" borderId="76" xfId="0" applyFont="1" applyBorder="1" applyAlignment="1">
      <alignment vertical="center" wrapText="1"/>
    </xf>
    <xf numFmtId="0" fontId="24" fillId="0" borderId="6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45" fillId="0" borderId="63" xfId="0" applyFont="1" applyBorder="1" applyAlignment="1">
      <alignment horizontal="center" vertical="center" shrinkToFit="1"/>
    </xf>
    <xf numFmtId="0" fontId="1" fillId="13" borderId="60" xfId="0" applyFont="1" applyFill="1" applyBorder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8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shrinkToFit="1"/>
    </xf>
    <xf numFmtId="0" fontId="16" fillId="0" borderId="60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 shrinkToFit="1"/>
    </xf>
    <xf numFmtId="0" fontId="24" fillId="0" borderId="3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26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48" xfId="0" applyFont="1" applyBorder="1" applyAlignment="1">
      <alignment horizontal="center" vertical="center" shrinkToFit="1"/>
    </xf>
    <xf numFmtId="0" fontId="3" fillId="0" borderId="46" xfId="0" applyFont="1" applyBorder="1" applyAlignment="1">
      <alignment vertical="center" shrinkToFit="1"/>
    </xf>
    <xf numFmtId="0" fontId="40" fillId="0" borderId="44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49" fillId="0" borderId="29" xfId="0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6" xfId="0" applyFont="1" applyBorder="1" applyAlignment="1">
      <alignment horizontal="center" vertical="center"/>
    </xf>
    <xf numFmtId="0" fontId="44" fillId="0" borderId="36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wrapText="1"/>
    </xf>
    <xf numFmtId="0" fontId="5" fillId="8" borderId="86" xfId="0" applyFont="1" applyFill="1" applyBorder="1" applyAlignment="1">
      <alignment horizontal="center" vertical="center" shrinkToFit="1"/>
    </xf>
    <xf numFmtId="0" fontId="5" fillId="8" borderId="84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41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50" fillId="17" borderId="89" xfId="0" applyFont="1" applyFill="1" applyBorder="1" applyAlignment="1">
      <alignment vertical="center"/>
    </xf>
    <xf numFmtId="0" fontId="12" fillId="0" borderId="76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1" fillId="0" borderId="103" xfId="0" applyFont="1" applyBorder="1" applyAlignment="1">
      <alignment horizontal="center" vertical="center" wrapText="1"/>
    </xf>
    <xf numFmtId="0" fontId="24" fillId="17" borderId="41" xfId="0" applyFont="1" applyFill="1" applyBorder="1" applyAlignment="1">
      <alignment vertical="center"/>
    </xf>
    <xf numFmtId="0" fontId="12" fillId="0" borderId="36" xfId="0" applyFont="1" applyBorder="1" applyAlignment="1">
      <alignment horizontal="center" vertical="center" shrinkToFit="1"/>
    </xf>
    <xf numFmtId="0" fontId="1" fillId="22" borderId="41" xfId="0" applyFont="1" applyFill="1" applyBorder="1" applyAlignment="1">
      <alignment horizontal="center" vertical="center" shrinkToFit="1"/>
    </xf>
    <xf numFmtId="0" fontId="38" fillId="0" borderId="104" xfId="0" applyFont="1" applyBorder="1" applyAlignment="1">
      <alignment horizontal="center" vertical="center" wrapText="1"/>
    </xf>
    <xf numFmtId="0" fontId="33" fillId="0" borderId="29" xfId="0" applyFont="1" applyBorder="1" applyAlignment="1">
      <alignment vertical="center" wrapText="1"/>
    </xf>
    <xf numFmtId="0" fontId="31" fillId="0" borderId="87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shrinkToFit="1"/>
    </xf>
    <xf numFmtId="0" fontId="32" fillId="0" borderId="10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31" fillId="9" borderId="106" xfId="0" applyFont="1" applyFill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shrinkToFit="1"/>
    </xf>
    <xf numFmtId="0" fontId="33" fillId="0" borderId="107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 wrapText="1"/>
    </xf>
    <xf numFmtId="0" fontId="7" fillId="23" borderId="108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/>
    </xf>
    <xf numFmtId="0" fontId="39" fillId="0" borderId="81" xfId="0" applyFont="1" applyBorder="1" applyAlignment="1">
      <alignment vertical="center" wrapText="1"/>
    </xf>
    <xf numFmtId="0" fontId="12" fillId="20" borderId="110" xfId="0" applyFont="1" applyFill="1" applyBorder="1" applyAlignment="1">
      <alignment horizontal="center" vertical="center" shrinkToFit="1"/>
    </xf>
    <xf numFmtId="0" fontId="4" fillId="8" borderId="46" xfId="0" applyFont="1" applyFill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" fillId="8" borderId="60" xfId="0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2" fillId="11" borderId="111" xfId="0" applyFont="1" applyFill="1" applyBorder="1" applyAlignment="1">
      <alignment horizontal="center" vertical="center" shrinkToFit="1"/>
    </xf>
    <xf numFmtId="0" fontId="44" fillId="0" borderId="10" xfId="0" applyFont="1" applyBorder="1" applyAlignment="1">
      <alignment vertical="center"/>
    </xf>
    <xf numFmtId="0" fontId="12" fillId="0" borderId="47" xfId="0" applyFont="1" applyBorder="1" applyAlignment="1">
      <alignment horizontal="center" vertical="center" shrinkToFit="1"/>
    </xf>
    <xf numFmtId="0" fontId="5" fillId="9" borderId="86" xfId="0" applyFont="1" applyFill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 shrinkToFit="1"/>
    </xf>
    <xf numFmtId="0" fontId="5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shrinkToFit="1"/>
    </xf>
    <xf numFmtId="0" fontId="24" fillId="0" borderId="46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4" fillId="0" borderId="24" xfId="0" applyFont="1" applyBorder="1" applyAlignment="1">
      <alignment vertical="center"/>
    </xf>
    <xf numFmtId="0" fontId="7" fillId="0" borderId="112" xfId="0" applyFont="1" applyBorder="1" applyAlignment="1">
      <alignment horizontal="center" vertical="center" wrapText="1"/>
    </xf>
    <xf numFmtId="0" fontId="5" fillId="11" borderId="113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5" fillId="9" borderId="114" xfId="0" applyFont="1" applyFill="1" applyBorder="1" applyAlignment="1">
      <alignment horizontal="center" vertical="center" shrinkToFit="1"/>
    </xf>
    <xf numFmtId="0" fontId="1" fillId="0" borderId="35" xfId="0" applyFont="1" applyBorder="1" applyAlignment="1">
      <alignment vertical="center" shrinkToFit="1"/>
    </xf>
    <xf numFmtId="0" fontId="1" fillId="0" borderId="24" xfId="0" applyFont="1" applyBorder="1" applyAlignment="1">
      <alignment vertical="center" shrinkToFit="1"/>
    </xf>
    <xf numFmtId="0" fontId="12" fillId="20" borderId="83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 shrinkToFit="1"/>
    </xf>
    <xf numFmtId="0" fontId="31" fillId="0" borderId="6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shrinkToFit="1"/>
    </xf>
    <xf numFmtId="0" fontId="13" fillId="0" borderId="24" xfId="0" applyFont="1" applyBorder="1" applyAlignment="1">
      <alignment vertical="center" shrinkToFit="1"/>
    </xf>
    <xf numFmtId="0" fontId="13" fillId="0" borderId="35" xfId="0" applyFont="1" applyBorder="1" applyAlignment="1">
      <alignment vertical="center" shrinkToFit="1"/>
    </xf>
    <xf numFmtId="0" fontId="5" fillId="9" borderId="78" xfId="0" applyFont="1" applyFill="1" applyBorder="1" applyAlignment="1">
      <alignment horizontal="center" vertical="center" shrinkToFit="1"/>
    </xf>
    <xf numFmtId="0" fontId="12" fillId="20" borderId="48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3" fillId="0" borderId="55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5" fillId="0" borderId="107" xfId="0" applyFont="1" applyBorder="1" applyAlignment="1">
      <alignment horizontal="center" vertical="center" shrinkToFit="1"/>
    </xf>
    <xf numFmtId="0" fontId="1" fillId="0" borderId="116" xfId="0" applyFont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wrapText="1"/>
    </xf>
    <xf numFmtId="0" fontId="5" fillId="24" borderId="73" xfId="0" applyFont="1" applyFill="1" applyBorder="1" applyAlignment="1">
      <alignment horizontal="center" vertical="center" shrinkToFit="1"/>
    </xf>
    <xf numFmtId="0" fontId="5" fillId="24" borderId="89" xfId="0" applyFont="1" applyFill="1" applyBorder="1" applyAlignment="1">
      <alignment horizontal="center" vertical="center" shrinkToFit="1"/>
    </xf>
    <xf numFmtId="0" fontId="3" fillId="3" borderId="111" xfId="0" applyFont="1" applyFill="1" applyBorder="1" applyAlignment="1">
      <alignment horizontal="center" vertical="center" shrinkToFit="1"/>
    </xf>
    <xf numFmtId="0" fontId="17" fillId="11" borderId="53" xfId="0" applyFont="1" applyFill="1" applyBorder="1" applyAlignment="1">
      <alignment horizontal="center" vertical="center" shrinkToFit="1"/>
    </xf>
    <xf numFmtId="0" fontId="3" fillId="16" borderId="51" xfId="0" applyFont="1" applyFill="1" applyBorder="1" applyAlignment="1">
      <alignment horizontal="center" vertical="center" shrinkToFit="1"/>
    </xf>
    <xf numFmtId="0" fontId="3" fillId="16" borderId="50" xfId="0" applyFont="1" applyFill="1" applyBorder="1" applyAlignment="1">
      <alignment horizontal="center" vertical="center" wrapText="1"/>
    </xf>
    <xf numFmtId="0" fontId="17" fillId="16" borderId="51" xfId="0" applyFont="1" applyFill="1" applyBorder="1" applyAlignment="1">
      <alignment horizontal="center" vertical="center" shrinkToFit="1"/>
    </xf>
    <xf numFmtId="0" fontId="17" fillId="16" borderId="50" xfId="0" applyFont="1" applyFill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7" fillId="0" borderId="55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shrinkToFit="1"/>
    </xf>
    <xf numFmtId="0" fontId="59" fillId="0" borderId="46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wrapText="1"/>
    </xf>
    <xf numFmtId="0" fontId="12" fillId="11" borderId="78" xfId="0" applyFont="1" applyFill="1" applyBorder="1" applyAlignment="1">
      <alignment horizontal="center" vertical="center" shrinkToFit="1"/>
    </xf>
    <xf numFmtId="0" fontId="1" fillId="17" borderId="41" xfId="0" applyFont="1" applyFill="1" applyBorder="1" applyAlignment="1">
      <alignment vertical="center" shrinkToFit="1"/>
    </xf>
    <xf numFmtId="0" fontId="60" fillId="0" borderId="46" xfId="0" applyFont="1" applyBorder="1" applyAlignment="1">
      <alignment horizontal="center" vertical="center" shrinkToFit="1"/>
    </xf>
    <xf numFmtId="0" fontId="53" fillId="0" borderId="51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shrinkToFit="1"/>
    </xf>
    <xf numFmtId="0" fontId="31" fillId="0" borderId="87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 shrinkToFit="1"/>
    </xf>
    <xf numFmtId="0" fontId="59" fillId="0" borderId="44" xfId="0" applyFont="1" applyBorder="1" applyAlignment="1">
      <alignment horizontal="center" vertical="center" shrinkToFit="1"/>
    </xf>
    <xf numFmtId="0" fontId="12" fillId="13" borderId="58" xfId="0" applyFont="1" applyFill="1" applyBorder="1" applyAlignment="1">
      <alignment horizontal="center" vertical="center" shrinkToFit="1"/>
    </xf>
    <xf numFmtId="0" fontId="12" fillId="13" borderId="48" xfId="0" applyFont="1" applyFill="1" applyBorder="1" applyAlignment="1">
      <alignment horizontal="center" vertical="center" shrinkToFit="1"/>
    </xf>
    <xf numFmtId="0" fontId="12" fillId="11" borderId="79" xfId="0" applyFont="1" applyFill="1" applyBorder="1" applyAlignment="1">
      <alignment horizontal="center" vertical="center" shrinkToFit="1"/>
    </xf>
    <xf numFmtId="0" fontId="61" fillId="0" borderId="44" xfId="0" applyFont="1" applyBorder="1" applyAlignment="1">
      <alignment horizontal="center" vertical="center"/>
    </xf>
    <xf numFmtId="0" fontId="53" fillId="0" borderId="75" xfId="0" applyFont="1" applyBorder="1" applyAlignment="1">
      <alignment horizontal="center" vertical="center" shrinkToFit="1"/>
    </xf>
    <xf numFmtId="0" fontId="5" fillId="12" borderId="84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51" fillId="0" borderId="10" xfId="0" applyFont="1" applyBorder="1" applyAlignment="1">
      <alignment horizontal="center" vertical="center"/>
    </xf>
    <xf numFmtId="0" fontId="62" fillId="0" borderId="81" xfId="0" applyFont="1" applyBorder="1" applyAlignment="1">
      <alignment horizontal="left" vertical="center" shrinkToFit="1"/>
    </xf>
    <xf numFmtId="0" fontId="12" fillId="0" borderId="48" xfId="0" applyFont="1" applyBorder="1" applyAlignment="1">
      <alignment horizontal="center" vertical="center" wrapText="1"/>
    </xf>
    <xf numFmtId="0" fontId="17" fillId="25" borderId="79" xfId="0" applyFont="1" applyFill="1" applyBorder="1" applyAlignment="1">
      <alignment horizontal="center" vertical="center" shrinkToFit="1"/>
    </xf>
    <xf numFmtId="0" fontId="12" fillId="11" borderId="89" xfId="0" applyFont="1" applyFill="1" applyBorder="1" applyAlignment="1">
      <alignment horizontal="center" vertical="center" wrapText="1"/>
    </xf>
    <xf numFmtId="0" fontId="61" fillId="0" borderId="87" xfId="0" applyFont="1" applyBorder="1" applyAlignment="1">
      <alignment horizontal="center" vertical="center"/>
    </xf>
    <xf numFmtId="0" fontId="63" fillId="0" borderId="81" xfId="0" applyFont="1" applyBorder="1" applyAlignment="1">
      <alignment horizontal="left" vertical="center" shrinkToFit="1"/>
    </xf>
    <xf numFmtId="0" fontId="59" fillId="0" borderId="55" xfId="0" applyFont="1" applyBorder="1" applyAlignment="1">
      <alignment horizontal="center" vertical="center" shrinkToFit="1"/>
    </xf>
    <xf numFmtId="0" fontId="12" fillId="8" borderId="48" xfId="0" applyFont="1" applyFill="1" applyBorder="1" applyAlignment="1">
      <alignment horizontal="center" vertical="center" shrinkToFit="1"/>
    </xf>
    <xf numFmtId="0" fontId="53" fillId="0" borderId="61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12" fillId="11" borderId="71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wrapText="1"/>
    </xf>
    <xf numFmtId="0" fontId="12" fillId="8" borderId="60" xfId="0" applyFont="1" applyFill="1" applyBorder="1" applyAlignment="1">
      <alignment horizontal="center" vertical="center" shrinkToFit="1"/>
    </xf>
    <xf numFmtId="0" fontId="1" fillId="0" borderId="59" xfId="0" applyFont="1" applyBorder="1" applyAlignment="1">
      <alignment horizontal="center" vertical="center" shrinkToFit="1"/>
    </xf>
    <xf numFmtId="0" fontId="5" fillId="11" borderId="60" xfId="0" applyFont="1" applyFill="1" applyBorder="1" applyAlignment="1">
      <alignment horizontal="center" vertical="center" shrinkToFit="1"/>
    </xf>
    <xf numFmtId="0" fontId="64" fillId="8" borderId="79" xfId="0" applyFont="1" applyFill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24" fillId="8" borderId="60" xfId="0" applyFont="1" applyFill="1" applyBorder="1" applyAlignment="1">
      <alignment vertical="center"/>
    </xf>
    <xf numFmtId="0" fontId="40" fillId="0" borderId="35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/>
    </xf>
    <xf numFmtId="0" fontId="5" fillId="17" borderId="117" xfId="0" applyFont="1" applyFill="1" applyBorder="1" applyAlignment="1">
      <alignment horizontal="center" vertical="center" shrinkToFit="1"/>
    </xf>
    <xf numFmtId="0" fontId="3" fillId="17" borderId="46" xfId="0" applyFont="1" applyFill="1" applyBorder="1" applyAlignment="1">
      <alignment horizontal="center" vertical="center" shrinkToFit="1"/>
    </xf>
    <xf numFmtId="0" fontId="66" fillId="0" borderId="74" xfId="0" applyFont="1" applyBorder="1" applyAlignment="1">
      <alignment horizontal="center" vertical="center" shrinkToFit="1"/>
    </xf>
    <xf numFmtId="0" fontId="53" fillId="0" borderId="74" xfId="0" applyFont="1" applyBorder="1" applyAlignment="1">
      <alignment horizontal="center" vertical="center" shrinkToFit="1"/>
    </xf>
    <xf numFmtId="0" fontId="40" fillId="0" borderId="81" xfId="0" applyFont="1" applyBorder="1" applyAlignment="1">
      <alignment horizontal="center" vertical="center"/>
    </xf>
    <xf numFmtId="0" fontId="5" fillId="26" borderId="48" xfId="0" applyFont="1" applyFill="1" applyBorder="1" applyAlignment="1">
      <alignment horizontal="center" vertical="center" shrinkToFit="1"/>
    </xf>
    <xf numFmtId="0" fontId="1" fillId="8" borderId="41" xfId="0" applyFont="1" applyFill="1" applyBorder="1" applyAlignment="1">
      <alignment horizontal="center" vertical="center" shrinkToFit="1"/>
    </xf>
    <xf numFmtId="0" fontId="51" fillId="11" borderId="46" xfId="0" applyFont="1" applyFill="1" applyBorder="1" applyAlignment="1">
      <alignment horizontal="center" vertical="center" shrinkToFit="1"/>
    </xf>
    <xf numFmtId="0" fontId="32" fillId="15" borderId="73" xfId="0" applyFont="1" applyFill="1" applyBorder="1" applyAlignment="1">
      <alignment horizontal="center" vertical="center" wrapText="1"/>
    </xf>
    <xf numFmtId="0" fontId="5" fillId="11" borderId="84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shrinkToFit="1"/>
    </xf>
    <xf numFmtId="0" fontId="5" fillId="11" borderId="89" xfId="0" applyFont="1" applyFill="1" applyBorder="1" applyAlignment="1">
      <alignment horizontal="center" vertical="center" shrinkToFit="1"/>
    </xf>
    <xf numFmtId="0" fontId="66" fillId="0" borderId="118" xfId="0" applyFont="1" applyBorder="1" applyAlignment="1">
      <alignment horizontal="center" vertical="center" shrinkToFit="1"/>
    </xf>
    <xf numFmtId="0" fontId="12" fillId="11" borderId="64" xfId="0" applyFont="1" applyFill="1" applyBorder="1" applyAlignment="1">
      <alignment horizontal="center" vertical="center" shrinkToFit="1"/>
    </xf>
    <xf numFmtId="0" fontId="67" fillId="0" borderId="74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4" fillId="0" borderId="99" xfId="0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 shrinkToFit="1"/>
    </xf>
    <xf numFmtId="0" fontId="46" fillId="0" borderId="0" xfId="0" applyFont="1" applyAlignment="1">
      <alignment vertical="center" wrapText="1"/>
    </xf>
    <xf numFmtId="0" fontId="5" fillId="27" borderId="41" xfId="0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shrinkToFit="1"/>
    </xf>
    <xf numFmtId="0" fontId="3" fillId="0" borderId="111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shrinkToFit="1"/>
    </xf>
    <xf numFmtId="0" fontId="5" fillId="11" borderId="53" xfId="0" applyFont="1" applyFill="1" applyBorder="1" applyAlignment="1">
      <alignment horizontal="center" vertical="center" shrinkToFit="1"/>
    </xf>
    <xf numFmtId="0" fontId="56" fillId="0" borderId="119" xfId="0" applyFont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wrapText="1"/>
    </xf>
    <xf numFmtId="0" fontId="62" fillId="0" borderId="10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36" xfId="0" applyFont="1" applyBorder="1" applyAlignment="1">
      <alignment vertical="center" shrinkToFit="1"/>
    </xf>
    <xf numFmtId="0" fontId="70" fillId="0" borderId="10" xfId="0" applyFont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5" fillId="11" borderId="86" xfId="0" applyFont="1" applyFill="1" applyBorder="1" applyAlignment="1">
      <alignment horizontal="center" vertical="center" shrinkToFit="1"/>
    </xf>
    <xf numFmtId="0" fontId="44" fillId="0" borderId="9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0" fontId="60" fillId="0" borderId="59" xfId="0" applyFont="1" applyBorder="1" applyAlignment="1">
      <alignment horizontal="center" vertical="center" shrinkToFit="1"/>
    </xf>
    <xf numFmtId="0" fontId="1" fillId="0" borderId="6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12" fillId="0" borderId="93" xfId="0" applyFont="1" applyBorder="1" applyAlignment="1">
      <alignment horizontal="center" vertical="center" shrinkToFit="1"/>
    </xf>
    <xf numFmtId="0" fontId="39" fillId="0" borderId="29" xfId="0" applyFont="1" applyBorder="1" applyAlignment="1">
      <alignment horizontal="left" vertical="center" shrinkToFit="1"/>
    </xf>
    <xf numFmtId="0" fontId="5" fillId="24" borderId="29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5" fillId="12" borderId="60" xfId="0" applyFont="1" applyFill="1" applyBorder="1" applyAlignment="1">
      <alignment horizontal="center" vertical="center" shrinkToFit="1"/>
    </xf>
    <xf numFmtId="0" fontId="56" fillId="0" borderId="5" xfId="0" applyFont="1" applyBorder="1" applyAlignment="1">
      <alignment horizontal="center" vertical="center" wrapText="1"/>
    </xf>
    <xf numFmtId="0" fontId="31" fillId="11" borderId="6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69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0" fontId="37" fillId="0" borderId="0" xfId="0" applyFont="1" applyAlignment="1">
      <alignment vertical="center" shrinkToFit="1"/>
    </xf>
    <xf numFmtId="176" fontId="40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32" fillId="0" borderId="129" xfId="0" applyFont="1" applyBorder="1" applyAlignment="1">
      <alignment horizontal="center" vertical="center"/>
    </xf>
    <xf numFmtId="0" fontId="77" fillId="31" borderId="130" xfId="0" applyFont="1" applyFill="1" applyBorder="1" applyAlignment="1">
      <alignment horizontal="center" vertical="center"/>
    </xf>
    <xf numFmtId="0" fontId="77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 shrinkToFit="1"/>
    </xf>
    <xf numFmtId="0" fontId="79" fillId="32" borderId="132" xfId="0" applyFont="1" applyFill="1" applyBorder="1" applyAlignment="1">
      <alignment horizontal="center" vertical="center"/>
    </xf>
    <xf numFmtId="0" fontId="80" fillId="24" borderId="133" xfId="0" applyFont="1" applyFill="1" applyBorder="1" applyAlignment="1">
      <alignment horizontal="center" vertical="center"/>
    </xf>
    <xf numFmtId="0" fontId="80" fillId="24" borderId="134" xfId="0" applyFont="1" applyFill="1" applyBorder="1" applyAlignment="1">
      <alignment horizontal="center" vertical="center"/>
    </xf>
    <xf numFmtId="0" fontId="80" fillId="33" borderId="133" xfId="0" applyFont="1" applyFill="1" applyBorder="1" applyAlignment="1">
      <alignment horizontal="center" vertical="center"/>
    </xf>
    <xf numFmtId="0" fontId="79" fillId="34" borderId="134" xfId="0" applyFont="1" applyFill="1" applyBorder="1" applyAlignment="1">
      <alignment horizontal="center" vertical="center"/>
    </xf>
    <xf numFmtId="0" fontId="79" fillId="35" borderId="134" xfId="0" applyFont="1" applyFill="1" applyBorder="1" applyAlignment="1">
      <alignment horizontal="center" vertical="center"/>
    </xf>
    <xf numFmtId="0" fontId="79" fillId="36" borderId="135" xfId="0" applyFont="1" applyFill="1" applyBorder="1" applyAlignment="1">
      <alignment horizontal="center" vertical="center"/>
    </xf>
    <xf numFmtId="0" fontId="79" fillId="37" borderId="81" xfId="0" applyFont="1" applyFill="1" applyBorder="1" applyAlignment="1">
      <alignment horizontal="center" vertical="center"/>
    </xf>
    <xf numFmtId="0" fontId="77" fillId="31" borderId="136" xfId="0" applyFont="1" applyFill="1" applyBorder="1" applyAlignment="1">
      <alignment horizontal="center" vertical="center" shrinkToFit="1"/>
    </xf>
    <xf numFmtId="0" fontId="77" fillId="31" borderId="131" xfId="0" applyFont="1" applyFill="1" applyBorder="1" applyAlignment="1">
      <alignment horizontal="center" vertical="center" shrinkToFit="1"/>
    </xf>
    <xf numFmtId="0" fontId="81" fillId="31" borderId="131" xfId="0" applyFont="1" applyFill="1" applyBorder="1" applyAlignment="1">
      <alignment horizontal="center" vertical="center" shrinkToFit="1"/>
    </xf>
    <xf numFmtId="176" fontId="77" fillId="31" borderId="131" xfId="0" applyNumberFormat="1" applyFont="1" applyFill="1" applyBorder="1" applyAlignment="1">
      <alignment horizontal="center" vertical="center"/>
    </xf>
    <xf numFmtId="0" fontId="76" fillId="31" borderId="137" xfId="0" applyFont="1" applyFill="1" applyBorder="1" applyAlignment="1">
      <alignment horizontal="center" vertical="center"/>
    </xf>
    <xf numFmtId="0" fontId="32" fillId="0" borderId="129" xfId="0" applyFont="1" applyBorder="1" applyAlignment="1">
      <alignment horizontal="center" vertical="center" shrinkToFit="1"/>
    </xf>
    <xf numFmtId="0" fontId="69" fillId="0" borderId="129" xfId="0" applyFont="1" applyBorder="1" applyAlignment="1">
      <alignment horizontal="center" vertical="center"/>
    </xf>
    <xf numFmtId="0" fontId="69" fillId="0" borderId="129" xfId="0" applyFont="1" applyBorder="1" applyAlignment="1">
      <alignment horizontal="center" vertical="center" shrinkToFit="1"/>
    </xf>
    <xf numFmtId="0" fontId="69" fillId="0" borderId="138" xfId="0" applyFont="1" applyBorder="1" applyAlignment="1">
      <alignment horizontal="center" vertical="center" shrinkToFit="1"/>
    </xf>
    <xf numFmtId="0" fontId="32" fillId="0" borderId="139" xfId="0" applyFont="1" applyBorder="1" applyAlignment="1">
      <alignment horizontal="center" vertical="center" shrinkToFit="1"/>
    </xf>
    <xf numFmtId="0" fontId="32" fillId="0" borderId="140" xfId="0" applyFont="1" applyBorder="1" applyAlignment="1">
      <alignment horizontal="center" vertical="center"/>
    </xf>
    <xf numFmtId="0" fontId="32" fillId="0" borderId="141" xfId="0" applyFont="1" applyBorder="1" applyAlignment="1">
      <alignment horizontal="center" vertical="center" shrinkToFit="1"/>
    </xf>
    <xf numFmtId="0" fontId="37" fillId="0" borderId="129" xfId="0" applyFont="1" applyBorder="1" applyAlignment="1">
      <alignment horizontal="center" vertical="center" shrinkToFit="1"/>
    </xf>
    <xf numFmtId="176" fontId="32" fillId="0" borderId="129" xfId="0" applyNumberFormat="1" applyFont="1" applyBorder="1" applyAlignment="1">
      <alignment horizontal="center" vertical="center"/>
    </xf>
    <xf numFmtId="178" fontId="32" fillId="0" borderId="129" xfId="0" applyNumberFormat="1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59" fillId="0" borderId="129" xfId="0" applyFont="1" applyBorder="1" applyAlignment="1">
      <alignment horizontal="center" vertical="center"/>
    </xf>
    <xf numFmtId="0" fontId="32" fillId="0" borderId="142" xfId="0" applyFont="1" applyBorder="1" applyAlignment="1">
      <alignment horizontal="center" vertical="center" shrinkToFit="1"/>
    </xf>
    <xf numFmtId="0" fontId="32" fillId="19" borderId="129" xfId="0" applyFont="1" applyFill="1" applyBorder="1" applyAlignment="1">
      <alignment horizontal="center" vertical="center"/>
    </xf>
    <xf numFmtId="0" fontId="32" fillId="0" borderId="143" xfId="0" applyFont="1" applyBorder="1" applyAlignment="1">
      <alignment horizontal="center" vertical="center" shrinkToFit="1"/>
    </xf>
    <xf numFmtId="0" fontId="32" fillId="0" borderId="144" xfId="0" applyFont="1" applyBorder="1" applyAlignment="1">
      <alignment horizontal="center" vertical="center" shrinkToFit="1"/>
    </xf>
    <xf numFmtId="0" fontId="32" fillId="0" borderId="95" xfId="0" applyFont="1" applyBorder="1" applyAlignment="1">
      <alignment horizontal="center" vertical="center" shrinkToFit="1"/>
    </xf>
    <xf numFmtId="0" fontId="32" fillId="38" borderId="129" xfId="0" applyFont="1" applyFill="1" applyBorder="1" applyAlignment="1">
      <alignment horizontal="center" vertical="center"/>
    </xf>
    <xf numFmtId="0" fontId="32" fillId="39" borderId="129" xfId="0" applyFont="1" applyFill="1" applyBorder="1" applyAlignment="1">
      <alignment horizontal="center" vertical="center"/>
    </xf>
    <xf numFmtId="0" fontId="82" fillId="0" borderId="129" xfId="0" applyFont="1" applyBorder="1" applyAlignment="1">
      <alignment horizontal="center" vertical="center"/>
    </xf>
    <xf numFmtId="0" fontId="24" fillId="0" borderId="129" xfId="0" applyFont="1" applyBorder="1" applyAlignment="1">
      <alignment vertical="center"/>
    </xf>
    <xf numFmtId="0" fontId="32" fillId="40" borderId="129" xfId="0" applyFont="1" applyFill="1" applyBorder="1" applyAlignment="1">
      <alignment horizontal="center" vertical="center"/>
    </xf>
    <xf numFmtId="0" fontId="32" fillId="0" borderId="139" xfId="0" applyFont="1" applyBorder="1" applyAlignment="1">
      <alignment horizontal="center" vertical="center"/>
    </xf>
    <xf numFmtId="0" fontId="37" fillId="0" borderId="129" xfId="0" applyFont="1" applyBorder="1" applyAlignment="1">
      <alignment horizontal="center" vertical="center"/>
    </xf>
    <xf numFmtId="0" fontId="32" fillId="41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0" fontId="37" fillId="0" borderId="140" xfId="0" applyFont="1" applyBorder="1" applyAlignment="1">
      <alignment horizontal="center" vertical="center" shrinkToFit="1"/>
    </xf>
    <xf numFmtId="0" fontId="32" fillId="0" borderId="121" xfId="0" applyFont="1" applyBorder="1" applyAlignment="1">
      <alignment horizontal="center" vertical="center" shrinkToFit="1"/>
    </xf>
    <xf numFmtId="0" fontId="32" fillId="0" borderId="138" xfId="0" applyFont="1" applyBorder="1" applyAlignment="1">
      <alignment horizontal="center" vertical="center"/>
    </xf>
    <xf numFmtId="0" fontId="32" fillId="0" borderId="126" xfId="0" applyFont="1" applyBorder="1" applyAlignment="1">
      <alignment horizontal="center" vertical="center" shrinkToFit="1"/>
    </xf>
    <xf numFmtId="0" fontId="32" fillId="0" borderId="146" xfId="0" applyFont="1" applyBorder="1" applyAlignment="1">
      <alignment horizontal="center" vertical="center" shrinkToFit="1"/>
    </xf>
    <xf numFmtId="0" fontId="7" fillId="41" borderId="129" xfId="0" applyFont="1" applyFill="1" applyBorder="1" applyAlignment="1">
      <alignment horizontal="center" vertical="center" shrinkToFit="1"/>
    </xf>
    <xf numFmtId="0" fontId="32" fillId="42" borderId="129" xfId="0" applyFont="1" applyFill="1" applyBorder="1" applyAlignment="1">
      <alignment horizontal="center" vertical="center"/>
    </xf>
    <xf numFmtId="0" fontId="24" fillId="0" borderId="138" xfId="0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0" fontId="7" fillId="23" borderId="129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 shrinkToFit="1"/>
    </xf>
    <xf numFmtId="0" fontId="32" fillId="43" borderId="129" xfId="0" applyFont="1" applyFill="1" applyBorder="1" applyAlignment="1">
      <alignment horizontal="center" vertical="center"/>
    </xf>
    <xf numFmtId="0" fontId="45" fillId="0" borderId="129" xfId="0" applyFont="1" applyBorder="1" applyAlignment="1">
      <alignment horizontal="center" vertical="center"/>
    </xf>
    <xf numFmtId="0" fontId="32" fillId="29" borderId="129" xfId="0" applyFont="1" applyFill="1" applyBorder="1" applyAlignment="1">
      <alignment horizontal="center" vertical="center"/>
    </xf>
    <xf numFmtId="0" fontId="32" fillId="18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 shrinkToFit="1"/>
    </xf>
    <xf numFmtId="0" fontId="32" fillId="0" borderId="129" xfId="0" applyFont="1" applyBorder="1" applyAlignment="1">
      <alignment horizontal="left" vertical="center"/>
    </xf>
    <xf numFmtId="0" fontId="32" fillId="25" borderId="129" xfId="0" applyFont="1" applyFill="1" applyBorder="1" applyAlignment="1">
      <alignment horizontal="center" vertical="center"/>
    </xf>
    <xf numFmtId="0" fontId="24" fillId="43" borderId="129" xfId="0" applyFont="1" applyFill="1" applyBorder="1" applyAlignment="1">
      <alignment vertical="center"/>
    </xf>
    <xf numFmtId="0" fontId="83" fillId="0" borderId="129" xfId="0" applyFont="1" applyBorder="1" applyAlignment="1">
      <alignment horizontal="center" vertical="center"/>
    </xf>
    <xf numFmtId="0" fontId="32" fillId="0" borderId="129" xfId="0" applyFont="1" applyBorder="1" applyAlignment="1">
      <alignment vertical="center"/>
    </xf>
    <xf numFmtId="0" fontId="32" fillId="44" borderId="129" xfId="0" applyFont="1" applyFill="1" applyBorder="1" applyAlignment="1">
      <alignment horizontal="center" vertical="center"/>
    </xf>
    <xf numFmtId="0" fontId="69" fillId="44" borderId="129" xfId="0" applyFont="1" applyFill="1" applyBorder="1" applyAlignment="1">
      <alignment horizontal="center" vertical="center"/>
    </xf>
    <xf numFmtId="0" fontId="24" fillId="44" borderId="138" xfId="0" applyFont="1" applyFill="1" applyBorder="1" applyAlignment="1">
      <alignment vertical="center"/>
    </xf>
    <xf numFmtId="0" fontId="32" fillId="44" borderId="139" xfId="0" applyFont="1" applyFill="1" applyBorder="1" applyAlignment="1">
      <alignment horizontal="center" vertical="center"/>
    </xf>
    <xf numFmtId="0" fontId="24" fillId="44" borderId="140" xfId="0" applyFont="1" applyFill="1" applyBorder="1" applyAlignment="1">
      <alignment vertical="center"/>
    </xf>
    <xf numFmtId="0" fontId="24" fillId="44" borderId="129" xfId="0" applyFont="1" applyFill="1" applyBorder="1" applyAlignment="1">
      <alignment vertical="center"/>
    </xf>
    <xf numFmtId="0" fontId="37" fillId="44" borderId="129" xfId="0" applyFont="1" applyFill="1" applyBorder="1" applyAlignment="1">
      <alignment horizontal="center" vertical="center"/>
    </xf>
    <xf numFmtId="176" fontId="32" fillId="44" borderId="129" xfId="0" applyNumberFormat="1" applyFont="1" applyFill="1" applyBorder="1" applyAlignment="1">
      <alignment horizontal="center" vertical="center"/>
    </xf>
    <xf numFmtId="178" fontId="32" fillId="44" borderId="129" xfId="0" applyNumberFormat="1" applyFont="1" applyFill="1" applyBorder="1" applyAlignment="1">
      <alignment horizontal="center" vertical="center"/>
    </xf>
    <xf numFmtId="0" fontId="83" fillId="44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/>
    </xf>
    <xf numFmtId="0" fontId="32" fillId="45" borderId="129" xfId="0" applyFont="1" applyFill="1" applyBorder="1" applyAlignment="1">
      <alignment horizontal="center" vertical="center"/>
    </xf>
    <xf numFmtId="0" fontId="7" fillId="46" borderId="129" xfId="0" applyFont="1" applyFill="1" applyBorder="1" applyAlignment="1">
      <alignment horizontal="center" vertical="center"/>
    </xf>
    <xf numFmtId="0" fontId="32" fillId="0" borderId="129" xfId="0" quotePrefix="1" applyFont="1" applyBorder="1" applyAlignment="1">
      <alignment horizontal="center" vertical="center" shrinkToFit="1"/>
    </xf>
    <xf numFmtId="0" fontId="32" fillId="47" borderId="129" xfId="0" applyFont="1" applyFill="1" applyBorder="1" applyAlignment="1">
      <alignment horizontal="center" vertical="center"/>
    </xf>
    <xf numFmtId="0" fontId="32" fillId="48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 shrinkToFit="1"/>
    </xf>
    <xf numFmtId="0" fontId="32" fillId="48" borderId="138" xfId="0" applyFont="1" applyFill="1" applyBorder="1" applyAlignment="1">
      <alignment horizontal="center" vertical="center"/>
    </xf>
    <xf numFmtId="0" fontId="37" fillId="0" borderId="140" xfId="0" applyFont="1" applyBorder="1" applyAlignment="1">
      <alignment horizontal="center" vertical="center"/>
    </xf>
    <xf numFmtId="0" fontId="24" fillId="17" borderId="129" xfId="0" applyFont="1" applyFill="1" applyBorder="1" applyAlignment="1">
      <alignment vertical="center"/>
    </xf>
    <xf numFmtId="0" fontId="32" fillId="0" borderId="143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 shrinkToFit="1"/>
    </xf>
    <xf numFmtId="0" fontId="84" fillId="0" borderId="129" xfId="0" applyFont="1" applyBorder="1" applyAlignment="1">
      <alignment horizontal="center" vertical="center"/>
    </xf>
    <xf numFmtId="0" fontId="32" fillId="49" borderId="129" xfId="0" applyFont="1" applyFill="1" applyBorder="1" applyAlignment="1">
      <alignment horizontal="center" vertical="center"/>
    </xf>
    <xf numFmtId="0" fontId="32" fillId="0" borderId="125" xfId="0" applyFont="1" applyBorder="1" applyAlignment="1">
      <alignment horizontal="center" vertical="center" shrinkToFit="1"/>
    </xf>
    <xf numFmtId="0" fontId="32" fillId="14" borderId="129" xfId="0" applyFont="1" applyFill="1" applyBorder="1" applyAlignment="1">
      <alignment horizontal="center" vertical="center"/>
    </xf>
    <xf numFmtId="0" fontId="50" fillId="44" borderId="129" xfId="0" applyFont="1" applyFill="1" applyBorder="1" applyAlignment="1">
      <alignment vertical="center"/>
    </xf>
    <xf numFmtId="0" fontId="32" fillId="0" borderId="147" xfId="0" applyFont="1" applyBorder="1" applyAlignment="1">
      <alignment horizontal="center" vertical="center" shrinkToFit="1"/>
    </xf>
    <xf numFmtId="0" fontId="32" fillId="35" borderId="129" xfId="0" applyFont="1" applyFill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 shrinkToFit="1"/>
    </xf>
    <xf numFmtId="0" fontId="69" fillId="21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 shrinkToFit="1"/>
    </xf>
    <xf numFmtId="0" fontId="32" fillId="8" borderId="129" xfId="0" applyFont="1" applyFill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32" fillId="50" borderId="129" xfId="0" applyFont="1" applyFill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shrinkToFit="1"/>
    </xf>
    <xf numFmtId="0" fontId="86" fillId="0" borderId="129" xfId="0" applyFont="1" applyBorder="1" applyAlignment="1">
      <alignment horizontal="center" vertical="center"/>
    </xf>
    <xf numFmtId="0" fontId="86" fillId="0" borderId="129" xfId="0" applyFont="1" applyBorder="1" applyAlignment="1">
      <alignment horizontal="center" vertical="center" shrinkToFit="1"/>
    </xf>
    <xf numFmtId="0" fontId="86" fillId="0" borderId="138" xfId="0" applyFont="1" applyBorder="1" applyAlignment="1">
      <alignment horizontal="center" vertical="center" shrinkToFit="1"/>
    </xf>
    <xf numFmtId="0" fontId="85" fillId="0" borderId="145" xfId="0" applyFont="1" applyBorder="1" applyAlignment="1">
      <alignment horizontal="center" vertical="center" shrinkToFit="1"/>
    </xf>
    <xf numFmtId="0" fontId="85" fillId="0" borderId="140" xfId="0" applyFont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 shrinkToFit="1"/>
    </xf>
    <xf numFmtId="176" fontId="85" fillId="0" borderId="129" xfId="0" applyNumberFormat="1" applyFont="1" applyBorder="1" applyAlignment="1">
      <alignment horizontal="center" vertical="center"/>
    </xf>
    <xf numFmtId="178" fontId="85" fillId="0" borderId="129" xfId="0" applyNumberFormat="1" applyFont="1" applyBorder="1" applyAlignment="1">
      <alignment horizontal="center" vertical="center"/>
    </xf>
    <xf numFmtId="0" fontId="85" fillId="43" borderId="129" xfId="0" applyFont="1" applyFill="1" applyBorder="1" applyAlignment="1">
      <alignment horizontal="center" vertical="center"/>
    </xf>
    <xf numFmtId="0" fontId="32" fillId="17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 shrinkToFit="1"/>
    </xf>
    <xf numFmtId="0" fontId="32" fillId="51" borderId="129" xfId="0" applyFont="1" applyFill="1" applyBorder="1" applyAlignment="1">
      <alignment horizontal="center" vertical="center"/>
    </xf>
    <xf numFmtId="0" fontId="32" fillId="21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/>
    </xf>
    <xf numFmtId="0" fontId="32" fillId="6" borderId="129" xfId="0" applyFont="1" applyFill="1" applyBorder="1" applyAlignment="1">
      <alignment horizontal="center" vertical="center" shrinkToFit="1"/>
    </xf>
    <xf numFmtId="0" fontId="7" fillId="0" borderId="129" xfId="0" applyFont="1" applyBorder="1" applyAlignment="1">
      <alignment horizontal="left" vertical="center"/>
    </xf>
    <xf numFmtId="0" fontId="32" fillId="0" borderId="120" xfId="0" applyFont="1" applyBorder="1" applyAlignment="1">
      <alignment horizontal="center" vertical="center"/>
    </xf>
    <xf numFmtId="0" fontId="22" fillId="43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0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8" fontId="3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39" fillId="20" borderId="81" xfId="0" applyFont="1" applyFill="1" applyBorder="1" applyAlignment="1">
      <alignment vertical="center"/>
    </xf>
    <xf numFmtId="0" fontId="72" fillId="20" borderId="81" xfId="0" applyFont="1" applyFill="1" applyBorder="1" applyAlignment="1">
      <alignment horizontal="center" vertical="center"/>
    </xf>
    <xf numFmtId="0" fontId="87" fillId="0" borderId="81" xfId="0" applyFont="1" applyBorder="1" applyAlignment="1">
      <alignment vertical="center"/>
    </xf>
    <xf numFmtId="0" fontId="72" fillId="0" borderId="81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77" fontId="88" fillId="30" borderId="128" xfId="0" applyNumberFormat="1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69" fillId="17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/>
    </xf>
    <xf numFmtId="0" fontId="69" fillId="44" borderId="138" xfId="0" applyFont="1" applyFill="1" applyBorder="1" applyAlignment="1">
      <alignment horizontal="center" vertical="center"/>
    </xf>
    <xf numFmtId="0" fontId="69" fillId="53" borderId="138" xfId="0" applyFont="1" applyFill="1" applyBorder="1" applyAlignment="1">
      <alignment horizontal="center" vertical="center" shrinkToFit="1"/>
    </xf>
    <xf numFmtId="0" fontId="69" fillId="6" borderId="138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/>
    </xf>
    <xf numFmtId="0" fontId="69" fillId="21" borderId="129" xfId="0" applyFont="1" applyFill="1" applyBorder="1" applyAlignment="1">
      <alignment horizontal="center" vertical="center" shrinkToFit="1"/>
    </xf>
    <xf numFmtId="0" fontId="32" fillId="52" borderId="129" xfId="0" applyFont="1" applyFill="1" applyBorder="1" applyAlignment="1">
      <alignment horizontal="center" vertical="center"/>
    </xf>
    <xf numFmtId="0" fontId="69" fillId="53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 shrinkToFit="1"/>
    </xf>
    <xf numFmtId="0" fontId="69" fillId="24" borderId="129" xfId="0" applyFont="1" applyFill="1" applyBorder="1" applyAlignment="1">
      <alignment horizontal="center" vertical="center"/>
    </xf>
    <xf numFmtId="0" fontId="69" fillId="24" borderId="129" xfId="0" applyFont="1" applyFill="1" applyBorder="1" applyAlignment="1">
      <alignment horizontal="center" vertical="center" shrinkToFit="1"/>
    </xf>
    <xf numFmtId="0" fontId="69" fillId="24" borderId="138" xfId="0" applyFont="1" applyFill="1" applyBorder="1" applyAlignment="1">
      <alignment horizontal="center" vertical="center" shrinkToFit="1"/>
    </xf>
    <xf numFmtId="0" fontId="32" fillId="24" borderId="139" xfId="0" applyFont="1" applyFill="1" applyBorder="1" applyAlignment="1">
      <alignment horizontal="center" vertical="center" shrinkToFit="1"/>
    </xf>
    <xf numFmtId="0" fontId="32" fillId="24" borderId="140" xfId="0" applyFont="1" applyFill="1" applyBorder="1" applyAlignment="1">
      <alignment horizontal="center" vertical="center"/>
    </xf>
    <xf numFmtId="0" fontId="32" fillId="24" borderId="138" xfId="0" applyFont="1" applyFill="1" applyBorder="1" applyAlignment="1">
      <alignment horizontal="center" vertical="center"/>
    </xf>
    <xf numFmtId="0" fontId="37" fillId="24" borderId="140" xfId="0" applyFont="1" applyFill="1" applyBorder="1" applyAlignment="1">
      <alignment horizontal="center" vertical="center" shrinkToFit="1"/>
    </xf>
    <xf numFmtId="176" fontId="32" fillId="24" borderId="129" xfId="0" applyNumberFormat="1" applyFont="1" applyFill="1" applyBorder="1" applyAlignment="1">
      <alignment horizontal="center" vertical="center"/>
    </xf>
    <xf numFmtId="178" fontId="32" fillId="24" borderId="129" xfId="0" applyNumberFormat="1" applyFont="1" applyFill="1" applyBorder="1" applyAlignment="1">
      <alignment horizontal="center" vertical="center"/>
    </xf>
    <xf numFmtId="0" fontId="7" fillId="24" borderId="129" xfId="0" applyFont="1" applyFill="1" applyBorder="1" applyAlignment="1">
      <alignment horizontal="center" vertical="center"/>
    </xf>
    <xf numFmtId="0" fontId="7" fillId="23" borderId="81" xfId="0" applyFont="1" applyFill="1" applyBorder="1" applyAlignment="1">
      <alignment horizontal="center" vertical="center"/>
    </xf>
    <xf numFmtId="0" fontId="32" fillId="8" borderId="143" xfId="0" applyFont="1" applyFill="1" applyBorder="1" applyAlignment="1">
      <alignment horizontal="center" vertical="center" shrinkToFit="1"/>
    </xf>
    <xf numFmtId="0" fontId="32" fillId="43" borderId="139" xfId="0" applyFont="1" applyFill="1" applyBorder="1" applyAlignment="1">
      <alignment horizontal="center" vertical="center" shrinkToFit="1"/>
    </xf>
    <xf numFmtId="0" fontId="24" fillId="0" borderId="129" xfId="0" applyFont="1" applyBorder="1" applyAlignment="1">
      <alignment horizontal="center" vertical="center"/>
    </xf>
    <xf numFmtId="0" fontId="72" fillId="20" borderId="81" xfId="0" applyFont="1" applyFill="1" applyBorder="1" applyAlignment="1">
      <alignment vertical="center"/>
    </xf>
    <xf numFmtId="0" fontId="72" fillId="0" borderId="81" xfId="0" applyFont="1" applyBorder="1" applyAlignment="1">
      <alignment vertical="center"/>
    </xf>
    <xf numFmtId="0" fontId="72" fillId="42" borderId="150" xfId="0" applyFont="1" applyFill="1" applyBorder="1" applyAlignment="1">
      <alignment horizontal="center" vertical="center"/>
    </xf>
    <xf numFmtId="0" fontId="32" fillId="42" borderId="129" xfId="0" applyFont="1" applyFill="1" applyBorder="1" applyAlignment="1">
      <alignment horizontal="center" vertical="center" shrinkToFit="1"/>
    </xf>
    <xf numFmtId="0" fontId="69" fillId="42" borderId="129" xfId="0" applyFont="1" applyFill="1" applyBorder="1" applyAlignment="1">
      <alignment horizontal="center" vertical="center"/>
    </xf>
    <xf numFmtId="0" fontId="69" fillId="42" borderId="129" xfId="0" applyFont="1" applyFill="1" applyBorder="1" applyAlignment="1">
      <alignment horizontal="center" vertical="center" shrinkToFit="1"/>
    </xf>
    <xf numFmtId="0" fontId="69" fillId="42" borderId="149" xfId="0" applyFont="1" applyFill="1" applyBorder="1" applyAlignment="1">
      <alignment horizontal="center" vertical="center" shrinkToFit="1"/>
    </xf>
    <xf numFmtId="0" fontId="32" fillId="42" borderId="143" xfId="0" applyFont="1" applyFill="1" applyBorder="1" applyAlignment="1">
      <alignment horizontal="center" vertical="center" shrinkToFit="1"/>
    </xf>
    <xf numFmtId="0" fontId="32" fillId="42" borderId="148" xfId="0" applyFont="1" applyFill="1" applyBorder="1" applyAlignment="1">
      <alignment horizontal="center" vertical="center"/>
    </xf>
    <xf numFmtId="0" fontId="37" fillId="42" borderId="129" xfId="0" applyFont="1" applyFill="1" applyBorder="1" applyAlignment="1">
      <alignment horizontal="center" vertical="center" shrinkToFit="1"/>
    </xf>
    <xf numFmtId="176" fontId="32" fillId="42" borderId="129" xfId="0" applyNumberFormat="1" applyFont="1" applyFill="1" applyBorder="1" applyAlignment="1">
      <alignment horizontal="center" vertical="center"/>
    </xf>
    <xf numFmtId="178" fontId="32" fillId="42" borderId="129" xfId="0" applyNumberFormat="1" applyFont="1" applyFill="1" applyBorder="1" applyAlignment="1">
      <alignment horizontal="center" vertical="center"/>
    </xf>
    <xf numFmtId="0" fontId="32" fillId="42" borderId="139" xfId="0" applyFont="1" applyFill="1" applyBorder="1" applyAlignment="1">
      <alignment horizontal="center" vertical="center" shrinkToFit="1"/>
    </xf>
    <xf numFmtId="0" fontId="32" fillId="42" borderId="145" xfId="0" applyFont="1" applyFill="1" applyBorder="1" applyAlignment="1">
      <alignment horizontal="center" vertical="center" shrinkToFit="1"/>
    </xf>
    <xf numFmtId="0" fontId="37" fillId="24" borderId="129" xfId="0" applyFont="1" applyFill="1" applyBorder="1" applyAlignment="1">
      <alignment horizontal="center" vertical="center" shrinkToFit="1"/>
    </xf>
    <xf numFmtId="0" fontId="9" fillId="2" borderId="28" xfId="0" applyFont="1" applyFill="1" applyBorder="1" applyAlignment="1">
      <alignment horizontal="center" vertical="center" wrapText="1"/>
    </xf>
    <xf numFmtId="0" fontId="5" fillId="12" borderId="71" xfId="0" applyFont="1" applyFill="1" applyBorder="1" applyAlignment="1">
      <alignment horizontal="center" vertical="center" shrinkToFit="1"/>
    </xf>
    <xf numFmtId="0" fontId="89" fillId="8" borderId="72" xfId="0" applyFont="1" applyFill="1" applyBorder="1" applyAlignment="1">
      <alignment horizontal="center" vertical="center" shrinkToFit="1"/>
    </xf>
    <xf numFmtId="0" fontId="3" fillId="8" borderId="51" xfId="0" applyFont="1" applyFill="1" applyBorder="1" applyAlignment="1">
      <alignment horizontal="center" vertical="center" shrinkToFit="1"/>
    </xf>
    <xf numFmtId="0" fontId="5" fillId="11" borderId="79" xfId="0" applyFont="1" applyFill="1" applyBorder="1" applyAlignment="1">
      <alignment horizontal="center" vertical="center" wrapText="1"/>
    </xf>
    <xf numFmtId="0" fontId="32" fillId="11" borderId="73" xfId="0" applyFont="1" applyFill="1" applyBorder="1" applyAlignment="1">
      <alignment horizontal="center" vertical="center" wrapText="1"/>
    </xf>
    <xf numFmtId="0" fontId="5" fillId="12" borderId="73" xfId="0" applyFont="1" applyFill="1" applyBorder="1" applyAlignment="1">
      <alignment horizontal="center" vertical="center" shrinkToFit="1"/>
    </xf>
    <xf numFmtId="0" fontId="3" fillId="33" borderId="51" xfId="0" applyFont="1" applyFill="1" applyBorder="1" applyAlignment="1">
      <alignment horizontal="center" vertical="center" shrinkToFit="1"/>
    </xf>
    <xf numFmtId="0" fontId="12" fillId="8" borderId="8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vertical="center" shrinkToFit="1"/>
    </xf>
    <xf numFmtId="0" fontId="32" fillId="0" borderId="29" xfId="0" applyFont="1" applyBorder="1" applyAlignment="1">
      <alignment horizontal="center" vertical="center"/>
    </xf>
    <xf numFmtId="0" fontId="37" fillId="0" borderId="151" xfId="0" applyFont="1" applyBorder="1" applyAlignment="1">
      <alignment horizontal="center" vertical="center"/>
    </xf>
    <xf numFmtId="0" fontId="1" fillId="0" borderId="152" xfId="0" applyFont="1" applyBorder="1" applyAlignment="1">
      <alignment horizontal="center" vertical="center"/>
    </xf>
    <xf numFmtId="0" fontId="5" fillId="23" borderId="81" xfId="0" applyFont="1" applyFill="1" applyBorder="1" applyAlignment="1">
      <alignment horizontal="center" vertical="center"/>
    </xf>
    <xf numFmtId="0" fontId="32" fillId="19" borderId="88" xfId="0" applyFont="1" applyFill="1" applyBorder="1" applyAlignment="1">
      <alignment horizontal="center" vertical="center" shrinkToFit="1"/>
    </xf>
    <xf numFmtId="0" fontId="4" fillId="0" borderId="55" xfId="0" applyFont="1" applyBorder="1" applyAlignment="1">
      <alignment vertical="center" shrinkToFit="1"/>
    </xf>
    <xf numFmtId="0" fontId="1" fillId="0" borderId="151" xfId="0" applyFont="1" applyBorder="1" applyAlignment="1">
      <alignment horizontal="center" vertical="center"/>
    </xf>
    <xf numFmtId="0" fontId="5" fillId="23" borderId="92" xfId="0" applyFont="1" applyFill="1" applyBorder="1" applyAlignment="1">
      <alignment horizontal="center" vertical="center"/>
    </xf>
    <xf numFmtId="0" fontId="90" fillId="0" borderId="61" xfId="0" applyFont="1" applyBorder="1" applyAlignment="1">
      <alignment horizontal="center" vertical="center" wrapText="1"/>
    </xf>
    <xf numFmtId="0" fontId="12" fillId="0" borderId="153" xfId="0" applyFont="1" applyBorder="1" applyAlignment="1">
      <alignment horizontal="center" vertical="center" shrinkToFit="1"/>
    </xf>
    <xf numFmtId="0" fontId="12" fillId="0" borderId="154" xfId="0" applyFont="1" applyBorder="1" applyAlignment="1">
      <alignment horizontal="center" vertical="center" shrinkToFit="1"/>
    </xf>
    <xf numFmtId="0" fontId="1" fillId="10" borderId="78" xfId="0" applyFont="1" applyFill="1" applyBorder="1" applyAlignment="1">
      <alignment horizontal="center" vertical="center" shrinkToFit="1"/>
    </xf>
    <xf numFmtId="0" fontId="1" fillId="10" borderId="155" xfId="0" applyFont="1" applyFill="1" applyBorder="1" applyAlignment="1">
      <alignment horizontal="center" vertical="center" shrinkToFit="1"/>
    </xf>
    <xf numFmtId="0" fontId="29" fillId="8" borderId="41" xfId="0" applyFont="1" applyFill="1" applyBorder="1" applyAlignment="1">
      <alignment horizontal="center" vertical="center" wrapText="1"/>
    </xf>
    <xf numFmtId="0" fontId="31" fillId="24" borderId="58" xfId="0" applyFont="1" applyFill="1" applyBorder="1" applyAlignment="1">
      <alignment horizontal="center" vertical="center" wrapText="1"/>
    </xf>
    <xf numFmtId="0" fontId="61" fillId="24" borderId="58" xfId="0" applyFont="1" applyFill="1" applyBorder="1" applyAlignment="1">
      <alignment horizontal="center" vertical="center" wrapText="1"/>
    </xf>
    <xf numFmtId="0" fontId="1" fillId="10" borderId="114" xfId="0" applyFont="1" applyFill="1" applyBorder="1" applyAlignment="1">
      <alignment horizontal="center" vertical="center" shrinkToFit="1"/>
    </xf>
    <xf numFmtId="0" fontId="44" fillId="23" borderId="29" xfId="0" applyFont="1" applyFill="1" applyBorder="1" applyAlignment="1">
      <alignment horizontal="center" vertical="center"/>
    </xf>
    <xf numFmtId="0" fontId="1" fillId="23" borderId="81" xfId="0" applyFont="1" applyFill="1" applyBorder="1" applyAlignment="1">
      <alignment horizontal="center" vertical="center"/>
    </xf>
    <xf numFmtId="0" fontId="7" fillId="23" borderId="92" xfId="0" applyFont="1" applyFill="1" applyBorder="1" applyAlignment="1">
      <alignment horizontal="center" vertical="center"/>
    </xf>
    <xf numFmtId="0" fontId="1" fillId="23" borderId="92" xfId="0" applyFont="1" applyFill="1" applyBorder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0" fontId="56" fillId="0" borderId="127" xfId="0" applyFont="1" applyBorder="1" applyAlignment="1">
      <alignment horizontal="center" vertical="center"/>
    </xf>
    <xf numFmtId="0" fontId="7" fillId="23" borderId="29" xfId="0" applyFont="1" applyFill="1" applyBorder="1" applyAlignment="1">
      <alignment horizontal="center" vertical="center"/>
    </xf>
    <xf numFmtId="0" fontId="13" fillId="24" borderId="58" xfId="0" applyFont="1" applyFill="1" applyBorder="1" applyAlignment="1">
      <alignment horizontal="center" vertical="center" wrapText="1"/>
    </xf>
    <xf numFmtId="0" fontId="5" fillId="24" borderId="48" xfId="0" applyFont="1" applyFill="1" applyBorder="1" applyAlignment="1">
      <alignment horizontal="center" vertical="center" shrinkToFit="1"/>
    </xf>
    <xf numFmtId="0" fontId="10" fillId="24" borderId="156" xfId="0" applyFont="1" applyFill="1" applyBorder="1" applyAlignment="1">
      <alignment horizontal="center" vertical="center" wrapText="1"/>
    </xf>
    <xf numFmtId="0" fontId="5" fillId="24" borderId="155" xfId="0" applyFont="1" applyFill="1" applyBorder="1" applyAlignment="1">
      <alignment horizontal="center" vertical="center" shrinkToFit="1"/>
    </xf>
    <xf numFmtId="0" fontId="7" fillId="23" borderId="115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69" fillId="23" borderId="102" xfId="0" applyFont="1" applyFill="1" applyBorder="1" applyAlignment="1">
      <alignment horizontal="center" vertical="center"/>
    </xf>
    <xf numFmtId="0" fontId="37" fillId="23" borderId="102" xfId="0" applyFont="1" applyFill="1" applyBorder="1" applyAlignment="1">
      <alignment horizontal="center" vertical="center"/>
    </xf>
    <xf numFmtId="0" fontId="31" fillId="23" borderId="102" xfId="0" applyFont="1" applyFill="1" applyBorder="1" applyAlignment="1">
      <alignment horizontal="center" vertical="center"/>
    </xf>
    <xf numFmtId="0" fontId="69" fillId="23" borderId="122" xfId="0" applyFont="1" applyFill="1" applyBorder="1" applyAlignment="1">
      <alignment horizontal="center" vertical="center"/>
    </xf>
    <xf numFmtId="0" fontId="37" fillId="23" borderId="122" xfId="0" applyFont="1" applyFill="1" applyBorder="1" applyAlignment="1">
      <alignment horizontal="center" vertical="center"/>
    </xf>
    <xf numFmtId="0" fontId="31" fillId="23" borderId="122" xfId="0" applyFont="1" applyFill="1" applyBorder="1" applyAlignment="1">
      <alignment horizontal="center" vertical="center"/>
    </xf>
    <xf numFmtId="0" fontId="37" fillId="23" borderId="123" xfId="0" applyFont="1" applyFill="1" applyBorder="1" applyAlignment="1">
      <alignment horizontal="center" vertical="center"/>
    </xf>
    <xf numFmtId="0" fontId="5" fillId="24" borderId="58" xfId="0" applyFont="1" applyFill="1" applyBorder="1" applyAlignment="1">
      <alignment horizontal="center" vertical="center" wrapText="1"/>
    </xf>
    <xf numFmtId="0" fontId="69" fillId="23" borderId="123" xfId="0" applyFont="1" applyFill="1" applyBorder="1" applyAlignment="1">
      <alignment horizontal="center" vertical="center"/>
    </xf>
    <xf numFmtId="0" fontId="37" fillId="23" borderId="12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74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9" fillId="4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5" fillId="3" borderId="27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/>
    </xf>
    <xf numFmtId="0" fontId="3" fillId="3" borderId="34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7" fillId="0" borderId="3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3" fillId="6" borderId="1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shrinkToFit="1"/>
    </xf>
    <xf numFmtId="0" fontId="3" fillId="3" borderId="18" xfId="0" applyFont="1" applyFill="1" applyBorder="1" applyAlignment="1">
      <alignment horizontal="center" vertical="center" shrinkToFit="1"/>
    </xf>
    <xf numFmtId="0" fontId="3" fillId="3" borderId="68" xfId="0" applyFont="1" applyFill="1" applyBorder="1" applyAlignment="1">
      <alignment horizontal="center" vertical="center" shrinkToFit="1"/>
    </xf>
    <xf numFmtId="0" fontId="6" fillId="0" borderId="69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25" fillId="3" borderId="1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28" fillId="3" borderId="96" xfId="0" applyFont="1" applyFill="1" applyBorder="1" applyAlignment="1">
      <alignment horizontal="center" vertical="center"/>
    </xf>
    <xf numFmtId="0" fontId="6" fillId="0" borderId="97" xfId="0" applyFont="1" applyBorder="1" applyAlignment="1">
      <alignment vertical="center"/>
    </xf>
    <xf numFmtId="0" fontId="6" fillId="0" borderId="98" xfId="0" applyFont="1" applyBorder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 shrinkToFit="1"/>
    </xf>
    <xf numFmtId="0" fontId="5" fillId="3" borderId="30" xfId="0" applyFont="1" applyFill="1" applyBorder="1" applyAlignment="1">
      <alignment horizontal="center" vertical="center" shrinkToFit="1"/>
    </xf>
    <xf numFmtId="0" fontId="6" fillId="0" borderId="31" xfId="0" applyFont="1" applyBorder="1" applyAlignment="1">
      <alignment vertical="center"/>
    </xf>
    <xf numFmtId="0" fontId="5" fillId="3" borderId="21" xfId="0" applyFont="1" applyFill="1" applyBorder="1" applyAlignment="1">
      <alignment horizontal="center" vertical="center" shrinkToFit="1"/>
    </xf>
    <xf numFmtId="0" fontId="3" fillId="5" borderId="68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120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8EDA-7D06-4D19-A634-C0573B67E268}">
  <dimension ref="A1:AK752"/>
  <sheetViews>
    <sheetView tabSelected="1" workbookViewId="0">
      <selection activeCell="H9" sqref="H9"/>
    </sheetView>
  </sheetViews>
  <sheetFormatPr defaultRowHeight="14.4"/>
  <sheetData>
    <row r="1" spans="1:37">
      <c r="A1" t="s">
        <v>748</v>
      </c>
      <c r="B1" t="s">
        <v>749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163</v>
      </c>
      <c r="I1" t="s">
        <v>49</v>
      </c>
      <c r="J1" t="s">
        <v>755</v>
      </c>
      <c r="K1" t="s">
        <v>756</v>
      </c>
      <c r="L1" t="s">
        <v>757</v>
      </c>
      <c r="M1" t="s">
        <v>758</v>
      </c>
      <c r="N1" t="s">
        <v>759</v>
      </c>
      <c r="O1" t="s">
        <v>308</v>
      </c>
      <c r="P1" t="s">
        <v>760</v>
      </c>
      <c r="Q1" t="s">
        <v>761</v>
      </c>
      <c r="R1" t="s">
        <v>762</v>
      </c>
      <c r="S1" t="s">
        <v>763</v>
      </c>
      <c r="T1" t="s">
        <v>764</v>
      </c>
      <c r="U1" t="s">
        <v>765</v>
      </c>
      <c r="V1" t="s">
        <v>766</v>
      </c>
      <c r="W1" t="s">
        <v>767</v>
      </c>
      <c r="X1" t="s">
        <v>768</v>
      </c>
      <c r="Y1" t="s">
        <v>769</v>
      </c>
      <c r="Z1" t="s">
        <v>770</v>
      </c>
      <c r="AA1" t="s">
        <v>771</v>
      </c>
      <c r="AB1" t="s">
        <v>772</v>
      </c>
      <c r="AC1" t="s">
        <v>773</v>
      </c>
      <c r="AD1" t="s">
        <v>774</v>
      </c>
      <c r="AE1" t="s">
        <v>775</v>
      </c>
      <c r="AF1" t="s">
        <v>776</v>
      </c>
      <c r="AG1" t="s">
        <v>777</v>
      </c>
      <c r="AH1" t="s">
        <v>778</v>
      </c>
      <c r="AI1" t="s">
        <v>779</v>
      </c>
      <c r="AJ1" t="s">
        <v>4482</v>
      </c>
      <c r="AK1" t="s">
        <v>4483</v>
      </c>
    </row>
    <row r="2" spans="1:37">
      <c r="A2">
        <v>1</v>
      </c>
      <c r="B2" t="s">
        <v>781</v>
      </c>
      <c r="C2">
        <v>39</v>
      </c>
      <c r="D2" t="s">
        <v>782</v>
      </c>
      <c r="E2" t="s">
        <v>783</v>
      </c>
      <c r="F2" t="s">
        <v>784</v>
      </c>
      <c r="G2" t="s">
        <v>57</v>
      </c>
      <c r="H2" t="s">
        <v>785</v>
      </c>
      <c r="I2" t="s">
        <v>781</v>
      </c>
      <c r="J2" t="s">
        <v>786</v>
      </c>
      <c r="K2" t="s">
        <v>786</v>
      </c>
      <c r="N2" t="s">
        <v>787</v>
      </c>
      <c r="P2" t="s">
        <v>49</v>
      </c>
      <c r="Q2" t="s">
        <v>49</v>
      </c>
      <c r="S2" t="s">
        <v>788</v>
      </c>
      <c r="T2" t="s">
        <v>47</v>
      </c>
      <c r="U2" t="s">
        <v>789</v>
      </c>
      <c r="V2" t="s">
        <v>790</v>
      </c>
      <c r="W2">
        <v>32377</v>
      </c>
      <c r="X2">
        <v>37</v>
      </c>
      <c r="Y2" t="s">
        <v>791</v>
      </c>
      <c r="Z2" t="s">
        <v>792</v>
      </c>
      <c r="AA2" t="s">
        <v>793</v>
      </c>
      <c r="AB2" t="s">
        <v>794</v>
      </c>
      <c r="AC2" t="s">
        <v>713</v>
      </c>
      <c r="AD2" t="s">
        <v>795</v>
      </c>
      <c r="AE2" t="s">
        <v>796</v>
      </c>
    </row>
    <row r="3" spans="1:37">
      <c r="A3">
        <v>2</v>
      </c>
      <c r="B3" t="s">
        <v>785</v>
      </c>
      <c r="C3">
        <v>37</v>
      </c>
      <c r="D3" t="s">
        <v>782</v>
      </c>
      <c r="E3" t="s">
        <v>797</v>
      </c>
      <c r="F3" t="s">
        <v>784</v>
      </c>
      <c r="G3" t="s">
        <v>57</v>
      </c>
      <c r="H3" t="s">
        <v>785</v>
      </c>
      <c r="I3" t="s">
        <v>781</v>
      </c>
      <c r="J3" t="s">
        <v>786</v>
      </c>
      <c r="K3" t="s">
        <v>786</v>
      </c>
      <c r="N3" t="s">
        <v>787</v>
      </c>
      <c r="P3" t="s">
        <v>163</v>
      </c>
      <c r="Q3" t="s">
        <v>798</v>
      </c>
      <c r="R3" t="s">
        <v>49</v>
      </c>
      <c r="S3" t="s">
        <v>799</v>
      </c>
      <c r="T3" t="s">
        <v>57</v>
      </c>
      <c r="U3" t="s">
        <v>3963</v>
      </c>
      <c r="V3" t="s">
        <v>790</v>
      </c>
      <c r="W3">
        <v>32431</v>
      </c>
      <c r="X3">
        <v>37</v>
      </c>
      <c r="Y3" t="s">
        <v>800</v>
      </c>
      <c r="Z3" t="s">
        <v>801</v>
      </c>
      <c r="AA3" t="s">
        <v>802</v>
      </c>
      <c r="AB3" t="s">
        <v>794</v>
      </c>
      <c r="AC3" t="s">
        <v>803</v>
      </c>
      <c r="AD3" t="s">
        <v>795</v>
      </c>
      <c r="AE3" t="s">
        <v>804</v>
      </c>
    </row>
    <row r="4" spans="1:37">
      <c r="A4">
        <v>3</v>
      </c>
      <c r="B4" t="s">
        <v>805</v>
      </c>
      <c r="C4">
        <v>35</v>
      </c>
      <c r="D4" t="s">
        <v>782</v>
      </c>
      <c r="E4" t="s">
        <v>797</v>
      </c>
      <c r="F4" t="s">
        <v>784</v>
      </c>
      <c r="G4" t="s">
        <v>57</v>
      </c>
      <c r="H4" t="s">
        <v>785</v>
      </c>
      <c r="I4" t="s">
        <v>781</v>
      </c>
      <c r="J4" t="s">
        <v>786</v>
      </c>
      <c r="K4" t="s">
        <v>786</v>
      </c>
      <c r="N4" t="s">
        <v>787</v>
      </c>
      <c r="S4" t="s">
        <v>799</v>
      </c>
      <c r="T4" t="s">
        <v>70</v>
      </c>
      <c r="U4" t="s">
        <v>806</v>
      </c>
      <c r="V4" t="s">
        <v>790</v>
      </c>
      <c r="W4">
        <v>32370</v>
      </c>
      <c r="X4">
        <v>37</v>
      </c>
      <c r="Y4" t="s">
        <v>807</v>
      </c>
      <c r="Z4" t="s">
        <v>808</v>
      </c>
      <c r="AA4" t="s">
        <v>802</v>
      </c>
      <c r="AB4" t="s">
        <v>794</v>
      </c>
      <c r="AC4" t="s">
        <v>809</v>
      </c>
      <c r="AD4" t="s">
        <v>795</v>
      </c>
      <c r="AE4" t="s">
        <v>796</v>
      </c>
    </row>
    <row r="5" spans="1:37">
      <c r="A5">
        <v>4</v>
      </c>
      <c r="B5" t="s">
        <v>810</v>
      </c>
      <c r="C5">
        <v>33</v>
      </c>
      <c r="D5" t="s">
        <v>811</v>
      </c>
      <c r="E5" t="s">
        <v>797</v>
      </c>
      <c r="F5" t="s">
        <v>784</v>
      </c>
      <c r="G5" t="s">
        <v>57</v>
      </c>
      <c r="H5" t="s">
        <v>785</v>
      </c>
      <c r="I5" t="s">
        <v>781</v>
      </c>
      <c r="J5" t="s">
        <v>786</v>
      </c>
      <c r="K5" t="s">
        <v>786</v>
      </c>
      <c r="N5" t="s">
        <v>787</v>
      </c>
      <c r="S5" t="s">
        <v>799</v>
      </c>
      <c r="T5" t="s">
        <v>101</v>
      </c>
      <c r="U5" t="s">
        <v>812</v>
      </c>
      <c r="V5" t="s">
        <v>790</v>
      </c>
      <c r="W5">
        <v>29900</v>
      </c>
      <c r="X5">
        <v>44</v>
      </c>
      <c r="Y5" t="s">
        <v>813</v>
      </c>
      <c r="Z5" t="s">
        <v>814</v>
      </c>
      <c r="AA5" t="s">
        <v>802</v>
      </c>
      <c r="AB5" t="s">
        <v>794</v>
      </c>
      <c r="AC5" t="s">
        <v>815</v>
      </c>
      <c r="AD5" t="s">
        <v>816</v>
      </c>
      <c r="AE5" t="s">
        <v>817</v>
      </c>
    </row>
    <row r="6" spans="1:37">
      <c r="A6">
        <v>5</v>
      </c>
      <c r="B6" t="s">
        <v>818</v>
      </c>
      <c r="C6">
        <v>31</v>
      </c>
      <c r="D6" t="s">
        <v>782</v>
      </c>
      <c r="E6" t="s">
        <v>797</v>
      </c>
      <c r="F6" t="s">
        <v>784</v>
      </c>
      <c r="G6" t="s">
        <v>57</v>
      </c>
      <c r="H6" t="s">
        <v>785</v>
      </c>
      <c r="I6" t="s">
        <v>781</v>
      </c>
      <c r="J6" t="s">
        <v>786</v>
      </c>
      <c r="K6" t="s">
        <v>786</v>
      </c>
      <c r="N6" t="s">
        <v>787</v>
      </c>
      <c r="S6" t="s">
        <v>799</v>
      </c>
      <c r="T6" t="s">
        <v>83</v>
      </c>
      <c r="U6" t="s">
        <v>819</v>
      </c>
      <c r="V6" t="s">
        <v>790</v>
      </c>
      <c r="W6">
        <v>32279</v>
      </c>
      <c r="X6">
        <v>37</v>
      </c>
      <c r="Y6" t="s">
        <v>820</v>
      </c>
      <c r="Z6" t="s">
        <v>821</v>
      </c>
      <c r="AA6" t="s">
        <v>802</v>
      </c>
      <c r="AB6" t="s">
        <v>794</v>
      </c>
      <c r="AC6" t="s">
        <v>809</v>
      </c>
      <c r="AD6" t="s">
        <v>795</v>
      </c>
      <c r="AE6" t="s">
        <v>796</v>
      </c>
    </row>
    <row r="7" spans="1:37">
      <c r="A7">
        <v>6</v>
      </c>
      <c r="B7" t="s">
        <v>822</v>
      </c>
      <c r="C7">
        <v>29</v>
      </c>
      <c r="D7" t="s">
        <v>782</v>
      </c>
      <c r="E7" t="s">
        <v>797</v>
      </c>
      <c r="F7" t="s">
        <v>784</v>
      </c>
      <c r="G7" t="s">
        <v>57</v>
      </c>
      <c r="H7" t="s">
        <v>785</v>
      </c>
      <c r="I7" t="s">
        <v>781</v>
      </c>
      <c r="J7" t="s">
        <v>786</v>
      </c>
      <c r="K7" t="s">
        <v>786</v>
      </c>
      <c r="N7" t="s">
        <v>787</v>
      </c>
      <c r="S7" t="s">
        <v>799</v>
      </c>
      <c r="T7" t="s">
        <v>92</v>
      </c>
      <c r="U7" t="s">
        <v>823</v>
      </c>
      <c r="V7" t="s">
        <v>790</v>
      </c>
      <c r="W7">
        <v>31456</v>
      </c>
      <c r="X7">
        <v>39</v>
      </c>
      <c r="Y7" t="s">
        <v>824</v>
      </c>
      <c r="Z7" t="s">
        <v>825</v>
      </c>
      <c r="AA7" t="s">
        <v>802</v>
      </c>
      <c r="AB7" t="s">
        <v>794</v>
      </c>
      <c r="AC7" t="s">
        <v>809</v>
      </c>
      <c r="AD7" t="s">
        <v>795</v>
      </c>
      <c r="AE7" t="s">
        <v>796</v>
      </c>
    </row>
    <row r="8" spans="1:37">
      <c r="A8">
        <v>7</v>
      </c>
      <c r="B8" t="s">
        <v>826</v>
      </c>
      <c r="C8">
        <v>27</v>
      </c>
      <c r="D8" t="s">
        <v>782</v>
      </c>
      <c r="E8" t="s">
        <v>783</v>
      </c>
      <c r="F8" t="s">
        <v>784</v>
      </c>
      <c r="G8" t="s">
        <v>57</v>
      </c>
      <c r="H8" t="s">
        <v>785</v>
      </c>
      <c r="I8" t="s">
        <v>826</v>
      </c>
      <c r="J8" t="s">
        <v>827</v>
      </c>
      <c r="K8" t="s">
        <v>786</v>
      </c>
      <c r="N8" t="s">
        <v>828</v>
      </c>
      <c r="P8" t="s">
        <v>49</v>
      </c>
      <c r="Q8" t="s">
        <v>49</v>
      </c>
      <c r="S8" t="s">
        <v>788</v>
      </c>
      <c r="T8" t="s">
        <v>50</v>
      </c>
      <c r="U8" t="s">
        <v>829</v>
      </c>
      <c r="V8" t="s">
        <v>790</v>
      </c>
      <c r="W8">
        <v>32305</v>
      </c>
      <c r="X8">
        <v>37</v>
      </c>
      <c r="Y8" t="s">
        <v>830</v>
      </c>
      <c r="Z8" t="s">
        <v>831</v>
      </c>
      <c r="AA8" t="s">
        <v>793</v>
      </c>
      <c r="AB8" t="s">
        <v>794</v>
      </c>
      <c r="AC8" t="s">
        <v>713</v>
      </c>
      <c r="AD8" t="s">
        <v>795</v>
      </c>
      <c r="AE8" t="s">
        <v>804</v>
      </c>
      <c r="AH8" t="s">
        <v>832</v>
      </c>
    </row>
    <row r="9" spans="1:37">
      <c r="A9">
        <v>8</v>
      </c>
      <c r="B9" t="s">
        <v>827</v>
      </c>
      <c r="C9">
        <v>25</v>
      </c>
      <c r="D9" t="s">
        <v>782</v>
      </c>
      <c r="E9" t="s">
        <v>797</v>
      </c>
      <c r="F9" t="s">
        <v>784</v>
      </c>
      <c r="G9" t="s">
        <v>57</v>
      </c>
      <c r="H9" t="s">
        <v>785</v>
      </c>
      <c r="I9" t="s">
        <v>826</v>
      </c>
      <c r="J9" t="s">
        <v>827</v>
      </c>
      <c r="K9" t="s">
        <v>786</v>
      </c>
      <c r="N9" t="s">
        <v>828</v>
      </c>
      <c r="P9" t="s">
        <v>163</v>
      </c>
      <c r="Q9" t="s">
        <v>500</v>
      </c>
      <c r="R9" t="s">
        <v>49</v>
      </c>
      <c r="S9" t="s">
        <v>799</v>
      </c>
      <c r="T9" t="s">
        <v>71</v>
      </c>
      <c r="U9" t="s">
        <v>833</v>
      </c>
      <c r="V9" t="s">
        <v>790</v>
      </c>
      <c r="W9">
        <v>33031</v>
      </c>
      <c r="X9">
        <v>35</v>
      </c>
      <c r="Y9" t="s">
        <v>834</v>
      </c>
      <c r="Z9" t="s">
        <v>835</v>
      </c>
      <c r="AA9" t="s">
        <v>802</v>
      </c>
      <c r="AB9" t="s">
        <v>794</v>
      </c>
      <c r="AC9" t="s">
        <v>713</v>
      </c>
      <c r="AD9" t="s">
        <v>795</v>
      </c>
      <c r="AE9" t="s">
        <v>796</v>
      </c>
    </row>
    <row r="10" spans="1:37">
      <c r="A10">
        <v>9</v>
      </c>
      <c r="B10" t="s">
        <v>836</v>
      </c>
      <c r="C10">
        <v>23</v>
      </c>
      <c r="D10" t="s">
        <v>782</v>
      </c>
      <c r="E10" t="s">
        <v>797</v>
      </c>
      <c r="F10" t="s">
        <v>784</v>
      </c>
      <c r="G10" t="s">
        <v>57</v>
      </c>
      <c r="H10" t="s">
        <v>785</v>
      </c>
      <c r="I10" t="s">
        <v>826</v>
      </c>
      <c r="J10" t="s">
        <v>827</v>
      </c>
      <c r="K10" t="s">
        <v>786</v>
      </c>
      <c r="N10" t="s">
        <v>828</v>
      </c>
      <c r="S10" t="s">
        <v>799</v>
      </c>
      <c r="T10" t="s">
        <v>59</v>
      </c>
      <c r="U10" t="s">
        <v>837</v>
      </c>
      <c r="V10" t="s">
        <v>790</v>
      </c>
      <c r="W10">
        <v>33599</v>
      </c>
      <c r="X10">
        <v>34</v>
      </c>
      <c r="Y10" t="s">
        <v>838</v>
      </c>
      <c r="AA10" t="s">
        <v>802</v>
      </c>
      <c r="AB10" t="s">
        <v>794</v>
      </c>
      <c r="AC10" t="s">
        <v>809</v>
      </c>
      <c r="AD10" t="s">
        <v>795</v>
      </c>
      <c r="AE10" t="s">
        <v>796</v>
      </c>
    </row>
    <row r="11" spans="1:37">
      <c r="A11">
        <v>10</v>
      </c>
      <c r="B11" t="s">
        <v>839</v>
      </c>
      <c r="C11">
        <v>21</v>
      </c>
      <c r="D11" t="s">
        <v>782</v>
      </c>
      <c r="E11" t="s">
        <v>783</v>
      </c>
      <c r="F11" t="s">
        <v>784</v>
      </c>
      <c r="G11" t="s">
        <v>57</v>
      </c>
      <c r="H11" t="s">
        <v>785</v>
      </c>
      <c r="I11" t="s">
        <v>826</v>
      </c>
      <c r="J11" t="s">
        <v>827</v>
      </c>
      <c r="K11" t="s">
        <v>786</v>
      </c>
      <c r="N11" t="s">
        <v>828</v>
      </c>
      <c r="S11" t="s">
        <v>788</v>
      </c>
      <c r="T11" t="s">
        <v>84</v>
      </c>
      <c r="U11" t="s">
        <v>840</v>
      </c>
      <c r="V11" t="s">
        <v>790</v>
      </c>
      <c r="W11">
        <v>36739</v>
      </c>
      <c r="X11">
        <v>25</v>
      </c>
      <c r="Y11" t="s">
        <v>841</v>
      </c>
      <c r="AA11" t="s">
        <v>842</v>
      </c>
      <c r="AB11" t="s">
        <v>843</v>
      </c>
      <c r="AC11" t="s">
        <v>809</v>
      </c>
      <c r="AD11" t="s">
        <v>795</v>
      </c>
      <c r="AE11" t="s">
        <v>796</v>
      </c>
      <c r="AH11" t="s">
        <v>844</v>
      </c>
    </row>
    <row r="12" spans="1:37">
      <c r="A12">
        <v>11</v>
      </c>
      <c r="B12" t="s">
        <v>845</v>
      </c>
      <c r="C12">
        <v>19</v>
      </c>
      <c r="D12" t="s">
        <v>782</v>
      </c>
      <c r="E12" t="s">
        <v>846</v>
      </c>
      <c r="F12" t="s">
        <v>784</v>
      </c>
      <c r="G12" t="s">
        <v>57</v>
      </c>
      <c r="H12" t="s">
        <v>785</v>
      </c>
      <c r="I12" t="s">
        <v>826</v>
      </c>
      <c r="J12" t="s">
        <v>827</v>
      </c>
      <c r="K12" t="s">
        <v>786</v>
      </c>
      <c r="N12" t="s">
        <v>828</v>
      </c>
      <c r="S12" t="s">
        <v>788</v>
      </c>
      <c r="T12" t="s">
        <v>847</v>
      </c>
      <c r="U12" t="s">
        <v>848</v>
      </c>
      <c r="V12" t="s">
        <v>790</v>
      </c>
      <c r="W12">
        <v>32741</v>
      </c>
      <c r="X12">
        <v>36</v>
      </c>
      <c r="Y12" t="s">
        <v>849</v>
      </c>
      <c r="Z12" t="s">
        <v>850</v>
      </c>
      <c r="AA12" t="s">
        <v>842</v>
      </c>
      <c r="AB12" t="s">
        <v>851</v>
      </c>
      <c r="AC12" t="s">
        <v>713</v>
      </c>
      <c r="AD12" t="s">
        <v>795</v>
      </c>
      <c r="AE12" t="s">
        <v>852</v>
      </c>
      <c r="AH12" t="s">
        <v>853</v>
      </c>
    </row>
    <row r="13" spans="1:37">
      <c r="A13">
        <v>12</v>
      </c>
      <c r="B13" t="s">
        <v>854</v>
      </c>
      <c r="C13">
        <v>17</v>
      </c>
      <c r="D13" t="s">
        <v>782</v>
      </c>
      <c r="E13" t="s">
        <v>783</v>
      </c>
      <c r="F13" t="s">
        <v>784</v>
      </c>
      <c r="G13" t="s">
        <v>57</v>
      </c>
      <c r="H13" t="s">
        <v>785</v>
      </c>
      <c r="I13" t="s">
        <v>826</v>
      </c>
      <c r="J13" t="s">
        <v>827</v>
      </c>
      <c r="K13" t="s">
        <v>786</v>
      </c>
      <c r="N13" t="s">
        <v>828</v>
      </c>
      <c r="S13" t="s">
        <v>788</v>
      </c>
      <c r="T13" t="s">
        <v>855</v>
      </c>
      <c r="U13" t="s">
        <v>856</v>
      </c>
      <c r="V13" t="s">
        <v>790</v>
      </c>
      <c r="W13">
        <v>33538</v>
      </c>
      <c r="X13">
        <v>34</v>
      </c>
      <c r="Y13" t="s">
        <v>857</v>
      </c>
      <c r="AA13" t="s">
        <v>842</v>
      </c>
      <c r="AB13" t="s">
        <v>843</v>
      </c>
      <c r="AC13" t="s">
        <v>236</v>
      </c>
      <c r="AD13" t="s">
        <v>795</v>
      </c>
      <c r="AE13" t="s">
        <v>858</v>
      </c>
      <c r="AG13" t="s">
        <v>859</v>
      </c>
      <c r="AI13" t="s">
        <v>860</v>
      </c>
    </row>
    <row r="14" spans="1:37">
      <c r="A14">
        <v>13</v>
      </c>
      <c r="B14" t="s">
        <v>861</v>
      </c>
      <c r="C14">
        <v>15</v>
      </c>
      <c r="D14" t="s">
        <v>782</v>
      </c>
      <c r="E14" t="s">
        <v>783</v>
      </c>
      <c r="F14" t="s">
        <v>784</v>
      </c>
      <c r="G14" t="s">
        <v>57</v>
      </c>
      <c r="H14" t="s">
        <v>785</v>
      </c>
      <c r="I14" t="s">
        <v>826</v>
      </c>
      <c r="J14" t="s">
        <v>827</v>
      </c>
      <c r="K14" t="s">
        <v>786</v>
      </c>
      <c r="N14" t="s">
        <v>828</v>
      </c>
      <c r="S14" t="s">
        <v>788</v>
      </c>
      <c r="T14" t="s">
        <v>862</v>
      </c>
      <c r="U14" t="s">
        <v>863</v>
      </c>
      <c r="V14" t="s">
        <v>790</v>
      </c>
      <c r="W14">
        <v>33400</v>
      </c>
      <c r="X14">
        <v>34</v>
      </c>
      <c r="Y14" t="s">
        <v>864</v>
      </c>
      <c r="AA14" t="s">
        <v>842</v>
      </c>
      <c r="AB14" t="s">
        <v>843</v>
      </c>
      <c r="AC14" t="s">
        <v>236</v>
      </c>
      <c r="AD14" t="s">
        <v>236</v>
      </c>
      <c r="AE14" t="s">
        <v>865</v>
      </c>
      <c r="AG14" t="s">
        <v>866</v>
      </c>
      <c r="AH14" t="s">
        <v>867</v>
      </c>
      <c r="AI14" t="s">
        <v>860</v>
      </c>
    </row>
    <row r="15" spans="1:37">
      <c r="B15" t="s">
        <v>868</v>
      </c>
      <c r="C15">
        <v>17</v>
      </c>
      <c r="E15" t="s">
        <v>869</v>
      </c>
      <c r="F15" t="s">
        <v>784</v>
      </c>
      <c r="G15" t="s">
        <v>4</v>
      </c>
      <c r="H15" t="s">
        <v>870</v>
      </c>
      <c r="I15" t="s">
        <v>868</v>
      </c>
      <c r="J15" t="s">
        <v>786</v>
      </c>
      <c r="K15" t="s">
        <v>786</v>
      </c>
      <c r="N15" t="s">
        <v>787</v>
      </c>
      <c r="P15" t="s">
        <v>871</v>
      </c>
      <c r="Q15" t="s">
        <v>3</v>
      </c>
      <c r="R15" t="s">
        <v>49</v>
      </c>
      <c r="T15" t="s">
        <v>4</v>
      </c>
      <c r="AB15" t="s">
        <v>794</v>
      </c>
      <c r="AF15" t="s">
        <v>872</v>
      </c>
    </row>
    <row r="16" spans="1:37">
      <c r="A16">
        <v>14</v>
      </c>
      <c r="B16" t="s">
        <v>873</v>
      </c>
      <c r="C16">
        <v>19</v>
      </c>
      <c r="D16" t="s">
        <v>782</v>
      </c>
      <c r="E16" t="s">
        <v>869</v>
      </c>
      <c r="F16" t="s">
        <v>784</v>
      </c>
      <c r="G16" t="s">
        <v>4</v>
      </c>
      <c r="H16" t="s">
        <v>868</v>
      </c>
      <c r="I16" t="s">
        <v>868</v>
      </c>
      <c r="J16" t="s">
        <v>786</v>
      </c>
      <c r="K16" t="s">
        <v>786</v>
      </c>
      <c r="N16" t="s">
        <v>787</v>
      </c>
      <c r="S16" t="s">
        <v>874</v>
      </c>
      <c r="T16" t="s">
        <v>60</v>
      </c>
      <c r="U16" t="s">
        <v>875</v>
      </c>
      <c r="V16" t="s">
        <v>876</v>
      </c>
      <c r="W16">
        <v>33815</v>
      </c>
      <c r="X16">
        <v>33</v>
      </c>
      <c r="Y16" t="s">
        <v>877</v>
      </c>
      <c r="AA16" t="s">
        <v>802</v>
      </c>
      <c r="AB16" t="s">
        <v>794</v>
      </c>
      <c r="AC16" t="s">
        <v>809</v>
      </c>
      <c r="AD16" t="s">
        <v>795</v>
      </c>
      <c r="AE16" t="s">
        <v>852</v>
      </c>
    </row>
    <row r="17" spans="1:35">
      <c r="A17">
        <v>15</v>
      </c>
      <c r="B17" t="s">
        <v>878</v>
      </c>
      <c r="C17">
        <v>21</v>
      </c>
      <c r="D17" t="s">
        <v>782</v>
      </c>
      <c r="E17" t="s">
        <v>869</v>
      </c>
      <c r="F17" t="s">
        <v>784</v>
      </c>
      <c r="G17" t="s">
        <v>4</v>
      </c>
      <c r="H17" t="s">
        <v>868</v>
      </c>
      <c r="I17" t="s">
        <v>868</v>
      </c>
      <c r="J17" t="s">
        <v>786</v>
      </c>
      <c r="K17" t="s">
        <v>786</v>
      </c>
      <c r="N17" t="s">
        <v>787</v>
      </c>
      <c r="S17" t="s">
        <v>874</v>
      </c>
      <c r="T17" t="s">
        <v>879</v>
      </c>
      <c r="U17" t="s">
        <v>880</v>
      </c>
      <c r="V17" t="s">
        <v>876</v>
      </c>
      <c r="W17">
        <v>31075</v>
      </c>
      <c r="X17">
        <v>41</v>
      </c>
      <c r="Y17" t="s">
        <v>881</v>
      </c>
      <c r="AA17" t="s">
        <v>802</v>
      </c>
      <c r="AB17" t="s">
        <v>843</v>
      </c>
      <c r="AC17" t="s">
        <v>713</v>
      </c>
      <c r="AD17" t="s">
        <v>795</v>
      </c>
      <c r="AE17" t="s">
        <v>796</v>
      </c>
      <c r="AG17" t="s">
        <v>866</v>
      </c>
      <c r="AI17" t="s">
        <v>860</v>
      </c>
    </row>
    <row r="18" spans="1:35">
      <c r="A18">
        <v>16</v>
      </c>
      <c r="B18" t="s">
        <v>882</v>
      </c>
      <c r="C18">
        <v>23</v>
      </c>
      <c r="D18" t="s">
        <v>782</v>
      </c>
      <c r="E18" t="s">
        <v>869</v>
      </c>
      <c r="F18" t="s">
        <v>784</v>
      </c>
      <c r="G18" t="s">
        <v>4</v>
      </c>
      <c r="H18" t="s">
        <v>868</v>
      </c>
      <c r="I18" t="s">
        <v>868</v>
      </c>
      <c r="J18" t="s">
        <v>786</v>
      </c>
      <c r="K18" t="s">
        <v>786</v>
      </c>
      <c r="N18" t="s">
        <v>787</v>
      </c>
      <c r="S18" t="s">
        <v>874</v>
      </c>
      <c r="T18" t="s">
        <v>72</v>
      </c>
      <c r="U18" t="s">
        <v>883</v>
      </c>
      <c r="V18" t="s">
        <v>876</v>
      </c>
      <c r="W18">
        <v>32547</v>
      </c>
      <c r="X18">
        <v>36</v>
      </c>
      <c r="Y18" t="s">
        <v>884</v>
      </c>
      <c r="AA18" t="s">
        <v>802</v>
      </c>
      <c r="AB18" t="s">
        <v>794</v>
      </c>
      <c r="AC18" t="s">
        <v>809</v>
      </c>
      <c r="AD18" t="s">
        <v>795</v>
      </c>
      <c r="AE18" t="s">
        <v>804</v>
      </c>
    </row>
    <row r="19" spans="1:35">
      <c r="A19">
        <v>17</v>
      </c>
      <c r="B19" t="s">
        <v>885</v>
      </c>
      <c r="C19">
        <v>25</v>
      </c>
      <c r="D19" t="s">
        <v>782</v>
      </c>
      <c r="E19" t="s">
        <v>869</v>
      </c>
      <c r="F19" t="s">
        <v>784</v>
      </c>
      <c r="G19" t="s">
        <v>4</v>
      </c>
      <c r="H19" t="s">
        <v>868</v>
      </c>
      <c r="I19" t="s">
        <v>868</v>
      </c>
      <c r="J19" t="s">
        <v>786</v>
      </c>
      <c r="K19" t="s">
        <v>786</v>
      </c>
      <c r="N19" t="s">
        <v>787</v>
      </c>
      <c r="S19" t="s">
        <v>874</v>
      </c>
      <c r="T19" t="s">
        <v>94</v>
      </c>
      <c r="U19" t="s">
        <v>886</v>
      </c>
      <c r="V19" t="s">
        <v>876</v>
      </c>
      <c r="W19">
        <v>31062</v>
      </c>
      <c r="X19">
        <v>41</v>
      </c>
      <c r="Y19" t="s">
        <v>887</v>
      </c>
      <c r="AA19" t="s">
        <v>802</v>
      </c>
      <c r="AB19" t="s">
        <v>794</v>
      </c>
      <c r="AC19" t="s">
        <v>795</v>
      </c>
      <c r="AD19" t="s">
        <v>795</v>
      </c>
      <c r="AE19" t="s">
        <v>796</v>
      </c>
    </row>
    <row r="20" spans="1:35">
      <c r="A20">
        <v>18</v>
      </c>
      <c r="B20" t="s">
        <v>888</v>
      </c>
      <c r="C20">
        <v>27</v>
      </c>
      <c r="D20" t="s">
        <v>782</v>
      </c>
      <c r="E20" t="s">
        <v>869</v>
      </c>
      <c r="F20" t="s">
        <v>784</v>
      </c>
      <c r="G20" t="s">
        <v>4</v>
      </c>
      <c r="H20" t="s">
        <v>868</v>
      </c>
      <c r="I20" t="s">
        <v>868</v>
      </c>
      <c r="J20" t="s">
        <v>786</v>
      </c>
      <c r="K20" t="s">
        <v>786</v>
      </c>
      <c r="N20" t="s">
        <v>787</v>
      </c>
      <c r="S20" t="s">
        <v>874</v>
      </c>
      <c r="T20" t="s">
        <v>889</v>
      </c>
      <c r="U20" t="s">
        <v>890</v>
      </c>
      <c r="V20" t="s">
        <v>876</v>
      </c>
      <c r="W20">
        <v>31504</v>
      </c>
      <c r="X20">
        <v>39</v>
      </c>
      <c r="Y20" t="s">
        <v>891</v>
      </c>
      <c r="AA20" t="s">
        <v>793</v>
      </c>
      <c r="AB20" t="s">
        <v>843</v>
      </c>
      <c r="AC20" t="s">
        <v>815</v>
      </c>
      <c r="AD20" t="s">
        <v>795</v>
      </c>
      <c r="AE20" t="s">
        <v>796</v>
      </c>
      <c r="AG20" t="s">
        <v>866</v>
      </c>
      <c r="AI20" t="s">
        <v>860</v>
      </c>
    </row>
    <row r="21" spans="1:35">
      <c r="A21">
        <v>19</v>
      </c>
      <c r="B21" t="s">
        <v>892</v>
      </c>
      <c r="C21">
        <v>29</v>
      </c>
      <c r="D21" t="s">
        <v>782</v>
      </c>
      <c r="E21" t="s">
        <v>869</v>
      </c>
      <c r="F21" t="s">
        <v>784</v>
      </c>
      <c r="G21" t="s">
        <v>4</v>
      </c>
      <c r="H21" t="s">
        <v>868</v>
      </c>
      <c r="I21" t="s">
        <v>868</v>
      </c>
      <c r="J21" t="s">
        <v>786</v>
      </c>
      <c r="K21" t="s">
        <v>786</v>
      </c>
      <c r="N21" t="s">
        <v>787</v>
      </c>
      <c r="S21" t="s">
        <v>874</v>
      </c>
      <c r="T21" t="s">
        <v>893</v>
      </c>
      <c r="U21" t="s">
        <v>894</v>
      </c>
      <c r="V21" t="s">
        <v>876</v>
      </c>
      <c r="W21">
        <v>23079</v>
      </c>
      <c r="X21">
        <v>62</v>
      </c>
      <c r="Y21" t="s">
        <v>895</v>
      </c>
      <c r="Z21" t="s">
        <v>896</v>
      </c>
      <c r="AA21" t="s">
        <v>842</v>
      </c>
      <c r="AB21" t="s">
        <v>843</v>
      </c>
      <c r="AC21" t="s">
        <v>236</v>
      </c>
      <c r="AD21" t="s">
        <v>795</v>
      </c>
      <c r="AE21" t="s">
        <v>804</v>
      </c>
      <c r="AG21" t="s">
        <v>866</v>
      </c>
      <c r="AH21" t="s">
        <v>867</v>
      </c>
      <c r="AI21" t="s">
        <v>860</v>
      </c>
    </row>
    <row r="22" spans="1:35">
      <c r="A22">
        <v>20</v>
      </c>
      <c r="B22" t="s">
        <v>897</v>
      </c>
      <c r="C22">
        <v>31</v>
      </c>
      <c r="D22" t="s">
        <v>782</v>
      </c>
      <c r="E22" t="s">
        <v>869</v>
      </c>
      <c r="F22" t="s">
        <v>784</v>
      </c>
      <c r="G22" t="s">
        <v>4</v>
      </c>
      <c r="H22" t="s">
        <v>868</v>
      </c>
      <c r="I22" t="s">
        <v>868</v>
      </c>
      <c r="J22" t="s">
        <v>786</v>
      </c>
      <c r="K22" t="s">
        <v>786</v>
      </c>
      <c r="N22" t="s">
        <v>787</v>
      </c>
      <c r="S22" t="s">
        <v>898</v>
      </c>
      <c r="T22" t="s">
        <v>899</v>
      </c>
      <c r="U22" t="s">
        <v>900</v>
      </c>
      <c r="V22" t="s">
        <v>876</v>
      </c>
      <c r="W22">
        <v>19818</v>
      </c>
      <c r="X22">
        <v>71</v>
      </c>
      <c r="Y22" t="s">
        <v>901</v>
      </c>
      <c r="AA22" t="s">
        <v>842</v>
      </c>
      <c r="AB22" t="s">
        <v>843</v>
      </c>
      <c r="AC22" t="s">
        <v>809</v>
      </c>
      <c r="AD22" t="s">
        <v>795</v>
      </c>
      <c r="AE22" t="s">
        <v>804</v>
      </c>
      <c r="AG22" t="s">
        <v>902</v>
      </c>
      <c r="AH22" t="s">
        <v>903</v>
      </c>
      <c r="AI22" t="s">
        <v>860</v>
      </c>
    </row>
    <row r="23" spans="1:35">
      <c r="A23">
        <v>21</v>
      </c>
      <c r="B23" t="s">
        <v>904</v>
      </c>
      <c r="C23">
        <v>33</v>
      </c>
      <c r="D23" t="s">
        <v>782</v>
      </c>
      <c r="E23" t="s">
        <v>869</v>
      </c>
      <c r="F23" t="s">
        <v>784</v>
      </c>
      <c r="G23" t="s">
        <v>4</v>
      </c>
      <c r="H23" t="s">
        <v>868</v>
      </c>
      <c r="I23" t="s">
        <v>868</v>
      </c>
      <c r="J23" t="s">
        <v>786</v>
      </c>
      <c r="K23" t="s">
        <v>786</v>
      </c>
      <c r="N23" t="s">
        <v>787</v>
      </c>
      <c r="S23" t="s">
        <v>788</v>
      </c>
      <c r="T23" t="s">
        <v>121</v>
      </c>
      <c r="U23" t="s">
        <v>905</v>
      </c>
      <c r="V23" t="s">
        <v>876</v>
      </c>
      <c r="W23">
        <v>33012</v>
      </c>
      <c r="X23">
        <v>35</v>
      </c>
      <c r="Y23" t="s">
        <v>906</v>
      </c>
      <c r="AA23" t="s">
        <v>842</v>
      </c>
      <c r="AB23" t="s">
        <v>843</v>
      </c>
      <c r="AC23" t="s">
        <v>236</v>
      </c>
      <c r="AD23" t="s">
        <v>795</v>
      </c>
      <c r="AH23" t="s">
        <v>867</v>
      </c>
    </row>
    <row r="24" spans="1:35">
      <c r="A24">
        <v>22</v>
      </c>
      <c r="B24" t="s">
        <v>907</v>
      </c>
      <c r="C24">
        <v>35</v>
      </c>
      <c r="D24" t="s">
        <v>782</v>
      </c>
      <c r="E24" t="s">
        <v>869</v>
      </c>
      <c r="F24" t="s">
        <v>784</v>
      </c>
      <c r="G24" t="s">
        <v>4</v>
      </c>
      <c r="H24" t="s">
        <v>868</v>
      </c>
      <c r="I24" t="s">
        <v>907</v>
      </c>
      <c r="J24" t="s">
        <v>908</v>
      </c>
      <c r="K24" t="s">
        <v>786</v>
      </c>
      <c r="N24" t="s">
        <v>828</v>
      </c>
      <c r="P24" t="s">
        <v>49</v>
      </c>
      <c r="Q24" t="s">
        <v>49</v>
      </c>
      <c r="S24" t="s">
        <v>874</v>
      </c>
      <c r="T24" t="s">
        <v>51</v>
      </c>
      <c r="U24" t="s">
        <v>909</v>
      </c>
      <c r="V24" t="s">
        <v>876</v>
      </c>
      <c r="W24">
        <v>33312</v>
      </c>
      <c r="X24">
        <v>34</v>
      </c>
      <c r="Y24" t="s">
        <v>910</v>
      </c>
      <c r="Z24" t="s">
        <v>911</v>
      </c>
      <c r="AA24" t="s">
        <v>802</v>
      </c>
      <c r="AB24" t="s">
        <v>794</v>
      </c>
      <c r="AC24" t="s">
        <v>809</v>
      </c>
      <c r="AD24" t="s">
        <v>795</v>
      </c>
      <c r="AE24" t="s">
        <v>796</v>
      </c>
    </row>
    <row r="25" spans="1:35">
      <c r="A25">
        <v>23</v>
      </c>
      <c r="B25" t="s">
        <v>908</v>
      </c>
      <c r="C25">
        <v>37</v>
      </c>
      <c r="D25" t="s">
        <v>782</v>
      </c>
      <c r="E25" t="s">
        <v>869</v>
      </c>
      <c r="F25" t="s">
        <v>784</v>
      </c>
      <c r="G25" t="s">
        <v>4</v>
      </c>
      <c r="H25" t="s">
        <v>868</v>
      </c>
      <c r="I25" t="s">
        <v>907</v>
      </c>
      <c r="J25" t="s">
        <v>908</v>
      </c>
      <c r="K25" t="s">
        <v>786</v>
      </c>
      <c r="N25" t="s">
        <v>828</v>
      </c>
      <c r="P25" t="s">
        <v>62</v>
      </c>
      <c r="Q25" t="s">
        <v>62</v>
      </c>
      <c r="S25" t="s">
        <v>874</v>
      </c>
      <c r="T25" t="s">
        <v>61</v>
      </c>
      <c r="U25" t="s">
        <v>912</v>
      </c>
      <c r="V25" t="s">
        <v>876</v>
      </c>
      <c r="W25">
        <v>32771</v>
      </c>
      <c r="X25">
        <v>36</v>
      </c>
      <c r="Y25" t="s">
        <v>913</v>
      </c>
      <c r="Z25" t="s">
        <v>914</v>
      </c>
      <c r="AA25" t="s">
        <v>802</v>
      </c>
      <c r="AB25" t="s">
        <v>794</v>
      </c>
      <c r="AC25" t="s">
        <v>236</v>
      </c>
      <c r="AD25" t="s">
        <v>795</v>
      </c>
      <c r="AE25" t="s">
        <v>796</v>
      </c>
    </row>
    <row r="26" spans="1:35">
      <c r="A26">
        <v>24</v>
      </c>
      <c r="B26" t="s">
        <v>915</v>
      </c>
      <c r="C26">
        <v>39</v>
      </c>
      <c r="D26" t="s">
        <v>782</v>
      </c>
      <c r="E26" t="s">
        <v>869</v>
      </c>
      <c r="F26" t="s">
        <v>784</v>
      </c>
      <c r="G26" t="s">
        <v>4</v>
      </c>
      <c r="H26" t="s">
        <v>868</v>
      </c>
      <c r="I26" t="s">
        <v>907</v>
      </c>
      <c r="J26" t="s">
        <v>908</v>
      </c>
      <c r="K26" t="s">
        <v>786</v>
      </c>
      <c r="N26" t="s">
        <v>828</v>
      </c>
      <c r="P26" t="s">
        <v>163</v>
      </c>
      <c r="Q26" t="s">
        <v>500</v>
      </c>
      <c r="R26" t="s">
        <v>49</v>
      </c>
      <c r="S26" t="s">
        <v>874</v>
      </c>
      <c r="T26" t="s">
        <v>73</v>
      </c>
      <c r="U26" t="s">
        <v>916</v>
      </c>
      <c r="V26" t="s">
        <v>876</v>
      </c>
      <c r="W26">
        <v>31722</v>
      </c>
      <c r="X26">
        <v>39</v>
      </c>
      <c r="Y26" t="s">
        <v>917</v>
      </c>
      <c r="Z26" t="s">
        <v>918</v>
      </c>
      <c r="AA26" t="s">
        <v>802</v>
      </c>
      <c r="AB26" t="s">
        <v>794</v>
      </c>
      <c r="AC26" t="s">
        <v>713</v>
      </c>
      <c r="AD26" t="s">
        <v>795</v>
      </c>
      <c r="AE26" t="s">
        <v>804</v>
      </c>
    </row>
    <row r="27" spans="1:35">
      <c r="A27">
        <v>25</v>
      </c>
      <c r="B27" t="s">
        <v>919</v>
      </c>
      <c r="C27">
        <v>41</v>
      </c>
      <c r="D27" t="s">
        <v>782</v>
      </c>
      <c r="E27" t="s">
        <v>869</v>
      </c>
      <c r="F27" t="s">
        <v>784</v>
      </c>
      <c r="G27" t="s">
        <v>4</v>
      </c>
      <c r="H27" t="s">
        <v>868</v>
      </c>
      <c r="I27" t="s">
        <v>907</v>
      </c>
      <c r="J27" t="s">
        <v>908</v>
      </c>
      <c r="K27" t="s">
        <v>786</v>
      </c>
      <c r="N27" t="s">
        <v>828</v>
      </c>
      <c r="S27" t="s">
        <v>874</v>
      </c>
      <c r="T27" t="s">
        <v>85</v>
      </c>
      <c r="U27" t="s">
        <v>920</v>
      </c>
      <c r="V27" t="s">
        <v>876</v>
      </c>
      <c r="W27">
        <v>30208</v>
      </c>
      <c r="X27">
        <v>43</v>
      </c>
      <c r="Y27" t="s">
        <v>921</v>
      </c>
      <c r="AA27" t="s">
        <v>802</v>
      </c>
      <c r="AB27" t="s">
        <v>794</v>
      </c>
      <c r="AC27" t="s">
        <v>236</v>
      </c>
      <c r="AD27" t="s">
        <v>795</v>
      </c>
      <c r="AE27" t="s">
        <v>796</v>
      </c>
    </row>
    <row r="28" spans="1:35">
      <c r="A28">
        <v>26</v>
      </c>
      <c r="B28" t="s">
        <v>922</v>
      </c>
      <c r="C28">
        <v>43</v>
      </c>
      <c r="D28" t="s">
        <v>782</v>
      </c>
      <c r="E28" t="s">
        <v>869</v>
      </c>
      <c r="F28" t="s">
        <v>784</v>
      </c>
      <c r="G28" t="s">
        <v>4</v>
      </c>
      <c r="H28" t="s">
        <v>868</v>
      </c>
      <c r="I28" t="s">
        <v>907</v>
      </c>
      <c r="J28" t="s">
        <v>908</v>
      </c>
      <c r="K28" t="s">
        <v>786</v>
      </c>
      <c r="N28" t="s">
        <v>828</v>
      </c>
      <c r="S28" t="s">
        <v>874</v>
      </c>
      <c r="T28" t="s">
        <v>95</v>
      </c>
      <c r="U28" t="s">
        <v>923</v>
      </c>
      <c r="V28" t="s">
        <v>876</v>
      </c>
      <c r="W28">
        <v>31249</v>
      </c>
      <c r="X28">
        <v>40</v>
      </c>
      <c r="Y28" t="s">
        <v>924</v>
      </c>
      <c r="Z28" t="s">
        <v>925</v>
      </c>
      <c r="AA28" t="s">
        <v>802</v>
      </c>
      <c r="AB28" t="s">
        <v>794</v>
      </c>
      <c r="AC28" t="s">
        <v>809</v>
      </c>
      <c r="AD28" t="s">
        <v>795</v>
      </c>
      <c r="AE28" t="s">
        <v>796</v>
      </c>
    </row>
    <row r="29" spans="1:35">
      <c r="A29">
        <v>27</v>
      </c>
      <c r="B29" t="s">
        <v>926</v>
      </c>
      <c r="C29">
        <v>45</v>
      </c>
      <c r="D29" t="s">
        <v>782</v>
      </c>
      <c r="E29" t="s">
        <v>869</v>
      </c>
      <c r="F29" t="s">
        <v>784</v>
      </c>
      <c r="G29" t="s">
        <v>4</v>
      </c>
      <c r="H29" t="s">
        <v>868</v>
      </c>
      <c r="I29" t="s">
        <v>907</v>
      </c>
      <c r="J29" t="s">
        <v>908</v>
      </c>
      <c r="K29" t="s">
        <v>786</v>
      </c>
      <c r="N29" t="s">
        <v>828</v>
      </c>
      <c r="S29" t="s">
        <v>874</v>
      </c>
      <c r="T29" t="s">
        <v>927</v>
      </c>
      <c r="U29" t="s">
        <v>928</v>
      </c>
      <c r="V29" t="s">
        <v>876</v>
      </c>
      <c r="W29">
        <v>31736</v>
      </c>
      <c r="X29">
        <v>39</v>
      </c>
      <c r="Y29" t="s">
        <v>929</v>
      </c>
      <c r="AA29" t="s">
        <v>793</v>
      </c>
      <c r="AB29" t="s">
        <v>843</v>
      </c>
      <c r="AC29" t="s">
        <v>809</v>
      </c>
      <c r="AD29" t="s">
        <v>795</v>
      </c>
      <c r="AE29" t="s">
        <v>796</v>
      </c>
      <c r="AG29" t="s">
        <v>866</v>
      </c>
      <c r="AI29" t="s">
        <v>860</v>
      </c>
    </row>
    <row r="30" spans="1:35">
      <c r="A30">
        <v>28</v>
      </c>
      <c r="B30" t="s">
        <v>930</v>
      </c>
      <c r="C30">
        <v>47</v>
      </c>
      <c r="D30" t="s">
        <v>782</v>
      </c>
      <c r="E30" t="s">
        <v>783</v>
      </c>
      <c r="F30" t="s">
        <v>784</v>
      </c>
      <c r="G30" t="s">
        <v>4</v>
      </c>
      <c r="H30" t="s">
        <v>868</v>
      </c>
      <c r="I30" t="s">
        <v>907</v>
      </c>
      <c r="J30" t="s">
        <v>908</v>
      </c>
      <c r="K30" t="s">
        <v>786</v>
      </c>
      <c r="N30" t="s">
        <v>828</v>
      </c>
      <c r="S30" t="s">
        <v>788</v>
      </c>
      <c r="T30" t="s">
        <v>931</v>
      </c>
      <c r="U30" t="s">
        <v>932</v>
      </c>
      <c r="V30" t="s">
        <v>876</v>
      </c>
      <c r="W30">
        <v>33222</v>
      </c>
      <c r="X30">
        <v>35</v>
      </c>
      <c r="Y30" t="s">
        <v>933</v>
      </c>
      <c r="AA30" t="s">
        <v>793</v>
      </c>
      <c r="AB30" t="s">
        <v>843</v>
      </c>
      <c r="AC30" t="s">
        <v>809</v>
      </c>
      <c r="AD30" t="s">
        <v>795</v>
      </c>
      <c r="AE30" t="s">
        <v>796</v>
      </c>
      <c r="AG30" t="s">
        <v>859</v>
      </c>
      <c r="AI30" t="s">
        <v>934</v>
      </c>
    </row>
    <row r="31" spans="1:35">
      <c r="A31">
        <v>29</v>
      </c>
      <c r="B31" t="s">
        <v>935</v>
      </c>
      <c r="C31">
        <v>49</v>
      </c>
      <c r="D31" t="s">
        <v>782</v>
      </c>
      <c r="E31" t="s">
        <v>869</v>
      </c>
      <c r="F31" t="s">
        <v>784</v>
      </c>
      <c r="G31" t="s">
        <v>4</v>
      </c>
      <c r="H31" t="s">
        <v>868</v>
      </c>
      <c r="I31" t="s">
        <v>935</v>
      </c>
      <c r="J31" t="s">
        <v>936</v>
      </c>
      <c r="K31" t="s">
        <v>937</v>
      </c>
      <c r="N31" t="s">
        <v>938</v>
      </c>
      <c r="P31" t="s">
        <v>62</v>
      </c>
      <c r="Q31" t="s">
        <v>62</v>
      </c>
      <c r="S31" t="s">
        <v>874</v>
      </c>
      <c r="T31" t="s">
        <v>111</v>
      </c>
      <c r="U31" t="s">
        <v>939</v>
      </c>
      <c r="V31" t="s">
        <v>876</v>
      </c>
      <c r="W31">
        <v>24988</v>
      </c>
      <c r="X31">
        <v>57</v>
      </c>
      <c r="Y31" t="s">
        <v>940</v>
      </c>
      <c r="Z31" t="s">
        <v>941</v>
      </c>
      <c r="AA31" t="s">
        <v>842</v>
      </c>
      <c r="AB31" t="s">
        <v>794</v>
      </c>
      <c r="AC31" t="s">
        <v>942</v>
      </c>
      <c r="AD31" t="s">
        <v>795</v>
      </c>
      <c r="AE31" t="s">
        <v>943</v>
      </c>
      <c r="AH31" t="s">
        <v>832</v>
      </c>
    </row>
    <row r="32" spans="1:35">
      <c r="A32">
        <v>30</v>
      </c>
      <c r="B32" t="s">
        <v>936</v>
      </c>
      <c r="C32">
        <v>51</v>
      </c>
      <c r="D32" t="s">
        <v>782</v>
      </c>
      <c r="E32" t="s">
        <v>869</v>
      </c>
      <c r="F32" t="s">
        <v>784</v>
      </c>
      <c r="G32" t="s">
        <v>4</v>
      </c>
      <c r="H32" t="s">
        <v>868</v>
      </c>
      <c r="I32" t="s">
        <v>935</v>
      </c>
      <c r="J32" t="s">
        <v>936</v>
      </c>
      <c r="K32" t="s">
        <v>937</v>
      </c>
      <c r="N32" t="s">
        <v>938</v>
      </c>
      <c r="P32" t="s">
        <v>62</v>
      </c>
      <c r="Q32" t="s">
        <v>62</v>
      </c>
      <c r="S32" t="s">
        <v>874</v>
      </c>
      <c r="T32" t="s">
        <v>74</v>
      </c>
      <c r="U32" t="s">
        <v>944</v>
      </c>
      <c r="V32" t="s">
        <v>876</v>
      </c>
      <c r="W32">
        <v>30935</v>
      </c>
      <c r="X32">
        <v>41</v>
      </c>
      <c r="Y32" t="s">
        <v>945</v>
      </c>
      <c r="Z32" t="s">
        <v>946</v>
      </c>
      <c r="AA32" t="s">
        <v>802</v>
      </c>
      <c r="AB32" t="s">
        <v>794</v>
      </c>
      <c r="AC32" t="s">
        <v>942</v>
      </c>
      <c r="AD32" t="s">
        <v>795</v>
      </c>
      <c r="AE32" t="s">
        <v>796</v>
      </c>
    </row>
    <row r="33" spans="1:35">
      <c r="A33">
        <v>31</v>
      </c>
      <c r="B33" t="s">
        <v>937</v>
      </c>
      <c r="C33">
        <v>52</v>
      </c>
      <c r="D33" t="s">
        <v>782</v>
      </c>
      <c r="E33" t="s">
        <v>869</v>
      </c>
      <c r="F33" t="s">
        <v>784</v>
      </c>
      <c r="G33" t="s">
        <v>4</v>
      </c>
      <c r="H33" t="s">
        <v>868</v>
      </c>
      <c r="I33" t="s">
        <v>935</v>
      </c>
      <c r="J33" t="s">
        <v>936</v>
      </c>
      <c r="K33" t="s">
        <v>937</v>
      </c>
      <c r="N33" t="s">
        <v>938</v>
      </c>
      <c r="P33" t="s">
        <v>62</v>
      </c>
      <c r="Q33" t="s">
        <v>62</v>
      </c>
      <c r="S33" t="s">
        <v>874</v>
      </c>
      <c r="T33" t="s">
        <v>63</v>
      </c>
      <c r="U33" t="s">
        <v>947</v>
      </c>
      <c r="V33" t="s">
        <v>876</v>
      </c>
      <c r="W33">
        <v>29183</v>
      </c>
      <c r="X33">
        <v>46</v>
      </c>
      <c r="Y33" t="s">
        <v>948</v>
      </c>
      <c r="Z33" t="s">
        <v>949</v>
      </c>
      <c r="AA33" t="s">
        <v>802</v>
      </c>
      <c r="AB33" t="s">
        <v>794</v>
      </c>
      <c r="AC33" t="s">
        <v>236</v>
      </c>
      <c r="AD33" t="s">
        <v>795</v>
      </c>
      <c r="AE33" t="s">
        <v>796</v>
      </c>
    </row>
    <row r="34" spans="1:35">
      <c r="A34">
        <v>32</v>
      </c>
      <c r="B34" t="s">
        <v>950</v>
      </c>
      <c r="C34">
        <v>54</v>
      </c>
      <c r="D34" t="s">
        <v>782</v>
      </c>
      <c r="E34" t="s">
        <v>869</v>
      </c>
      <c r="F34" t="s">
        <v>784</v>
      </c>
      <c r="G34" t="s">
        <v>4</v>
      </c>
      <c r="H34" t="s">
        <v>868</v>
      </c>
      <c r="I34" t="s">
        <v>935</v>
      </c>
      <c r="J34" t="s">
        <v>936</v>
      </c>
      <c r="K34" t="s">
        <v>937</v>
      </c>
      <c r="N34" t="s">
        <v>938</v>
      </c>
      <c r="S34" t="s">
        <v>874</v>
      </c>
      <c r="T34" t="s">
        <v>86</v>
      </c>
      <c r="U34" t="s">
        <v>951</v>
      </c>
      <c r="V34" t="s">
        <v>876</v>
      </c>
      <c r="W34">
        <v>33662</v>
      </c>
      <c r="X34">
        <v>33</v>
      </c>
      <c r="Y34" t="s">
        <v>952</v>
      </c>
      <c r="AA34" t="s">
        <v>802</v>
      </c>
      <c r="AB34" t="s">
        <v>794</v>
      </c>
      <c r="AC34" t="s">
        <v>809</v>
      </c>
      <c r="AD34" t="s">
        <v>795</v>
      </c>
      <c r="AE34" t="s">
        <v>796</v>
      </c>
    </row>
    <row r="35" spans="1:35">
      <c r="A35">
        <v>33</v>
      </c>
      <c r="B35" t="s">
        <v>953</v>
      </c>
      <c r="C35">
        <v>56</v>
      </c>
      <c r="D35" t="s">
        <v>782</v>
      </c>
      <c r="E35" t="s">
        <v>869</v>
      </c>
      <c r="F35" t="s">
        <v>784</v>
      </c>
      <c r="G35" t="s">
        <v>4</v>
      </c>
      <c r="H35" t="s">
        <v>868</v>
      </c>
      <c r="I35" t="s">
        <v>935</v>
      </c>
      <c r="J35" t="s">
        <v>936</v>
      </c>
      <c r="K35" t="s">
        <v>937</v>
      </c>
      <c r="N35" t="s">
        <v>938</v>
      </c>
      <c r="S35" t="s">
        <v>898</v>
      </c>
      <c r="T35" t="s">
        <v>96</v>
      </c>
      <c r="U35" t="s">
        <v>954</v>
      </c>
      <c r="V35" t="s">
        <v>876</v>
      </c>
      <c r="W35">
        <v>18173</v>
      </c>
      <c r="X35">
        <v>76</v>
      </c>
      <c r="Y35" t="s">
        <v>955</v>
      </c>
      <c r="Z35" t="s">
        <v>956</v>
      </c>
      <c r="AA35" t="s">
        <v>842</v>
      </c>
      <c r="AB35" t="s">
        <v>794</v>
      </c>
      <c r="AC35" t="s">
        <v>809</v>
      </c>
      <c r="AD35" t="s">
        <v>795</v>
      </c>
      <c r="AE35" t="s">
        <v>804</v>
      </c>
    </row>
    <row r="36" spans="1:35">
      <c r="A36">
        <v>34</v>
      </c>
      <c r="B36" t="s">
        <v>957</v>
      </c>
      <c r="C36">
        <v>58</v>
      </c>
      <c r="D36" t="s">
        <v>782</v>
      </c>
      <c r="E36" t="s">
        <v>869</v>
      </c>
      <c r="F36" t="s">
        <v>784</v>
      </c>
      <c r="G36" t="s">
        <v>4</v>
      </c>
      <c r="H36" t="s">
        <v>868</v>
      </c>
      <c r="I36" t="s">
        <v>935</v>
      </c>
      <c r="J36" t="s">
        <v>936</v>
      </c>
      <c r="K36" t="s">
        <v>937</v>
      </c>
      <c r="N36" t="s">
        <v>938</v>
      </c>
      <c r="S36" t="s">
        <v>874</v>
      </c>
      <c r="T36" t="s">
        <v>104</v>
      </c>
      <c r="U36" t="s">
        <v>958</v>
      </c>
      <c r="V36" t="s">
        <v>876</v>
      </c>
      <c r="W36">
        <v>21465</v>
      </c>
      <c r="X36">
        <v>67</v>
      </c>
      <c r="Y36" t="s">
        <v>959</v>
      </c>
      <c r="Z36" t="s">
        <v>960</v>
      </c>
      <c r="AA36" t="s">
        <v>802</v>
      </c>
      <c r="AB36" t="s">
        <v>794</v>
      </c>
      <c r="AC36" t="s">
        <v>713</v>
      </c>
      <c r="AD36" t="s">
        <v>795</v>
      </c>
      <c r="AE36" t="s">
        <v>796</v>
      </c>
    </row>
    <row r="37" spans="1:35">
      <c r="A37">
        <v>35</v>
      </c>
      <c r="B37" t="s">
        <v>961</v>
      </c>
      <c r="C37">
        <v>60</v>
      </c>
      <c r="D37" t="s">
        <v>782</v>
      </c>
      <c r="E37" t="s">
        <v>869</v>
      </c>
      <c r="F37" t="s">
        <v>784</v>
      </c>
      <c r="G37" t="s">
        <v>4</v>
      </c>
      <c r="H37" t="s">
        <v>868</v>
      </c>
      <c r="I37" t="s">
        <v>935</v>
      </c>
      <c r="J37" t="s">
        <v>936</v>
      </c>
      <c r="K37" t="s">
        <v>937</v>
      </c>
      <c r="N37" t="s">
        <v>938</v>
      </c>
      <c r="S37" t="s">
        <v>874</v>
      </c>
      <c r="T37" t="s">
        <v>962</v>
      </c>
      <c r="U37" t="s">
        <v>963</v>
      </c>
      <c r="V37" t="s">
        <v>876</v>
      </c>
      <c r="W37">
        <v>25896</v>
      </c>
      <c r="X37">
        <v>55</v>
      </c>
      <c r="Y37" t="s">
        <v>964</v>
      </c>
      <c r="Z37" t="s">
        <v>965</v>
      </c>
      <c r="AA37" t="s">
        <v>842</v>
      </c>
      <c r="AB37" t="s">
        <v>794</v>
      </c>
      <c r="AC37" t="s">
        <v>942</v>
      </c>
      <c r="AD37" t="s">
        <v>795</v>
      </c>
      <c r="AE37" t="s">
        <v>852</v>
      </c>
      <c r="AH37" t="s">
        <v>832</v>
      </c>
    </row>
    <row r="38" spans="1:35">
      <c r="A38">
        <v>36</v>
      </c>
      <c r="B38" t="s">
        <v>966</v>
      </c>
      <c r="C38">
        <v>62</v>
      </c>
      <c r="D38" t="s">
        <v>782</v>
      </c>
      <c r="E38" t="s">
        <v>869</v>
      </c>
      <c r="F38" t="s">
        <v>784</v>
      </c>
      <c r="G38" t="s">
        <v>4</v>
      </c>
      <c r="H38" t="s">
        <v>868</v>
      </c>
      <c r="I38" t="s">
        <v>935</v>
      </c>
      <c r="J38" t="s">
        <v>936</v>
      </c>
      <c r="K38" t="s">
        <v>937</v>
      </c>
      <c r="N38" t="s">
        <v>938</v>
      </c>
      <c r="O38" t="s">
        <v>308</v>
      </c>
      <c r="S38" t="s">
        <v>874</v>
      </c>
      <c r="T38" t="s">
        <v>125</v>
      </c>
      <c r="U38" t="s">
        <v>967</v>
      </c>
      <c r="V38" t="s">
        <v>876</v>
      </c>
      <c r="W38">
        <v>35278</v>
      </c>
      <c r="X38">
        <v>29</v>
      </c>
      <c r="Y38" t="s">
        <v>968</v>
      </c>
      <c r="Z38" t="s">
        <v>969</v>
      </c>
      <c r="AA38" t="s">
        <v>842</v>
      </c>
      <c r="AB38" t="s">
        <v>851</v>
      </c>
      <c r="AC38" t="s">
        <v>713</v>
      </c>
      <c r="AD38" t="s">
        <v>795</v>
      </c>
      <c r="AE38" t="s">
        <v>970</v>
      </c>
      <c r="AH38" t="s">
        <v>971</v>
      </c>
    </row>
    <row r="39" spans="1:35">
      <c r="A39">
        <v>37</v>
      </c>
      <c r="B39" t="s">
        <v>972</v>
      </c>
      <c r="C39">
        <v>64</v>
      </c>
      <c r="D39" t="s">
        <v>782</v>
      </c>
      <c r="E39" t="s">
        <v>869</v>
      </c>
      <c r="F39" t="s">
        <v>784</v>
      </c>
      <c r="G39" t="s">
        <v>4</v>
      </c>
      <c r="H39" t="s">
        <v>868</v>
      </c>
      <c r="I39" t="s">
        <v>935</v>
      </c>
      <c r="J39" t="s">
        <v>936</v>
      </c>
      <c r="K39" t="s">
        <v>937</v>
      </c>
      <c r="N39" t="s">
        <v>938</v>
      </c>
      <c r="S39" t="s">
        <v>874</v>
      </c>
      <c r="T39" t="s">
        <v>973</v>
      </c>
      <c r="U39" t="s">
        <v>974</v>
      </c>
      <c r="V39" t="s">
        <v>876</v>
      </c>
      <c r="W39">
        <v>22442</v>
      </c>
      <c r="X39">
        <v>64</v>
      </c>
      <c r="Y39" t="s">
        <v>975</v>
      </c>
      <c r="AA39" t="s">
        <v>842</v>
      </c>
      <c r="AB39" t="s">
        <v>843</v>
      </c>
      <c r="AC39" t="s">
        <v>713</v>
      </c>
      <c r="AD39" t="s">
        <v>795</v>
      </c>
      <c r="AE39" t="s">
        <v>804</v>
      </c>
      <c r="AG39" t="s">
        <v>866</v>
      </c>
      <c r="AH39" t="s">
        <v>976</v>
      </c>
      <c r="AI39" t="s">
        <v>860</v>
      </c>
    </row>
    <row r="40" spans="1:35">
      <c r="A40">
        <v>38</v>
      </c>
      <c r="B40" t="s">
        <v>868</v>
      </c>
      <c r="C40">
        <v>66</v>
      </c>
      <c r="E40" t="s">
        <v>869</v>
      </c>
      <c r="F40" t="s">
        <v>784</v>
      </c>
      <c r="G40" t="s">
        <v>4</v>
      </c>
      <c r="H40" t="s">
        <v>868</v>
      </c>
      <c r="I40" t="s">
        <v>868</v>
      </c>
      <c r="J40" t="s">
        <v>977</v>
      </c>
      <c r="K40" t="s">
        <v>786</v>
      </c>
      <c r="N40" t="s">
        <v>978</v>
      </c>
      <c r="P40" t="s">
        <v>871</v>
      </c>
      <c r="Q40" t="s">
        <v>3</v>
      </c>
      <c r="R40" t="s">
        <v>49</v>
      </c>
      <c r="T40" t="s">
        <v>4</v>
      </c>
      <c r="V40" t="s">
        <v>790</v>
      </c>
      <c r="W40">
        <v>31732</v>
      </c>
      <c r="X40">
        <v>39</v>
      </c>
      <c r="Y40" t="s">
        <v>979</v>
      </c>
      <c r="Z40" t="s">
        <v>980</v>
      </c>
      <c r="AA40" t="s">
        <v>53</v>
      </c>
      <c r="AB40" t="s">
        <v>794</v>
      </c>
      <c r="AD40" t="s">
        <v>795</v>
      </c>
      <c r="AE40" t="s">
        <v>804</v>
      </c>
    </row>
    <row r="41" spans="1:35">
      <c r="A41">
        <v>39</v>
      </c>
      <c r="B41" t="s">
        <v>977</v>
      </c>
      <c r="C41">
        <v>68</v>
      </c>
      <c r="D41" t="s">
        <v>981</v>
      </c>
      <c r="E41" t="s">
        <v>869</v>
      </c>
      <c r="F41" t="s">
        <v>784</v>
      </c>
      <c r="G41" t="s">
        <v>4</v>
      </c>
      <c r="H41" t="s">
        <v>868</v>
      </c>
      <c r="I41" t="s">
        <v>868</v>
      </c>
      <c r="J41" t="s">
        <v>977</v>
      </c>
      <c r="K41" t="s">
        <v>786</v>
      </c>
      <c r="N41" t="s">
        <v>978</v>
      </c>
      <c r="P41" t="s">
        <v>982</v>
      </c>
      <c r="Q41" t="s">
        <v>3</v>
      </c>
      <c r="R41" t="s">
        <v>62</v>
      </c>
      <c r="S41" t="s">
        <v>983</v>
      </c>
      <c r="T41" t="s">
        <v>64</v>
      </c>
      <c r="U41" t="s">
        <v>984</v>
      </c>
      <c r="V41" t="s">
        <v>790</v>
      </c>
      <c r="W41">
        <v>28737</v>
      </c>
      <c r="X41">
        <v>47</v>
      </c>
      <c r="Y41" t="s">
        <v>985</v>
      </c>
      <c r="Z41" t="s">
        <v>986</v>
      </c>
      <c r="AA41" t="s">
        <v>53</v>
      </c>
      <c r="AB41" t="s">
        <v>794</v>
      </c>
      <c r="AC41" t="s">
        <v>795</v>
      </c>
      <c r="AD41" t="s">
        <v>795</v>
      </c>
      <c r="AE41" t="s">
        <v>796</v>
      </c>
    </row>
    <row r="42" spans="1:35">
      <c r="A42">
        <v>40</v>
      </c>
      <c r="B42" t="s">
        <v>987</v>
      </c>
      <c r="C42">
        <v>70</v>
      </c>
      <c r="D42" t="s">
        <v>782</v>
      </c>
      <c r="E42" t="s">
        <v>869</v>
      </c>
      <c r="F42" t="s">
        <v>784</v>
      </c>
      <c r="G42" t="s">
        <v>4</v>
      </c>
      <c r="H42" t="s">
        <v>868</v>
      </c>
      <c r="I42" t="s">
        <v>868</v>
      </c>
      <c r="J42" t="s">
        <v>977</v>
      </c>
      <c r="K42" t="s">
        <v>786</v>
      </c>
      <c r="N42" t="s">
        <v>978</v>
      </c>
      <c r="P42" t="s">
        <v>49</v>
      </c>
      <c r="Q42" t="s">
        <v>49</v>
      </c>
      <c r="S42" t="s">
        <v>898</v>
      </c>
      <c r="T42" t="s">
        <v>75</v>
      </c>
      <c r="U42" t="s">
        <v>988</v>
      </c>
      <c r="V42" t="s">
        <v>790</v>
      </c>
      <c r="W42">
        <v>19202</v>
      </c>
      <c r="X42">
        <v>73</v>
      </c>
      <c r="Y42" t="s">
        <v>989</v>
      </c>
      <c r="AA42" t="s">
        <v>802</v>
      </c>
      <c r="AB42" t="s">
        <v>794</v>
      </c>
      <c r="AC42" t="s">
        <v>809</v>
      </c>
      <c r="AD42" t="s">
        <v>795</v>
      </c>
      <c r="AE42" t="s">
        <v>804</v>
      </c>
    </row>
    <row r="43" spans="1:35">
      <c r="A43">
        <v>41</v>
      </c>
      <c r="B43" t="s">
        <v>990</v>
      </c>
      <c r="C43">
        <v>72</v>
      </c>
      <c r="D43" t="s">
        <v>782</v>
      </c>
      <c r="E43" t="s">
        <v>869</v>
      </c>
      <c r="F43" t="s">
        <v>784</v>
      </c>
      <c r="G43" t="s">
        <v>4</v>
      </c>
      <c r="H43" t="s">
        <v>868</v>
      </c>
      <c r="I43" t="s">
        <v>868</v>
      </c>
      <c r="J43" t="s">
        <v>977</v>
      </c>
      <c r="K43" t="s">
        <v>786</v>
      </c>
      <c r="N43" t="s">
        <v>978</v>
      </c>
      <c r="P43" t="s">
        <v>62</v>
      </c>
      <c r="Q43" t="s">
        <v>62</v>
      </c>
      <c r="S43" t="s">
        <v>898</v>
      </c>
      <c r="T43" t="s">
        <v>87</v>
      </c>
      <c r="U43" t="s">
        <v>991</v>
      </c>
      <c r="V43" t="s">
        <v>876</v>
      </c>
      <c r="W43">
        <v>19466</v>
      </c>
      <c r="X43">
        <v>72</v>
      </c>
      <c r="Y43" t="s">
        <v>992</v>
      </c>
      <c r="Z43" t="s">
        <v>993</v>
      </c>
      <c r="AA43" t="s">
        <v>802</v>
      </c>
      <c r="AB43" t="s">
        <v>794</v>
      </c>
      <c r="AC43" t="s">
        <v>809</v>
      </c>
      <c r="AD43" t="s">
        <v>795</v>
      </c>
      <c r="AE43" t="s">
        <v>804</v>
      </c>
    </row>
    <row r="44" spans="1:35">
      <c r="A44">
        <v>42</v>
      </c>
      <c r="B44" t="s">
        <v>994</v>
      </c>
      <c r="C44">
        <v>74</v>
      </c>
      <c r="D44" t="s">
        <v>782</v>
      </c>
      <c r="E44" t="s">
        <v>869</v>
      </c>
      <c r="F44" t="s">
        <v>784</v>
      </c>
      <c r="G44" t="s">
        <v>4</v>
      </c>
      <c r="H44" t="s">
        <v>868</v>
      </c>
      <c r="I44" t="s">
        <v>868</v>
      </c>
      <c r="J44" t="s">
        <v>977</v>
      </c>
      <c r="K44" t="s">
        <v>786</v>
      </c>
      <c r="N44" t="s">
        <v>978</v>
      </c>
      <c r="S44" t="s">
        <v>898</v>
      </c>
      <c r="T44" t="s">
        <v>97</v>
      </c>
      <c r="U44" t="s">
        <v>995</v>
      </c>
      <c r="V44" t="s">
        <v>790</v>
      </c>
      <c r="W44">
        <v>19784</v>
      </c>
      <c r="X44">
        <v>71</v>
      </c>
      <c r="Y44" t="s">
        <v>996</v>
      </c>
      <c r="AA44" t="s">
        <v>802</v>
      </c>
      <c r="AB44" t="s">
        <v>794</v>
      </c>
      <c r="AC44" t="s">
        <v>809</v>
      </c>
      <c r="AD44" t="s">
        <v>795</v>
      </c>
      <c r="AE44" t="s">
        <v>804</v>
      </c>
      <c r="AH44" t="s">
        <v>903</v>
      </c>
    </row>
    <row r="45" spans="1:35">
      <c r="A45">
        <v>43</v>
      </c>
      <c r="B45" t="s">
        <v>997</v>
      </c>
      <c r="C45">
        <v>76</v>
      </c>
      <c r="D45" t="s">
        <v>782</v>
      </c>
      <c r="E45" t="s">
        <v>869</v>
      </c>
      <c r="F45" t="s">
        <v>784</v>
      </c>
      <c r="G45" t="s">
        <v>4</v>
      </c>
      <c r="H45" t="s">
        <v>868</v>
      </c>
      <c r="I45" t="s">
        <v>868</v>
      </c>
      <c r="J45" t="s">
        <v>977</v>
      </c>
      <c r="K45" t="s">
        <v>786</v>
      </c>
      <c r="N45" t="s">
        <v>978</v>
      </c>
      <c r="S45" t="s">
        <v>874</v>
      </c>
      <c r="T45" t="s">
        <v>105</v>
      </c>
      <c r="U45" t="s">
        <v>998</v>
      </c>
      <c r="V45" t="s">
        <v>876</v>
      </c>
      <c r="W45">
        <v>22276</v>
      </c>
      <c r="X45">
        <v>65</v>
      </c>
      <c r="Y45" t="s">
        <v>999</v>
      </c>
      <c r="AA45" t="s">
        <v>842</v>
      </c>
      <c r="AB45" t="s">
        <v>794</v>
      </c>
      <c r="AC45" t="s">
        <v>815</v>
      </c>
      <c r="AD45" t="s">
        <v>795</v>
      </c>
      <c r="AE45" t="s">
        <v>796</v>
      </c>
    </row>
    <row r="46" spans="1:35">
      <c r="A46">
        <v>44</v>
      </c>
      <c r="B46" t="s">
        <v>1000</v>
      </c>
      <c r="C46">
        <v>78</v>
      </c>
      <c r="D46" t="s">
        <v>1001</v>
      </c>
      <c r="E46" t="s">
        <v>869</v>
      </c>
      <c r="F46" t="s">
        <v>784</v>
      </c>
      <c r="G46" t="s">
        <v>4</v>
      </c>
      <c r="H46" t="s">
        <v>868</v>
      </c>
      <c r="I46" t="s">
        <v>868</v>
      </c>
      <c r="J46" t="s">
        <v>977</v>
      </c>
      <c r="K46" t="s">
        <v>786</v>
      </c>
      <c r="N46" t="s">
        <v>978</v>
      </c>
      <c r="S46" t="s">
        <v>874</v>
      </c>
      <c r="T46" t="s">
        <v>1002</v>
      </c>
      <c r="U46" t="s">
        <v>1003</v>
      </c>
      <c r="V46" t="s">
        <v>876</v>
      </c>
      <c r="W46">
        <v>33959</v>
      </c>
      <c r="X46">
        <v>33</v>
      </c>
      <c r="Y46" t="s">
        <v>1004</v>
      </c>
      <c r="AA46" t="s">
        <v>842</v>
      </c>
      <c r="AB46" t="s">
        <v>843</v>
      </c>
      <c r="AC46" t="s">
        <v>236</v>
      </c>
      <c r="AD46" t="s">
        <v>236</v>
      </c>
      <c r="AE46" t="s">
        <v>865</v>
      </c>
      <c r="AG46" t="s">
        <v>866</v>
      </c>
      <c r="AI46" t="s">
        <v>860</v>
      </c>
    </row>
    <row r="47" spans="1:35">
      <c r="A47">
        <v>45</v>
      </c>
      <c r="B47" t="s">
        <v>1005</v>
      </c>
      <c r="C47">
        <v>80</v>
      </c>
      <c r="D47" t="s">
        <v>1001</v>
      </c>
      <c r="E47" t="s">
        <v>783</v>
      </c>
      <c r="F47" t="s">
        <v>784</v>
      </c>
      <c r="G47" t="s">
        <v>4</v>
      </c>
      <c r="H47" t="s">
        <v>868</v>
      </c>
      <c r="I47" t="s">
        <v>868</v>
      </c>
      <c r="J47" t="s">
        <v>977</v>
      </c>
      <c r="K47" t="s">
        <v>786</v>
      </c>
      <c r="N47" t="s">
        <v>978</v>
      </c>
      <c r="S47" t="s">
        <v>788</v>
      </c>
      <c r="T47" t="s">
        <v>1006</v>
      </c>
      <c r="U47" t="s">
        <v>1007</v>
      </c>
      <c r="V47" t="s">
        <v>790</v>
      </c>
      <c r="W47">
        <v>33674</v>
      </c>
      <c r="X47">
        <v>33</v>
      </c>
      <c r="Y47" t="s">
        <v>1008</v>
      </c>
      <c r="AA47" t="s">
        <v>793</v>
      </c>
      <c r="AB47" t="s">
        <v>794</v>
      </c>
      <c r="AC47" t="s">
        <v>809</v>
      </c>
      <c r="AD47" t="s">
        <v>236</v>
      </c>
      <c r="AE47" t="s">
        <v>865</v>
      </c>
      <c r="AG47" t="s">
        <v>866</v>
      </c>
    </row>
    <row r="48" spans="1:35">
      <c r="A48">
        <v>46</v>
      </c>
      <c r="B48" t="s">
        <v>1009</v>
      </c>
      <c r="C48">
        <v>82</v>
      </c>
      <c r="D48" t="s">
        <v>782</v>
      </c>
      <c r="E48" t="s">
        <v>869</v>
      </c>
      <c r="F48" t="s">
        <v>784</v>
      </c>
      <c r="G48" t="s">
        <v>9</v>
      </c>
      <c r="H48" t="s">
        <v>784</v>
      </c>
      <c r="I48" t="s">
        <v>1009</v>
      </c>
      <c r="J48" t="s">
        <v>1010</v>
      </c>
      <c r="K48" t="s">
        <v>786</v>
      </c>
      <c r="N48" t="s">
        <v>1011</v>
      </c>
      <c r="P48" t="s">
        <v>49</v>
      </c>
      <c r="Q48" t="s">
        <v>49</v>
      </c>
      <c r="S48" t="s">
        <v>874</v>
      </c>
      <c r="T48" t="s">
        <v>54</v>
      </c>
      <c r="U48" t="s">
        <v>1012</v>
      </c>
      <c r="V48" t="s">
        <v>876</v>
      </c>
      <c r="W48">
        <v>29276</v>
      </c>
      <c r="X48">
        <v>45</v>
      </c>
      <c r="Y48" t="s">
        <v>1013</v>
      </c>
      <c r="AA48" t="s">
        <v>802</v>
      </c>
      <c r="AB48" t="s">
        <v>794</v>
      </c>
      <c r="AC48" t="s">
        <v>795</v>
      </c>
      <c r="AD48" t="s">
        <v>795</v>
      </c>
      <c r="AE48" t="s">
        <v>804</v>
      </c>
    </row>
    <row r="49" spans="1:35">
      <c r="A49">
        <v>47</v>
      </c>
      <c r="B49" t="s">
        <v>1010</v>
      </c>
      <c r="C49">
        <v>84</v>
      </c>
      <c r="D49" t="s">
        <v>782</v>
      </c>
      <c r="E49" t="s">
        <v>869</v>
      </c>
      <c r="F49" t="s">
        <v>784</v>
      </c>
      <c r="G49" t="s">
        <v>9</v>
      </c>
      <c r="H49" t="s">
        <v>784</v>
      </c>
      <c r="I49" t="s">
        <v>1009</v>
      </c>
      <c r="J49" t="s">
        <v>1010</v>
      </c>
      <c r="K49" t="s">
        <v>786</v>
      </c>
      <c r="N49" t="s">
        <v>1011</v>
      </c>
      <c r="P49" t="s">
        <v>62</v>
      </c>
      <c r="Q49" t="s">
        <v>62</v>
      </c>
      <c r="S49" t="s">
        <v>874</v>
      </c>
      <c r="T49" t="s">
        <v>22</v>
      </c>
      <c r="U49" t="s">
        <v>1014</v>
      </c>
      <c r="V49" t="s">
        <v>876</v>
      </c>
      <c r="W49">
        <v>30920</v>
      </c>
      <c r="X49">
        <v>41</v>
      </c>
      <c r="Y49" t="s">
        <v>1015</v>
      </c>
      <c r="Z49" t="s">
        <v>1016</v>
      </c>
      <c r="AA49" t="s">
        <v>802</v>
      </c>
      <c r="AB49" t="s">
        <v>794</v>
      </c>
      <c r="AC49" t="s">
        <v>795</v>
      </c>
      <c r="AD49" t="s">
        <v>795</v>
      </c>
      <c r="AE49" t="s">
        <v>804</v>
      </c>
    </row>
    <row r="50" spans="1:35">
      <c r="A50">
        <v>48</v>
      </c>
      <c r="B50" t="s">
        <v>1017</v>
      </c>
      <c r="C50">
        <v>86</v>
      </c>
      <c r="D50" t="s">
        <v>782</v>
      </c>
      <c r="E50" t="s">
        <v>869</v>
      </c>
      <c r="F50" t="s">
        <v>784</v>
      </c>
      <c r="G50" t="s">
        <v>9</v>
      </c>
      <c r="H50" t="s">
        <v>784</v>
      </c>
      <c r="I50" t="s">
        <v>1009</v>
      </c>
      <c r="J50" t="s">
        <v>1010</v>
      </c>
      <c r="K50" t="s">
        <v>786</v>
      </c>
      <c r="N50" t="s">
        <v>1011</v>
      </c>
      <c r="P50" t="s">
        <v>1018</v>
      </c>
      <c r="Q50" t="s">
        <v>1019</v>
      </c>
      <c r="S50" t="s">
        <v>874</v>
      </c>
      <c r="T50" t="s">
        <v>77</v>
      </c>
      <c r="U50" t="s">
        <v>1020</v>
      </c>
      <c r="V50" t="s">
        <v>876</v>
      </c>
      <c r="W50">
        <v>31700</v>
      </c>
      <c r="X50">
        <v>39</v>
      </c>
      <c r="Y50" t="s">
        <v>1021</v>
      </c>
      <c r="Z50" t="s">
        <v>1022</v>
      </c>
      <c r="AA50" t="s">
        <v>802</v>
      </c>
      <c r="AB50" t="s">
        <v>794</v>
      </c>
      <c r="AC50" t="s">
        <v>809</v>
      </c>
      <c r="AD50" t="s">
        <v>795</v>
      </c>
      <c r="AE50" t="s">
        <v>796</v>
      </c>
    </row>
    <row r="51" spans="1:35">
      <c r="A51">
        <v>49</v>
      </c>
      <c r="B51" t="s">
        <v>1023</v>
      </c>
      <c r="C51">
        <v>88</v>
      </c>
      <c r="D51" t="s">
        <v>782</v>
      </c>
      <c r="E51" t="s">
        <v>869</v>
      </c>
      <c r="F51" t="s">
        <v>784</v>
      </c>
      <c r="G51" t="s">
        <v>9</v>
      </c>
      <c r="H51" t="s">
        <v>784</v>
      </c>
      <c r="I51" t="s">
        <v>1009</v>
      </c>
      <c r="J51" t="s">
        <v>1010</v>
      </c>
      <c r="K51" t="s">
        <v>786</v>
      </c>
      <c r="N51" t="s">
        <v>1011</v>
      </c>
      <c r="P51" t="s">
        <v>1018</v>
      </c>
      <c r="Q51" t="s">
        <v>18</v>
      </c>
      <c r="S51" t="s">
        <v>874</v>
      </c>
      <c r="T51" t="s">
        <v>19</v>
      </c>
      <c r="U51" t="s">
        <v>1024</v>
      </c>
      <c r="V51" t="s">
        <v>876</v>
      </c>
      <c r="W51">
        <v>30683</v>
      </c>
      <c r="X51">
        <v>42</v>
      </c>
      <c r="Y51" t="s">
        <v>1025</v>
      </c>
      <c r="Z51" t="s">
        <v>1026</v>
      </c>
      <c r="AA51" t="s">
        <v>802</v>
      </c>
      <c r="AB51" t="s">
        <v>794</v>
      </c>
      <c r="AC51" t="s">
        <v>795</v>
      </c>
      <c r="AD51" t="s">
        <v>795</v>
      </c>
      <c r="AE51" t="s">
        <v>804</v>
      </c>
    </row>
    <row r="52" spans="1:35">
      <c r="A52">
        <v>50</v>
      </c>
      <c r="B52" t="s">
        <v>1027</v>
      </c>
      <c r="C52">
        <v>90</v>
      </c>
      <c r="D52" t="s">
        <v>782</v>
      </c>
      <c r="E52" t="s">
        <v>869</v>
      </c>
      <c r="F52" t="s">
        <v>784</v>
      </c>
      <c r="G52" t="s">
        <v>9</v>
      </c>
      <c r="H52" t="s">
        <v>784</v>
      </c>
      <c r="I52" t="s">
        <v>1009</v>
      </c>
      <c r="J52" t="s">
        <v>1010</v>
      </c>
      <c r="K52" t="s">
        <v>786</v>
      </c>
      <c r="N52" t="s">
        <v>1011</v>
      </c>
      <c r="P52" t="s">
        <v>16</v>
      </c>
      <c r="Q52" t="s">
        <v>16</v>
      </c>
      <c r="R52" t="s">
        <v>1028</v>
      </c>
      <c r="S52" t="s">
        <v>874</v>
      </c>
      <c r="T52" t="s">
        <v>12</v>
      </c>
      <c r="U52" t="s">
        <v>1029</v>
      </c>
      <c r="V52" t="s">
        <v>876</v>
      </c>
      <c r="W52">
        <v>29107</v>
      </c>
      <c r="X52">
        <v>46</v>
      </c>
      <c r="Y52" t="s">
        <v>1030</v>
      </c>
      <c r="Z52" t="s">
        <v>801</v>
      </c>
      <c r="AA52" t="s">
        <v>802</v>
      </c>
      <c r="AB52" t="s">
        <v>794</v>
      </c>
      <c r="AC52" t="s">
        <v>795</v>
      </c>
      <c r="AD52" t="s">
        <v>795</v>
      </c>
      <c r="AE52" t="s">
        <v>796</v>
      </c>
    </row>
    <row r="53" spans="1:35">
      <c r="A53">
        <v>51</v>
      </c>
      <c r="B53" t="s">
        <v>1031</v>
      </c>
      <c r="C53">
        <v>92</v>
      </c>
      <c r="D53" t="s">
        <v>782</v>
      </c>
      <c r="E53" t="s">
        <v>869</v>
      </c>
      <c r="F53" t="s">
        <v>784</v>
      </c>
      <c r="G53" t="s">
        <v>9</v>
      </c>
      <c r="H53" t="s">
        <v>784</v>
      </c>
      <c r="I53" t="s">
        <v>1009</v>
      </c>
      <c r="J53" t="s">
        <v>1010</v>
      </c>
      <c r="K53" t="s">
        <v>786</v>
      </c>
      <c r="N53" t="s">
        <v>1011</v>
      </c>
      <c r="P53" t="s">
        <v>16</v>
      </c>
      <c r="Q53" t="s">
        <v>16</v>
      </c>
      <c r="R53" t="s">
        <v>1028</v>
      </c>
      <c r="S53" t="s">
        <v>874</v>
      </c>
      <c r="T53" t="s">
        <v>15</v>
      </c>
      <c r="U53" t="s">
        <v>1032</v>
      </c>
      <c r="V53" t="s">
        <v>876</v>
      </c>
      <c r="W53">
        <v>29445</v>
      </c>
      <c r="X53">
        <v>45</v>
      </c>
      <c r="Y53" t="s">
        <v>1033</v>
      </c>
      <c r="Z53" t="s">
        <v>1034</v>
      </c>
      <c r="AA53" t="s">
        <v>802</v>
      </c>
      <c r="AB53" t="s">
        <v>794</v>
      </c>
      <c r="AC53" t="s">
        <v>795</v>
      </c>
      <c r="AD53" t="s">
        <v>795</v>
      </c>
      <c r="AE53" t="s">
        <v>796</v>
      </c>
    </row>
    <row r="54" spans="1:35">
      <c r="A54">
        <v>52</v>
      </c>
      <c r="B54" t="s">
        <v>1035</v>
      </c>
      <c r="C54">
        <v>94</v>
      </c>
      <c r="D54" t="s">
        <v>782</v>
      </c>
      <c r="E54" t="s">
        <v>869</v>
      </c>
      <c r="F54" t="s">
        <v>784</v>
      </c>
      <c r="G54" t="s">
        <v>9</v>
      </c>
      <c r="H54" t="s">
        <v>784</v>
      </c>
      <c r="I54" t="s">
        <v>1009</v>
      </c>
      <c r="J54" t="s">
        <v>1010</v>
      </c>
      <c r="K54" t="s">
        <v>786</v>
      </c>
      <c r="N54" t="s">
        <v>1011</v>
      </c>
      <c r="R54" t="s">
        <v>1036</v>
      </c>
      <c r="S54" t="s">
        <v>874</v>
      </c>
      <c r="T54" t="s">
        <v>113</v>
      </c>
      <c r="U54" t="s">
        <v>1037</v>
      </c>
      <c r="V54" t="s">
        <v>876</v>
      </c>
      <c r="W54">
        <v>29529</v>
      </c>
      <c r="X54">
        <v>45</v>
      </c>
      <c r="Y54" t="s">
        <v>1038</v>
      </c>
      <c r="Z54" t="s">
        <v>1038</v>
      </c>
      <c r="AA54" t="s">
        <v>802</v>
      </c>
      <c r="AB54" t="s">
        <v>794</v>
      </c>
      <c r="AC54" t="s">
        <v>795</v>
      </c>
      <c r="AD54" t="s">
        <v>795</v>
      </c>
      <c r="AE54" t="s">
        <v>796</v>
      </c>
      <c r="AI54" t="s">
        <v>1039</v>
      </c>
    </row>
    <row r="55" spans="1:35">
      <c r="A55">
        <v>53</v>
      </c>
      <c r="B55" t="s">
        <v>1040</v>
      </c>
      <c r="C55">
        <v>96</v>
      </c>
      <c r="D55" t="s">
        <v>782</v>
      </c>
      <c r="E55" t="s">
        <v>869</v>
      </c>
      <c r="F55" t="s">
        <v>784</v>
      </c>
      <c r="G55" t="s">
        <v>9</v>
      </c>
      <c r="H55" t="s">
        <v>784</v>
      </c>
      <c r="I55" t="s">
        <v>1009</v>
      </c>
      <c r="J55" t="s">
        <v>1040</v>
      </c>
      <c r="K55" t="s">
        <v>786</v>
      </c>
      <c r="N55" t="s">
        <v>1041</v>
      </c>
      <c r="P55" t="s">
        <v>62</v>
      </c>
      <c r="Q55" t="s">
        <v>62</v>
      </c>
      <c r="R55" t="s">
        <v>1042</v>
      </c>
      <c r="S55" t="s">
        <v>874</v>
      </c>
      <c r="T55" t="s">
        <v>65</v>
      </c>
      <c r="U55" t="s">
        <v>1043</v>
      </c>
      <c r="V55" t="s">
        <v>876</v>
      </c>
      <c r="W55">
        <v>27958</v>
      </c>
      <c r="X55">
        <v>49</v>
      </c>
      <c r="Y55" t="s">
        <v>1044</v>
      </c>
      <c r="Z55" t="s">
        <v>1045</v>
      </c>
      <c r="AA55" t="s">
        <v>802</v>
      </c>
      <c r="AB55" t="s">
        <v>794</v>
      </c>
      <c r="AC55" t="s">
        <v>795</v>
      </c>
      <c r="AD55" t="s">
        <v>795</v>
      </c>
      <c r="AE55" t="s">
        <v>804</v>
      </c>
    </row>
    <row r="56" spans="1:35">
      <c r="A56">
        <v>54</v>
      </c>
      <c r="B56" t="s">
        <v>1046</v>
      </c>
      <c r="C56">
        <v>98</v>
      </c>
      <c r="D56" t="s">
        <v>782</v>
      </c>
      <c r="E56" t="s">
        <v>869</v>
      </c>
      <c r="F56" t="s">
        <v>784</v>
      </c>
      <c r="G56" t="s">
        <v>9</v>
      </c>
      <c r="H56" t="s">
        <v>784</v>
      </c>
      <c r="I56" t="s">
        <v>1009</v>
      </c>
      <c r="J56" t="s">
        <v>1040</v>
      </c>
      <c r="K56" t="s">
        <v>786</v>
      </c>
      <c r="N56" t="s">
        <v>1041</v>
      </c>
      <c r="R56" t="s">
        <v>1047</v>
      </c>
      <c r="S56" t="s">
        <v>874</v>
      </c>
      <c r="T56" t="s">
        <v>78</v>
      </c>
      <c r="U56" t="s">
        <v>1048</v>
      </c>
      <c r="V56" t="s">
        <v>876</v>
      </c>
      <c r="W56">
        <v>30623</v>
      </c>
      <c r="X56">
        <v>42</v>
      </c>
      <c r="Y56" t="s">
        <v>1049</v>
      </c>
      <c r="Z56" t="s">
        <v>1050</v>
      </c>
      <c r="AA56" t="s">
        <v>802</v>
      </c>
      <c r="AB56" t="s">
        <v>794</v>
      </c>
      <c r="AC56" t="s">
        <v>795</v>
      </c>
      <c r="AD56" t="s">
        <v>795</v>
      </c>
      <c r="AE56" t="s">
        <v>796</v>
      </c>
    </row>
    <row r="57" spans="1:35">
      <c r="A57">
        <v>55</v>
      </c>
      <c r="B57" t="s">
        <v>1051</v>
      </c>
      <c r="C57">
        <v>100</v>
      </c>
      <c r="D57" t="s">
        <v>782</v>
      </c>
      <c r="E57" t="s">
        <v>869</v>
      </c>
      <c r="F57" t="s">
        <v>784</v>
      </c>
      <c r="G57" t="s">
        <v>9</v>
      </c>
      <c r="H57" t="s">
        <v>784</v>
      </c>
      <c r="I57" t="s">
        <v>1009</v>
      </c>
      <c r="J57" t="s">
        <v>1040</v>
      </c>
      <c r="K57" t="s">
        <v>786</v>
      </c>
      <c r="N57" t="s">
        <v>1041</v>
      </c>
      <c r="S57" t="s">
        <v>898</v>
      </c>
      <c r="T57" t="s">
        <v>88</v>
      </c>
      <c r="U57" t="s">
        <v>1052</v>
      </c>
      <c r="V57" t="s">
        <v>876</v>
      </c>
      <c r="W57">
        <v>19533</v>
      </c>
      <c r="X57">
        <v>72</v>
      </c>
      <c r="Y57" t="s">
        <v>1053</v>
      </c>
      <c r="Z57" t="s">
        <v>1054</v>
      </c>
      <c r="AA57" t="s">
        <v>802</v>
      </c>
      <c r="AB57" t="s">
        <v>794</v>
      </c>
      <c r="AC57" t="s">
        <v>795</v>
      </c>
      <c r="AD57" t="s">
        <v>795</v>
      </c>
      <c r="AE57" t="s">
        <v>804</v>
      </c>
    </row>
    <row r="58" spans="1:35">
      <c r="A58">
        <v>56</v>
      </c>
      <c r="B58" t="s">
        <v>1055</v>
      </c>
      <c r="C58">
        <v>102</v>
      </c>
      <c r="D58" t="s">
        <v>782</v>
      </c>
      <c r="E58" t="s">
        <v>869</v>
      </c>
      <c r="F58" t="s">
        <v>784</v>
      </c>
      <c r="G58" t="s">
        <v>9</v>
      </c>
      <c r="H58" t="s">
        <v>784</v>
      </c>
      <c r="I58" t="s">
        <v>1009</v>
      </c>
      <c r="J58" t="s">
        <v>1040</v>
      </c>
      <c r="K58" t="s">
        <v>786</v>
      </c>
      <c r="N58" t="s">
        <v>1041</v>
      </c>
      <c r="S58" t="s">
        <v>874</v>
      </c>
      <c r="T58" t="s">
        <v>98</v>
      </c>
      <c r="U58" t="s">
        <v>1056</v>
      </c>
      <c r="V58" t="s">
        <v>876</v>
      </c>
      <c r="W58">
        <v>26302</v>
      </c>
      <c r="X58">
        <v>54</v>
      </c>
      <c r="Y58" t="s">
        <v>1057</v>
      </c>
      <c r="Z58" t="s">
        <v>1058</v>
      </c>
      <c r="AA58" t="s">
        <v>802</v>
      </c>
      <c r="AB58" t="s">
        <v>794</v>
      </c>
      <c r="AC58" t="s">
        <v>795</v>
      </c>
      <c r="AD58" t="s">
        <v>795</v>
      </c>
      <c r="AE58" t="s">
        <v>804</v>
      </c>
    </row>
    <row r="59" spans="1:35">
      <c r="A59">
        <v>57</v>
      </c>
      <c r="B59" t="s">
        <v>1059</v>
      </c>
      <c r="C59">
        <v>104</v>
      </c>
      <c r="D59" t="s">
        <v>782</v>
      </c>
      <c r="E59" t="s">
        <v>869</v>
      </c>
      <c r="F59" t="s">
        <v>784</v>
      </c>
      <c r="G59" t="s">
        <v>9</v>
      </c>
      <c r="H59" t="s">
        <v>784</v>
      </c>
      <c r="I59" t="s">
        <v>1009</v>
      </c>
      <c r="J59" t="s">
        <v>1040</v>
      </c>
      <c r="K59" t="s">
        <v>786</v>
      </c>
      <c r="N59" t="s">
        <v>1041</v>
      </c>
      <c r="S59" t="s">
        <v>874</v>
      </c>
      <c r="T59" t="s">
        <v>106</v>
      </c>
      <c r="U59" t="s">
        <v>1060</v>
      </c>
      <c r="V59" t="s">
        <v>876</v>
      </c>
      <c r="W59">
        <v>29493</v>
      </c>
      <c r="X59">
        <v>45</v>
      </c>
      <c r="Y59" t="s">
        <v>1061</v>
      </c>
      <c r="Z59" t="s">
        <v>1062</v>
      </c>
      <c r="AA59" t="s">
        <v>802</v>
      </c>
      <c r="AB59" t="s">
        <v>794</v>
      </c>
      <c r="AC59" t="s">
        <v>795</v>
      </c>
      <c r="AD59" t="s">
        <v>795</v>
      </c>
      <c r="AE59" t="s">
        <v>804</v>
      </c>
    </row>
    <row r="60" spans="1:35">
      <c r="A60">
        <v>58</v>
      </c>
      <c r="B60" t="s">
        <v>1063</v>
      </c>
      <c r="C60">
        <v>106</v>
      </c>
      <c r="D60" t="s">
        <v>782</v>
      </c>
      <c r="E60" t="s">
        <v>869</v>
      </c>
      <c r="F60" t="s">
        <v>784</v>
      </c>
      <c r="G60" t="s">
        <v>9</v>
      </c>
      <c r="H60" t="s">
        <v>784</v>
      </c>
      <c r="I60" t="s">
        <v>1009</v>
      </c>
      <c r="J60" t="s">
        <v>1040</v>
      </c>
      <c r="K60" t="s">
        <v>786</v>
      </c>
      <c r="N60" t="s">
        <v>1041</v>
      </c>
      <c r="S60" t="s">
        <v>874</v>
      </c>
      <c r="T60" t="s">
        <v>114</v>
      </c>
      <c r="U60" t="s">
        <v>1064</v>
      </c>
      <c r="V60" t="s">
        <v>876</v>
      </c>
      <c r="W60">
        <v>28181</v>
      </c>
      <c r="X60">
        <v>48</v>
      </c>
      <c r="Y60" t="s">
        <v>1065</v>
      </c>
      <c r="Z60" t="s">
        <v>1066</v>
      </c>
      <c r="AA60" t="s">
        <v>802</v>
      </c>
      <c r="AB60" t="s">
        <v>794</v>
      </c>
      <c r="AC60" t="s">
        <v>795</v>
      </c>
      <c r="AD60" t="s">
        <v>795</v>
      </c>
      <c r="AE60" t="s">
        <v>804</v>
      </c>
    </row>
    <row r="61" spans="1:35">
      <c r="A61">
        <v>59</v>
      </c>
      <c r="B61" t="s">
        <v>1067</v>
      </c>
      <c r="C61">
        <v>108</v>
      </c>
      <c r="D61" t="s">
        <v>782</v>
      </c>
      <c r="E61" t="s">
        <v>869</v>
      </c>
      <c r="F61" t="s">
        <v>784</v>
      </c>
      <c r="G61" t="s">
        <v>9</v>
      </c>
      <c r="H61" t="s">
        <v>784</v>
      </c>
      <c r="I61" t="s">
        <v>1009</v>
      </c>
      <c r="J61" t="s">
        <v>1040</v>
      </c>
      <c r="K61" t="s">
        <v>786</v>
      </c>
      <c r="N61" t="s">
        <v>1041</v>
      </c>
      <c r="S61" t="s">
        <v>874</v>
      </c>
      <c r="T61" t="s">
        <v>119</v>
      </c>
      <c r="U61" t="s">
        <v>1068</v>
      </c>
      <c r="V61" t="s">
        <v>876</v>
      </c>
      <c r="W61">
        <v>30002</v>
      </c>
      <c r="X61">
        <v>43</v>
      </c>
      <c r="Y61" t="s">
        <v>1069</v>
      </c>
      <c r="Z61" t="s">
        <v>1070</v>
      </c>
      <c r="AA61" t="s">
        <v>802</v>
      </c>
      <c r="AB61" t="s">
        <v>794</v>
      </c>
      <c r="AC61" t="s">
        <v>795</v>
      </c>
      <c r="AD61" t="s">
        <v>795</v>
      </c>
      <c r="AE61" t="s">
        <v>804</v>
      </c>
    </row>
    <row r="62" spans="1:35">
      <c r="A62">
        <v>60</v>
      </c>
      <c r="B62" t="s">
        <v>1071</v>
      </c>
      <c r="C62">
        <v>110</v>
      </c>
      <c r="D62" t="s">
        <v>782</v>
      </c>
      <c r="E62" t="s">
        <v>869</v>
      </c>
      <c r="F62" t="s">
        <v>784</v>
      </c>
      <c r="G62" t="s">
        <v>9</v>
      </c>
      <c r="H62" t="s">
        <v>784</v>
      </c>
      <c r="I62" t="s">
        <v>1009</v>
      </c>
      <c r="J62" t="s">
        <v>1040</v>
      </c>
      <c r="K62" t="s">
        <v>786</v>
      </c>
      <c r="N62" t="s">
        <v>1041</v>
      </c>
      <c r="S62" t="s">
        <v>874</v>
      </c>
      <c r="T62" t="s">
        <v>123</v>
      </c>
      <c r="U62" t="s">
        <v>1072</v>
      </c>
      <c r="V62" t="s">
        <v>876</v>
      </c>
      <c r="W62">
        <v>30562</v>
      </c>
      <c r="X62">
        <v>42</v>
      </c>
      <c r="Y62" t="s">
        <v>1073</v>
      </c>
      <c r="AA62" t="s">
        <v>802</v>
      </c>
      <c r="AB62" t="s">
        <v>794</v>
      </c>
      <c r="AC62" t="s">
        <v>795</v>
      </c>
      <c r="AD62" t="s">
        <v>795</v>
      </c>
    </row>
    <row r="63" spans="1:35">
      <c r="A63">
        <v>61</v>
      </c>
      <c r="B63" t="s">
        <v>1074</v>
      </c>
      <c r="C63">
        <v>112</v>
      </c>
      <c r="D63" t="s">
        <v>782</v>
      </c>
      <c r="E63" t="s">
        <v>869</v>
      </c>
      <c r="F63" t="s">
        <v>784</v>
      </c>
      <c r="G63" t="s">
        <v>1075</v>
      </c>
      <c r="H63" t="s">
        <v>870</v>
      </c>
      <c r="I63" t="s">
        <v>1074</v>
      </c>
      <c r="J63" t="s">
        <v>1076</v>
      </c>
      <c r="K63" t="s">
        <v>786</v>
      </c>
      <c r="N63" t="s">
        <v>1077</v>
      </c>
      <c r="P63" t="s">
        <v>49</v>
      </c>
      <c r="Q63" t="s">
        <v>49</v>
      </c>
      <c r="S63" t="s">
        <v>874</v>
      </c>
      <c r="T63" t="s">
        <v>55</v>
      </c>
      <c r="U63" t="s">
        <v>1078</v>
      </c>
      <c r="V63" t="s">
        <v>876</v>
      </c>
      <c r="W63">
        <v>20944</v>
      </c>
      <c r="X63">
        <v>68</v>
      </c>
      <c r="Y63" t="s">
        <v>1079</v>
      </c>
      <c r="Z63" t="s">
        <v>1080</v>
      </c>
      <c r="AA63" t="s">
        <v>802</v>
      </c>
      <c r="AB63" t="s">
        <v>794</v>
      </c>
      <c r="AC63" t="s">
        <v>809</v>
      </c>
      <c r="AD63" t="s">
        <v>795</v>
      </c>
      <c r="AE63" t="s">
        <v>796</v>
      </c>
    </row>
    <row r="64" spans="1:35">
      <c r="A64">
        <v>62</v>
      </c>
      <c r="B64" t="s">
        <v>1076</v>
      </c>
      <c r="C64">
        <v>114</v>
      </c>
      <c r="D64" t="s">
        <v>782</v>
      </c>
      <c r="E64" t="s">
        <v>869</v>
      </c>
      <c r="F64" t="s">
        <v>784</v>
      </c>
      <c r="G64" t="s">
        <v>1075</v>
      </c>
      <c r="H64" t="s">
        <v>870</v>
      </c>
      <c r="I64" t="s">
        <v>1074</v>
      </c>
      <c r="J64" t="s">
        <v>1076</v>
      </c>
      <c r="K64" t="s">
        <v>786</v>
      </c>
      <c r="N64" t="s">
        <v>1077</v>
      </c>
      <c r="O64" t="s">
        <v>308</v>
      </c>
      <c r="P64" t="s">
        <v>62</v>
      </c>
      <c r="Q64" t="s">
        <v>62</v>
      </c>
      <c r="S64" t="s">
        <v>874</v>
      </c>
      <c r="T64" t="s">
        <v>66</v>
      </c>
      <c r="U64" t="s">
        <v>1081</v>
      </c>
      <c r="V64" t="s">
        <v>876</v>
      </c>
      <c r="W64">
        <v>23254</v>
      </c>
      <c r="X64">
        <v>62</v>
      </c>
      <c r="Y64" t="s">
        <v>1082</v>
      </c>
      <c r="AA64" t="s">
        <v>842</v>
      </c>
      <c r="AB64" t="s">
        <v>851</v>
      </c>
      <c r="AC64" t="s">
        <v>809</v>
      </c>
      <c r="AD64" t="s">
        <v>795</v>
      </c>
      <c r="AH64" t="s">
        <v>853</v>
      </c>
      <c r="AI64" t="s">
        <v>1083</v>
      </c>
    </row>
    <row r="65" spans="1:35">
      <c r="A65">
        <v>63</v>
      </c>
      <c r="B65" t="s">
        <v>1084</v>
      </c>
      <c r="C65">
        <v>89</v>
      </c>
      <c r="D65" t="s">
        <v>811</v>
      </c>
      <c r="E65" t="s">
        <v>869</v>
      </c>
      <c r="F65" t="s">
        <v>784</v>
      </c>
      <c r="G65" t="s">
        <v>1075</v>
      </c>
      <c r="H65" t="s">
        <v>870</v>
      </c>
      <c r="I65" t="s">
        <v>1074</v>
      </c>
      <c r="J65" t="s">
        <v>1076</v>
      </c>
      <c r="K65" t="s">
        <v>786</v>
      </c>
      <c r="N65" t="s">
        <v>1077</v>
      </c>
      <c r="O65" t="s">
        <v>308</v>
      </c>
      <c r="S65" t="s">
        <v>874</v>
      </c>
      <c r="T65" t="s">
        <v>79</v>
      </c>
      <c r="U65" t="s">
        <v>1085</v>
      </c>
      <c r="V65" t="s">
        <v>876</v>
      </c>
      <c r="W65">
        <v>22122</v>
      </c>
      <c r="X65">
        <v>65</v>
      </c>
      <c r="Y65" t="s">
        <v>1086</v>
      </c>
      <c r="AA65" t="s">
        <v>842</v>
      </c>
      <c r="AB65" t="s">
        <v>851</v>
      </c>
      <c r="AC65" t="s">
        <v>713</v>
      </c>
      <c r="AD65" t="s">
        <v>713</v>
      </c>
      <c r="AE65" t="s">
        <v>741</v>
      </c>
      <c r="AH65" t="s">
        <v>1087</v>
      </c>
    </row>
    <row r="66" spans="1:35">
      <c r="A66">
        <v>64</v>
      </c>
      <c r="B66" t="s">
        <v>1088</v>
      </c>
      <c r="C66">
        <v>91</v>
      </c>
      <c r="D66" t="s">
        <v>811</v>
      </c>
      <c r="E66" t="s">
        <v>869</v>
      </c>
      <c r="F66" t="s">
        <v>784</v>
      </c>
      <c r="G66" t="s">
        <v>1075</v>
      </c>
      <c r="H66" t="s">
        <v>870</v>
      </c>
      <c r="I66" t="s">
        <v>1074</v>
      </c>
      <c r="J66" t="s">
        <v>1076</v>
      </c>
      <c r="K66" t="s">
        <v>786</v>
      </c>
      <c r="N66" t="s">
        <v>1077</v>
      </c>
      <c r="O66" t="s">
        <v>308</v>
      </c>
      <c r="S66" t="s">
        <v>874</v>
      </c>
      <c r="T66" t="s">
        <v>89</v>
      </c>
      <c r="U66" t="s">
        <v>1089</v>
      </c>
      <c r="V66" t="s">
        <v>876</v>
      </c>
      <c r="W66">
        <v>23214</v>
      </c>
      <c r="X66">
        <v>62</v>
      </c>
      <c r="Y66" t="s">
        <v>1090</v>
      </c>
      <c r="AA66" t="s">
        <v>842</v>
      </c>
      <c r="AB66" t="s">
        <v>851</v>
      </c>
      <c r="AC66" t="s">
        <v>713</v>
      </c>
      <c r="AD66" t="s">
        <v>713</v>
      </c>
      <c r="AE66" t="s">
        <v>741</v>
      </c>
      <c r="AH66" t="s">
        <v>1087</v>
      </c>
    </row>
    <row r="67" spans="1:35">
      <c r="A67">
        <v>65</v>
      </c>
      <c r="B67" t="s">
        <v>1091</v>
      </c>
      <c r="C67">
        <v>93</v>
      </c>
      <c r="D67" t="s">
        <v>811</v>
      </c>
      <c r="E67" t="s">
        <v>869</v>
      </c>
      <c r="F67" t="s">
        <v>784</v>
      </c>
      <c r="G67" t="s">
        <v>1075</v>
      </c>
      <c r="H67" t="s">
        <v>870</v>
      </c>
      <c r="I67" t="s">
        <v>1074</v>
      </c>
      <c r="J67" t="s">
        <v>1076</v>
      </c>
      <c r="K67" t="s">
        <v>786</v>
      </c>
      <c r="N67" t="s">
        <v>1077</v>
      </c>
      <c r="O67" t="s">
        <v>308</v>
      </c>
      <c r="S67" t="s">
        <v>874</v>
      </c>
      <c r="T67" t="s">
        <v>99</v>
      </c>
      <c r="U67" t="s">
        <v>1092</v>
      </c>
      <c r="V67" t="s">
        <v>876</v>
      </c>
      <c r="W67">
        <v>24232</v>
      </c>
      <c r="X67">
        <v>59</v>
      </c>
      <c r="Y67" t="s">
        <v>1093</v>
      </c>
      <c r="AA67" t="s">
        <v>842</v>
      </c>
      <c r="AB67" t="s">
        <v>843</v>
      </c>
      <c r="AC67" t="s">
        <v>713</v>
      </c>
      <c r="AD67" t="s">
        <v>713</v>
      </c>
      <c r="AE67" t="s">
        <v>1094</v>
      </c>
      <c r="AH67" t="s">
        <v>1087</v>
      </c>
    </row>
    <row r="68" spans="1:35">
      <c r="A68">
        <v>66</v>
      </c>
      <c r="B68" t="s">
        <v>784</v>
      </c>
      <c r="C68">
        <v>111</v>
      </c>
      <c r="D68" t="s">
        <v>782</v>
      </c>
      <c r="E68" t="s">
        <v>783</v>
      </c>
      <c r="F68" t="s">
        <v>784</v>
      </c>
      <c r="G68" t="s">
        <v>9</v>
      </c>
      <c r="H68" t="s">
        <v>784</v>
      </c>
      <c r="I68" t="s">
        <v>784</v>
      </c>
      <c r="J68" t="s">
        <v>786</v>
      </c>
      <c r="K68" t="s">
        <v>786</v>
      </c>
      <c r="N68" t="s">
        <v>787</v>
      </c>
      <c r="P68" t="s">
        <v>871</v>
      </c>
      <c r="Q68" t="s">
        <v>10</v>
      </c>
      <c r="R68" t="s">
        <v>49</v>
      </c>
      <c r="S68" t="s">
        <v>788</v>
      </c>
      <c r="T68" t="s">
        <v>9</v>
      </c>
      <c r="U68" t="s">
        <v>1095</v>
      </c>
      <c r="V68" t="s">
        <v>876</v>
      </c>
      <c r="W68">
        <v>31799</v>
      </c>
      <c r="X68">
        <v>39</v>
      </c>
      <c r="Y68" t="s">
        <v>1096</v>
      </c>
      <c r="Z68" t="s">
        <v>1097</v>
      </c>
      <c r="AA68" t="s">
        <v>793</v>
      </c>
      <c r="AB68" t="s">
        <v>794</v>
      </c>
      <c r="AC68" t="s">
        <v>795</v>
      </c>
      <c r="AD68" t="s">
        <v>795</v>
      </c>
      <c r="AE68" t="s">
        <v>796</v>
      </c>
    </row>
    <row r="69" spans="1:35">
      <c r="A69">
        <v>67</v>
      </c>
      <c r="B69" t="s">
        <v>1098</v>
      </c>
      <c r="C69">
        <v>112</v>
      </c>
      <c r="D69" t="s">
        <v>782</v>
      </c>
      <c r="E69" t="s">
        <v>783</v>
      </c>
      <c r="F69" t="s">
        <v>784</v>
      </c>
      <c r="G69" t="s">
        <v>9</v>
      </c>
      <c r="H69" t="s">
        <v>784</v>
      </c>
      <c r="I69" t="s">
        <v>784</v>
      </c>
      <c r="J69" t="s">
        <v>786</v>
      </c>
      <c r="K69" t="s">
        <v>786</v>
      </c>
      <c r="N69" t="s">
        <v>787</v>
      </c>
      <c r="S69" t="s">
        <v>788</v>
      </c>
      <c r="T69" t="s">
        <v>67</v>
      </c>
      <c r="U69" t="s">
        <v>1099</v>
      </c>
      <c r="V69" t="s">
        <v>876</v>
      </c>
      <c r="W69">
        <v>33947</v>
      </c>
      <c r="X69">
        <v>33</v>
      </c>
      <c r="Y69" t="s">
        <v>1100</v>
      </c>
      <c r="Z69" t="s">
        <v>1101</v>
      </c>
      <c r="AA69" t="s">
        <v>793</v>
      </c>
      <c r="AB69" t="s">
        <v>794</v>
      </c>
      <c r="AC69" t="s">
        <v>809</v>
      </c>
      <c r="AD69" t="s">
        <v>795</v>
      </c>
      <c r="AE69" t="s">
        <v>804</v>
      </c>
    </row>
    <row r="70" spans="1:35">
      <c r="A70">
        <v>68</v>
      </c>
      <c r="B70" t="s">
        <v>1102</v>
      </c>
      <c r="C70">
        <v>113</v>
      </c>
      <c r="D70" t="s">
        <v>782</v>
      </c>
      <c r="E70" t="s">
        <v>783</v>
      </c>
      <c r="F70" t="s">
        <v>784</v>
      </c>
      <c r="G70" t="s">
        <v>9</v>
      </c>
      <c r="H70" t="s">
        <v>784</v>
      </c>
      <c r="I70" t="s">
        <v>784</v>
      </c>
      <c r="J70" t="s">
        <v>786</v>
      </c>
      <c r="K70" t="s">
        <v>786</v>
      </c>
      <c r="N70" t="s">
        <v>787</v>
      </c>
      <c r="S70" t="s">
        <v>788</v>
      </c>
      <c r="T70" t="s">
        <v>90</v>
      </c>
      <c r="U70" t="s">
        <v>1103</v>
      </c>
      <c r="V70" t="s">
        <v>876</v>
      </c>
      <c r="W70">
        <v>33488</v>
      </c>
      <c r="X70">
        <v>34</v>
      </c>
      <c r="Y70" t="s">
        <v>1104</v>
      </c>
      <c r="Z70" t="s">
        <v>1105</v>
      </c>
      <c r="AA70" t="s">
        <v>793</v>
      </c>
      <c r="AB70" t="s">
        <v>794</v>
      </c>
      <c r="AC70" t="s">
        <v>809</v>
      </c>
      <c r="AD70" t="s">
        <v>795</v>
      </c>
      <c r="AE70" t="s">
        <v>804</v>
      </c>
    </row>
    <row r="71" spans="1:35">
      <c r="A71">
        <v>69</v>
      </c>
      <c r="B71" t="s">
        <v>1106</v>
      </c>
      <c r="C71">
        <v>115</v>
      </c>
      <c r="D71" t="s">
        <v>782</v>
      </c>
      <c r="E71" t="s">
        <v>783</v>
      </c>
      <c r="F71" t="s">
        <v>784</v>
      </c>
      <c r="G71" t="s">
        <v>9</v>
      </c>
      <c r="H71" t="s">
        <v>784</v>
      </c>
      <c r="I71" t="s">
        <v>784</v>
      </c>
      <c r="J71" t="s">
        <v>786</v>
      </c>
      <c r="K71" t="s">
        <v>786</v>
      </c>
      <c r="N71" t="s">
        <v>787</v>
      </c>
      <c r="P71" t="s">
        <v>163</v>
      </c>
      <c r="Q71" t="s">
        <v>500</v>
      </c>
      <c r="S71" t="s">
        <v>788</v>
      </c>
      <c r="T71" t="s">
        <v>80</v>
      </c>
      <c r="U71" t="s">
        <v>1107</v>
      </c>
      <c r="V71" t="s">
        <v>876</v>
      </c>
      <c r="W71">
        <v>34403</v>
      </c>
      <c r="X71">
        <v>31</v>
      </c>
      <c r="Y71" t="s">
        <v>1108</v>
      </c>
      <c r="Z71" t="s">
        <v>1109</v>
      </c>
      <c r="AA71" t="s">
        <v>793</v>
      </c>
      <c r="AB71" t="s">
        <v>794</v>
      </c>
      <c r="AC71" t="s">
        <v>713</v>
      </c>
      <c r="AD71" t="s">
        <v>795</v>
      </c>
      <c r="AE71" t="s">
        <v>796</v>
      </c>
    </row>
    <row r="72" spans="1:35">
      <c r="A72">
        <v>70</v>
      </c>
      <c r="B72" t="s">
        <v>1110</v>
      </c>
      <c r="C72">
        <v>117</v>
      </c>
      <c r="D72" t="s">
        <v>782</v>
      </c>
      <c r="E72" t="s">
        <v>783</v>
      </c>
      <c r="F72" t="s">
        <v>784</v>
      </c>
      <c r="G72" t="s">
        <v>9</v>
      </c>
      <c r="H72" t="s">
        <v>784</v>
      </c>
      <c r="I72" t="s">
        <v>784</v>
      </c>
      <c r="J72" t="s">
        <v>786</v>
      </c>
      <c r="K72" t="s">
        <v>786</v>
      </c>
      <c r="N72" t="s">
        <v>787</v>
      </c>
      <c r="P72" t="s">
        <v>1018</v>
      </c>
      <c r="Q72" t="s">
        <v>1111</v>
      </c>
      <c r="R72" t="s">
        <v>1036</v>
      </c>
      <c r="S72" t="s">
        <v>788</v>
      </c>
      <c r="T72" t="s">
        <v>34</v>
      </c>
      <c r="U72" t="s">
        <v>1112</v>
      </c>
      <c r="V72" t="s">
        <v>790</v>
      </c>
      <c r="W72">
        <v>33643</v>
      </c>
      <c r="X72">
        <v>33</v>
      </c>
      <c r="Y72" t="s">
        <v>1038</v>
      </c>
      <c r="Z72" t="s">
        <v>1038</v>
      </c>
      <c r="AA72" t="s">
        <v>793</v>
      </c>
      <c r="AB72" t="s">
        <v>794</v>
      </c>
      <c r="AC72" t="s">
        <v>795</v>
      </c>
      <c r="AD72" t="s">
        <v>795</v>
      </c>
      <c r="AE72" t="s">
        <v>796</v>
      </c>
      <c r="AI72" t="s">
        <v>1039</v>
      </c>
    </row>
    <row r="73" spans="1:35">
      <c r="A73">
        <v>71</v>
      </c>
      <c r="B73" t="s">
        <v>1114</v>
      </c>
      <c r="C73">
        <v>119</v>
      </c>
      <c r="E73" t="s">
        <v>783</v>
      </c>
      <c r="F73" t="s">
        <v>1115</v>
      </c>
      <c r="G73" t="s">
        <v>9</v>
      </c>
      <c r="H73" t="s">
        <v>1115</v>
      </c>
      <c r="I73" t="s">
        <v>1115</v>
      </c>
      <c r="J73" t="s">
        <v>786</v>
      </c>
      <c r="K73" t="s">
        <v>786</v>
      </c>
      <c r="N73" t="s">
        <v>787</v>
      </c>
      <c r="T73" t="s">
        <v>115</v>
      </c>
      <c r="V73" t="s">
        <v>790</v>
      </c>
      <c r="W73">
        <v>34445</v>
      </c>
      <c r="X73">
        <v>31</v>
      </c>
      <c r="Z73" t="s">
        <v>1116</v>
      </c>
      <c r="AA73" t="s">
        <v>793</v>
      </c>
      <c r="AB73" t="s">
        <v>794</v>
      </c>
      <c r="AC73" t="s">
        <v>795</v>
      </c>
      <c r="AD73" t="s">
        <v>809</v>
      </c>
      <c r="AE73" t="s">
        <v>1117</v>
      </c>
    </row>
    <row r="74" spans="1:35">
      <c r="A74">
        <v>72</v>
      </c>
      <c r="B74" t="s">
        <v>1118</v>
      </c>
      <c r="C74">
        <v>121</v>
      </c>
      <c r="E74" t="s">
        <v>783</v>
      </c>
      <c r="F74" t="s">
        <v>784</v>
      </c>
      <c r="G74" t="s">
        <v>9</v>
      </c>
      <c r="H74" t="s">
        <v>784</v>
      </c>
      <c r="I74" t="s">
        <v>784</v>
      </c>
      <c r="J74" t="s">
        <v>786</v>
      </c>
      <c r="K74" t="s">
        <v>786</v>
      </c>
      <c r="N74" t="s">
        <v>787</v>
      </c>
      <c r="P74" t="s">
        <v>49</v>
      </c>
      <c r="Q74" t="s">
        <v>163</v>
      </c>
      <c r="R74" t="s">
        <v>49</v>
      </c>
      <c r="T74" t="s">
        <v>28</v>
      </c>
      <c r="U74" t="s">
        <v>1119</v>
      </c>
      <c r="V74" t="s">
        <v>876</v>
      </c>
      <c r="W74">
        <v>33065</v>
      </c>
      <c r="X74">
        <v>35</v>
      </c>
      <c r="Y74" t="s">
        <v>1120</v>
      </c>
      <c r="Z74" t="s">
        <v>1121</v>
      </c>
      <c r="AA74" t="s">
        <v>793</v>
      </c>
      <c r="AB74" t="s">
        <v>794</v>
      </c>
      <c r="AC74" t="s">
        <v>713</v>
      </c>
      <c r="AD74" t="s">
        <v>795</v>
      </c>
      <c r="AE74" t="s">
        <v>796</v>
      </c>
      <c r="AF74" t="s">
        <v>872</v>
      </c>
    </row>
    <row r="75" spans="1:35">
      <c r="A75">
        <v>73</v>
      </c>
      <c r="B75" t="s">
        <v>1122</v>
      </c>
      <c r="C75">
        <v>123</v>
      </c>
      <c r="D75" t="s">
        <v>782</v>
      </c>
      <c r="E75" t="s">
        <v>783</v>
      </c>
      <c r="F75" t="s">
        <v>784</v>
      </c>
      <c r="G75" t="s">
        <v>9</v>
      </c>
      <c r="H75" t="s">
        <v>784</v>
      </c>
      <c r="I75" t="s">
        <v>1122</v>
      </c>
      <c r="J75" t="s">
        <v>1123</v>
      </c>
      <c r="K75" t="s">
        <v>786</v>
      </c>
      <c r="N75" t="s">
        <v>828</v>
      </c>
      <c r="P75" t="s">
        <v>871</v>
      </c>
      <c r="Q75" t="s">
        <v>6</v>
      </c>
      <c r="R75" t="s">
        <v>49</v>
      </c>
      <c r="S75" t="s">
        <v>788</v>
      </c>
      <c r="T75" t="s">
        <v>7</v>
      </c>
      <c r="U75" t="s">
        <v>1124</v>
      </c>
      <c r="V75" t="s">
        <v>876</v>
      </c>
      <c r="W75">
        <v>31978</v>
      </c>
      <c r="X75">
        <v>38</v>
      </c>
      <c r="Y75" t="s">
        <v>1125</v>
      </c>
      <c r="Z75" t="s">
        <v>1126</v>
      </c>
      <c r="AA75" t="s">
        <v>793</v>
      </c>
      <c r="AB75" t="s">
        <v>794</v>
      </c>
      <c r="AC75" t="s">
        <v>795</v>
      </c>
      <c r="AD75" t="s">
        <v>795</v>
      </c>
      <c r="AE75" t="s">
        <v>796</v>
      </c>
    </row>
    <row r="76" spans="1:35">
      <c r="A76">
        <v>74</v>
      </c>
      <c r="B76" t="s">
        <v>1123</v>
      </c>
      <c r="C76">
        <v>125</v>
      </c>
      <c r="D76" t="s">
        <v>782</v>
      </c>
      <c r="E76" t="s">
        <v>783</v>
      </c>
      <c r="F76" t="s">
        <v>784</v>
      </c>
      <c r="G76" t="s">
        <v>9</v>
      </c>
      <c r="H76" t="s">
        <v>784</v>
      </c>
      <c r="I76" t="s">
        <v>1122</v>
      </c>
      <c r="J76" t="s">
        <v>1123</v>
      </c>
      <c r="K76" t="s">
        <v>786</v>
      </c>
      <c r="N76" t="s">
        <v>828</v>
      </c>
      <c r="P76" t="s">
        <v>62</v>
      </c>
      <c r="Q76" t="s">
        <v>62</v>
      </c>
      <c r="S76" t="s">
        <v>788</v>
      </c>
      <c r="T76" t="s">
        <v>68</v>
      </c>
      <c r="U76" t="s">
        <v>1127</v>
      </c>
      <c r="V76" t="s">
        <v>876</v>
      </c>
      <c r="W76">
        <v>32578</v>
      </c>
      <c r="X76">
        <v>36</v>
      </c>
      <c r="Y76" t="s">
        <v>1128</v>
      </c>
      <c r="AA76" t="s">
        <v>793</v>
      </c>
      <c r="AB76" t="s">
        <v>794</v>
      </c>
      <c r="AC76" t="s">
        <v>713</v>
      </c>
      <c r="AD76" t="s">
        <v>795</v>
      </c>
      <c r="AE76" t="s">
        <v>796</v>
      </c>
    </row>
    <row r="77" spans="1:35">
      <c r="A77">
        <v>75</v>
      </c>
      <c r="B77" t="s">
        <v>1129</v>
      </c>
      <c r="C77">
        <v>127</v>
      </c>
      <c r="D77" t="s">
        <v>782</v>
      </c>
      <c r="E77" t="s">
        <v>783</v>
      </c>
      <c r="F77" t="s">
        <v>784</v>
      </c>
      <c r="G77" t="s">
        <v>9</v>
      </c>
      <c r="H77" t="s">
        <v>784</v>
      </c>
      <c r="I77" t="s">
        <v>1122</v>
      </c>
      <c r="J77" t="s">
        <v>1123</v>
      </c>
      <c r="K77" t="s">
        <v>786</v>
      </c>
      <c r="N77" t="s">
        <v>787</v>
      </c>
      <c r="R77" t="s">
        <v>1130</v>
      </c>
      <c r="S77" t="s">
        <v>788</v>
      </c>
      <c r="T77" t="s">
        <v>81</v>
      </c>
      <c r="U77" t="s">
        <v>1131</v>
      </c>
      <c r="V77" t="s">
        <v>876</v>
      </c>
      <c r="W77">
        <v>34867</v>
      </c>
      <c r="X77">
        <v>30</v>
      </c>
      <c r="Y77" t="s">
        <v>1132</v>
      </c>
      <c r="Z77" t="s">
        <v>1133</v>
      </c>
      <c r="AA77" t="s">
        <v>793</v>
      </c>
      <c r="AB77" t="s">
        <v>794</v>
      </c>
      <c r="AC77" t="s">
        <v>1134</v>
      </c>
      <c r="AD77" t="s">
        <v>795</v>
      </c>
      <c r="AE77" t="s">
        <v>796</v>
      </c>
    </row>
    <row r="78" spans="1:35">
      <c r="A78">
        <v>76</v>
      </c>
      <c r="B78" t="s">
        <v>1135</v>
      </c>
      <c r="C78">
        <v>129</v>
      </c>
      <c r="D78" t="s">
        <v>782</v>
      </c>
      <c r="E78" t="s">
        <v>783</v>
      </c>
      <c r="F78" t="s">
        <v>784</v>
      </c>
      <c r="G78" t="s">
        <v>9</v>
      </c>
      <c r="H78" t="s">
        <v>784</v>
      </c>
      <c r="I78" t="s">
        <v>1122</v>
      </c>
      <c r="J78" t="s">
        <v>1123</v>
      </c>
      <c r="K78" t="s">
        <v>786</v>
      </c>
      <c r="N78" t="s">
        <v>828</v>
      </c>
      <c r="P78" t="s">
        <v>1018</v>
      </c>
      <c r="R78" t="s">
        <v>1036</v>
      </c>
      <c r="S78" t="s">
        <v>788</v>
      </c>
      <c r="T78" t="s">
        <v>20</v>
      </c>
      <c r="U78" t="s">
        <v>1136</v>
      </c>
      <c r="V78" t="s">
        <v>790</v>
      </c>
      <c r="W78">
        <v>33136</v>
      </c>
      <c r="X78">
        <v>35</v>
      </c>
      <c r="Y78" t="s">
        <v>1137</v>
      </c>
      <c r="Z78" t="s">
        <v>1138</v>
      </c>
      <c r="AA78" t="s">
        <v>793</v>
      </c>
      <c r="AB78" t="s">
        <v>794</v>
      </c>
      <c r="AC78" t="s">
        <v>795</v>
      </c>
      <c r="AD78" t="s">
        <v>795</v>
      </c>
      <c r="AE78" t="s">
        <v>804</v>
      </c>
    </row>
    <row r="79" spans="1:35">
      <c r="A79">
        <v>77</v>
      </c>
      <c r="B79" t="s">
        <v>1139</v>
      </c>
      <c r="C79">
        <v>131</v>
      </c>
      <c r="D79" t="s">
        <v>782</v>
      </c>
      <c r="E79" t="s">
        <v>783</v>
      </c>
      <c r="F79" t="s">
        <v>784</v>
      </c>
      <c r="G79" t="s">
        <v>9</v>
      </c>
      <c r="H79" t="s">
        <v>784</v>
      </c>
      <c r="I79" t="s">
        <v>1122</v>
      </c>
      <c r="J79" t="s">
        <v>1123</v>
      </c>
      <c r="K79" t="s">
        <v>786</v>
      </c>
      <c r="N79" t="s">
        <v>828</v>
      </c>
      <c r="R79" t="s">
        <v>1036</v>
      </c>
      <c r="S79" t="s">
        <v>788</v>
      </c>
      <c r="T79" t="s">
        <v>100</v>
      </c>
      <c r="U79" t="s">
        <v>1140</v>
      </c>
      <c r="V79" t="s">
        <v>876</v>
      </c>
      <c r="W79">
        <v>36359</v>
      </c>
      <c r="X79">
        <v>26</v>
      </c>
      <c r="Y79" t="s">
        <v>1141</v>
      </c>
      <c r="Z79" t="s">
        <v>1142</v>
      </c>
      <c r="AA79" t="s">
        <v>793</v>
      </c>
      <c r="AB79" t="s">
        <v>794</v>
      </c>
      <c r="AC79" t="s">
        <v>795</v>
      </c>
      <c r="AD79" t="s">
        <v>795</v>
      </c>
      <c r="AE79" t="s">
        <v>796</v>
      </c>
      <c r="AI79" t="s">
        <v>1143</v>
      </c>
    </row>
    <row r="80" spans="1:35">
      <c r="A80">
        <v>78</v>
      </c>
      <c r="B80" t="s">
        <v>1144</v>
      </c>
      <c r="C80">
        <v>133</v>
      </c>
      <c r="D80" t="s">
        <v>782</v>
      </c>
      <c r="E80" t="s">
        <v>783</v>
      </c>
      <c r="F80" t="s">
        <v>784</v>
      </c>
      <c r="G80" t="s">
        <v>9</v>
      </c>
      <c r="H80" t="s">
        <v>784</v>
      </c>
      <c r="I80" t="s">
        <v>1122</v>
      </c>
      <c r="J80" t="s">
        <v>1123</v>
      </c>
      <c r="K80" t="s">
        <v>786</v>
      </c>
      <c r="N80" t="s">
        <v>828</v>
      </c>
      <c r="P80" t="s">
        <v>163</v>
      </c>
      <c r="Q80" t="s">
        <v>1145</v>
      </c>
      <c r="R80" t="s">
        <v>49</v>
      </c>
      <c r="S80" t="s">
        <v>788</v>
      </c>
      <c r="T80" t="s">
        <v>107</v>
      </c>
      <c r="U80" t="s">
        <v>1146</v>
      </c>
      <c r="V80" t="s">
        <v>876</v>
      </c>
      <c r="W80">
        <v>34746</v>
      </c>
      <c r="X80">
        <v>30</v>
      </c>
      <c r="Y80" t="s">
        <v>1147</v>
      </c>
      <c r="Z80" t="s">
        <v>1148</v>
      </c>
      <c r="AA80" t="s">
        <v>793</v>
      </c>
      <c r="AB80" t="s">
        <v>794</v>
      </c>
      <c r="AC80" t="s">
        <v>815</v>
      </c>
      <c r="AD80" t="s">
        <v>795</v>
      </c>
      <c r="AE80" t="s">
        <v>796</v>
      </c>
    </row>
    <row r="81" spans="1:36">
      <c r="A81">
        <v>79</v>
      </c>
      <c r="B81" t="s">
        <v>1149</v>
      </c>
      <c r="C81">
        <v>135</v>
      </c>
      <c r="D81" t="s">
        <v>782</v>
      </c>
      <c r="E81" t="s">
        <v>783</v>
      </c>
      <c r="F81" t="s">
        <v>784</v>
      </c>
      <c r="G81" t="s">
        <v>9</v>
      </c>
      <c r="H81" t="s">
        <v>784</v>
      </c>
      <c r="I81" t="s">
        <v>1122</v>
      </c>
      <c r="J81" t="s">
        <v>1123</v>
      </c>
      <c r="K81" t="s">
        <v>786</v>
      </c>
      <c r="N81" t="s">
        <v>828</v>
      </c>
      <c r="S81" t="s">
        <v>788</v>
      </c>
      <c r="T81" t="s">
        <v>1150</v>
      </c>
      <c r="U81" t="s">
        <v>1151</v>
      </c>
      <c r="V81" t="s">
        <v>876</v>
      </c>
      <c r="W81">
        <v>32025</v>
      </c>
      <c r="X81">
        <v>38</v>
      </c>
      <c r="Y81" t="s">
        <v>1152</v>
      </c>
      <c r="AA81" t="s">
        <v>793</v>
      </c>
      <c r="AB81" t="s">
        <v>843</v>
      </c>
      <c r="AC81" t="s">
        <v>809</v>
      </c>
      <c r="AD81" t="s">
        <v>795</v>
      </c>
      <c r="AE81" t="s">
        <v>796</v>
      </c>
      <c r="AG81" t="s">
        <v>859</v>
      </c>
      <c r="AI81" t="s">
        <v>860</v>
      </c>
    </row>
    <row r="82" spans="1:36">
      <c r="A82">
        <v>80</v>
      </c>
      <c r="B82" t="s">
        <v>1153</v>
      </c>
      <c r="C82">
        <v>137</v>
      </c>
      <c r="D82" t="s">
        <v>782</v>
      </c>
      <c r="E82" t="s">
        <v>783</v>
      </c>
      <c r="F82" t="s">
        <v>784</v>
      </c>
      <c r="G82" t="s">
        <v>9</v>
      </c>
      <c r="H82" t="s">
        <v>784</v>
      </c>
      <c r="I82" t="s">
        <v>1122</v>
      </c>
      <c r="J82" t="s">
        <v>1123</v>
      </c>
      <c r="K82" t="s">
        <v>786</v>
      </c>
      <c r="N82" t="s">
        <v>828</v>
      </c>
      <c r="S82" t="s">
        <v>788</v>
      </c>
      <c r="T82" t="s">
        <v>116</v>
      </c>
      <c r="U82" t="s">
        <v>1154</v>
      </c>
      <c r="V82" t="s">
        <v>876</v>
      </c>
      <c r="W82">
        <v>37287</v>
      </c>
      <c r="X82">
        <v>23</v>
      </c>
      <c r="Y82" t="s">
        <v>1155</v>
      </c>
      <c r="AA82" t="s">
        <v>793</v>
      </c>
      <c r="AB82" t="s">
        <v>794</v>
      </c>
      <c r="AC82" t="s">
        <v>236</v>
      </c>
      <c r="AD82" t="s">
        <v>795</v>
      </c>
      <c r="AE82" t="s">
        <v>796</v>
      </c>
    </row>
    <row r="83" spans="1:36">
      <c r="A83">
        <v>81</v>
      </c>
      <c r="B83" t="s">
        <v>1156</v>
      </c>
      <c r="C83">
        <v>139</v>
      </c>
      <c r="D83" t="s">
        <v>1157</v>
      </c>
      <c r="E83" t="s">
        <v>1158</v>
      </c>
      <c r="F83" t="s">
        <v>1156</v>
      </c>
      <c r="G83" t="s">
        <v>162</v>
      </c>
      <c r="H83" t="s">
        <v>1156</v>
      </c>
      <c r="I83" t="s">
        <v>1156</v>
      </c>
      <c r="J83" t="s">
        <v>1159</v>
      </c>
      <c r="K83" t="s">
        <v>786</v>
      </c>
      <c r="N83" t="s">
        <v>787</v>
      </c>
      <c r="P83" t="s">
        <v>982</v>
      </c>
      <c r="Q83" t="s">
        <v>163</v>
      </c>
      <c r="R83" t="s">
        <v>49</v>
      </c>
      <c r="S83" t="s">
        <v>898</v>
      </c>
      <c r="T83" t="s">
        <v>162</v>
      </c>
      <c r="U83" t="s">
        <v>1160</v>
      </c>
      <c r="V83" t="s">
        <v>876</v>
      </c>
      <c r="W83">
        <v>18512</v>
      </c>
      <c r="X83">
        <v>75</v>
      </c>
      <c r="Y83" t="s">
        <v>1161</v>
      </c>
      <c r="Z83" t="s">
        <v>1162</v>
      </c>
      <c r="AA83" t="s">
        <v>802</v>
      </c>
      <c r="AB83" t="s">
        <v>794</v>
      </c>
      <c r="AC83" t="s">
        <v>713</v>
      </c>
      <c r="AD83" t="s">
        <v>1163</v>
      </c>
      <c r="AE83" t="s">
        <v>1164</v>
      </c>
    </row>
    <row r="84" spans="1:36">
      <c r="A84">
        <v>82</v>
      </c>
      <c r="B84" t="s">
        <v>1159</v>
      </c>
      <c r="C84">
        <v>141</v>
      </c>
      <c r="D84" t="s">
        <v>1157</v>
      </c>
      <c r="E84" t="s">
        <v>1158</v>
      </c>
      <c r="F84" t="s">
        <v>1156</v>
      </c>
      <c r="G84" t="s">
        <v>162</v>
      </c>
      <c r="H84" t="s">
        <v>1156</v>
      </c>
      <c r="I84" t="s">
        <v>1156</v>
      </c>
      <c r="J84" t="s">
        <v>1159</v>
      </c>
      <c r="K84" t="s">
        <v>786</v>
      </c>
      <c r="N84" t="s">
        <v>787</v>
      </c>
      <c r="P84" t="s">
        <v>49</v>
      </c>
      <c r="Q84" t="s">
        <v>168</v>
      </c>
      <c r="R84" t="s">
        <v>62</v>
      </c>
      <c r="S84" t="s">
        <v>898</v>
      </c>
      <c r="T84" t="s">
        <v>181</v>
      </c>
      <c r="U84" t="s">
        <v>1165</v>
      </c>
      <c r="V84" t="s">
        <v>790</v>
      </c>
      <c r="W84">
        <v>19232</v>
      </c>
      <c r="X84">
        <v>73</v>
      </c>
      <c r="Y84" t="s">
        <v>1166</v>
      </c>
      <c r="Z84" t="s">
        <v>1167</v>
      </c>
      <c r="AA84" t="s">
        <v>802</v>
      </c>
      <c r="AB84" t="s">
        <v>794</v>
      </c>
      <c r="AC84" t="s">
        <v>713</v>
      </c>
      <c r="AD84" t="s">
        <v>1163</v>
      </c>
      <c r="AE84" t="s">
        <v>1164</v>
      </c>
    </row>
    <row r="85" spans="1:36">
      <c r="A85">
        <v>83</v>
      </c>
      <c r="B85" t="s">
        <v>1168</v>
      </c>
      <c r="C85">
        <v>143</v>
      </c>
      <c r="D85" t="s">
        <v>1157</v>
      </c>
      <c r="E85" t="s">
        <v>1158</v>
      </c>
      <c r="F85" t="s">
        <v>1156</v>
      </c>
      <c r="G85" t="s">
        <v>162</v>
      </c>
      <c r="H85" t="s">
        <v>1156</v>
      </c>
      <c r="I85" t="s">
        <v>1156</v>
      </c>
      <c r="J85" t="s">
        <v>1159</v>
      </c>
      <c r="K85" t="s">
        <v>786</v>
      </c>
      <c r="N85" t="s">
        <v>787</v>
      </c>
      <c r="P85" t="s">
        <v>49</v>
      </c>
      <c r="Q85" t="s">
        <v>168</v>
      </c>
      <c r="S85" t="s">
        <v>898</v>
      </c>
      <c r="T85" t="s">
        <v>171</v>
      </c>
      <c r="U85" t="s">
        <v>1169</v>
      </c>
      <c r="V85" t="s">
        <v>876</v>
      </c>
      <c r="W85">
        <v>19598</v>
      </c>
      <c r="X85">
        <v>72</v>
      </c>
      <c r="Y85" t="s">
        <v>1170</v>
      </c>
      <c r="Z85" t="s">
        <v>1171</v>
      </c>
      <c r="AA85" t="s">
        <v>802</v>
      </c>
      <c r="AB85" t="s">
        <v>794</v>
      </c>
      <c r="AC85" t="s">
        <v>713</v>
      </c>
      <c r="AD85" t="s">
        <v>1163</v>
      </c>
      <c r="AE85" t="s">
        <v>1172</v>
      </c>
    </row>
    <row r="86" spans="1:36">
      <c r="A86">
        <v>84</v>
      </c>
      <c r="B86" t="s">
        <v>1173</v>
      </c>
      <c r="C86">
        <v>145</v>
      </c>
      <c r="D86" t="s">
        <v>1157</v>
      </c>
      <c r="E86" t="s">
        <v>1158</v>
      </c>
      <c r="F86" t="s">
        <v>1156</v>
      </c>
      <c r="G86" t="s">
        <v>162</v>
      </c>
      <c r="H86" t="s">
        <v>1156</v>
      </c>
      <c r="I86" t="s">
        <v>1156</v>
      </c>
      <c r="J86" t="s">
        <v>1159</v>
      </c>
      <c r="K86" t="s">
        <v>786</v>
      </c>
      <c r="N86" t="s">
        <v>787</v>
      </c>
      <c r="P86" t="s">
        <v>49</v>
      </c>
      <c r="Q86" t="s">
        <v>168</v>
      </c>
      <c r="S86" t="s">
        <v>799</v>
      </c>
      <c r="T86" t="s">
        <v>169</v>
      </c>
      <c r="U86" t="s">
        <v>1174</v>
      </c>
      <c r="V86" t="s">
        <v>790</v>
      </c>
      <c r="W86">
        <v>31834</v>
      </c>
      <c r="X86">
        <v>38</v>
      </c>
      <c r="Y86" t="s">
        <v>1175</v>
      </c>
      <c r="Z86" t="s">
        <v>1176</v>
      </c>
      <c r="AA86" t="s">
        <v>802</v>
      </c>
      <c r="AB86" t="s">
        <v>794</v>
      </c>
      <c r="AC86" t="s">
        <v>713</v>
      </c>
      <c r="AD86" t="s">
        <v>1163</v>
      </c>
      <c r="AE86" t="s">
        <v>1177</v>
      </c>
      <c r="AJ86">
        <v>2500</v>
      </c>
    </row>
    <row r="87" spans="1:36">
      <c r="A87">
        <v>85</v>
      </c>
      <c r="B87" t="s">
        <v>1178</v>
      </c>
      <c r="C87">
        <v>147</v>
      </c>
      <c r="D87" t="s">
        <v>1157</v>
      </c>
      <c r="E87" t="s">
        <v>1158</v>
      </c>
      <c r="F87" t="s">
        <v>1156</v>
      </c>
      <c r="G87" t="s">
        <v>162</v>
      </c>
      <c r="H87" t="s">
        <v>1156</v>
      </c>
      <c r="I87" t="s">
        <v>1156</v>
      </c>
      <c r="J87" t="s">
        <v>1159</v>
      </c>
      <c r="K87" t="s">
        <v>786</v>
      </c>
      <c r="N87" t="s">
        <v>787</v>
      </c>
      <c r="P87" t="s">
        <v>163</v>
      </c>
      <c r="Q87" t="s">
        <v>500</v>
      </c>
      <c r="S87" t="s">
        <v>898</v>
      </c>
      <c r="T87" t="s">
        <v>243</v>
      </c>
      <c r="U87" t="s">
        <v>1179</v>
      </c>
      <c r="V87" t="s">
        <v>876</v>
      </c>
      <c r="W87">
        <v>20283</v>
      </c>
      <c r="X87">
        <v>70</v>
      </c>
      <c r="Y87" t="s">
        <v>1180</v>
      </c>
      <c r="Z87" t="s">
        <v>1181</v>
      </c>
      <c r="AA87" t="s">
        <v>802</v>
      </c>
      <c r="AB87" t="s">
        <v>794</v>
      </c>
      <c r="AC87" t="s">
        <v>713</v>
      </c>
      <c r="AD87" t="s">
        <v>1163</v>
      </c>
      <c r="AE87" t="s">
        <v>1164</v>
      </c>
    </row>
    <row r="88" spans="1:36">
      <c r="A88">
        <v>86</v>
      </c>
      <c r="B88" t="s">
        <v>1182</v>
      </c>
      <c r="C88">
        <v>149</v>
      </c>
      <c r="D88" t="s">
        <v>1157</v>
      </c>
      <c r="E88" t="s">
        <v>1158</v>
      </c>
      <c r="F88" t="s">
        <v>1156</v>
      </c>
      <c r="G88" t="s">
        <v>162</v>
      </c>
      <c r="H88" t="s">
        <v>1156</v>
      </c>
      <c r="I88" t="s">
        <v>1156</v>
      </c>
      <c r="J88" t="s">
        <v>1159</v>
      </c>
      <c r="K88" t="s">
        <v>786</v>
      </c>
      <c r="N88" t="s">
        <v>787</v>
      </c>
      <c r="P88" t="s">
        <v>163</v>
      </c>
      <c r="Q88" t="s">
        <v>500</v>
      </c>
      <c r="S88" t="s">
        <v>874</v>
      </c>
      <c r="T88" t="s">
        <v>260</v>
      </c>
      <c r="U88" t="s">
        <v>1183</v>
      </c>
      <c r="V88" t="s">
        <v>876</v>
      </c>
      <c r="W88">
        <v>29437</v>
      </c>
      <c r="X88">
        <v>45</v>
      </c>
      <c r="Y88" t="s">
        <v>1184</v>
      </c>
      <c r="Z88" t="s">
        <v>1185</v>
      </c>
      <c r="AA88" t="s">
        <v>802</v>
      </c>
      <c r="AB88" t="s">
        <v>794</v>
      </c>
      <c r="AC88" t="s">
        <v>713</v>
      </c>
      <c r="AD88" t="s">
        <v>1163</v>
      </c>
      <c r="AE88" t="s">
        <v>1172</v>
      </c>
    </row>
    <row r="89" spans="1:36">
      <c r="A89">
        <v>87</v>
      </c>
      <c r="B89" t="s">
        <v>1186</v>
      </c>
      <c r="C89">
        <v>151</v>
      </c>
      <c r="D89" t="s">
        <v>1157</v>
      </c>
      <c r="E89" t="s">
        <v>1158</v>
      </c>
      <c r="F89" t="s">
        <v>1156</v>
      </c>
      <c r="G89" t="s">
        <v>162</v>
      </c>
      <c r="H89" t="s">
        <v>1156</v>
      </c>
      <c r="I89" t="s">
        <v>1156</v>
      </c>
      <c r="J89" t="s">
        <v>1159</v>
      </c>
      <c r="K89" t="s">
        <v>786</v>
      </c>
      <c r="N89" t="s">
        <v>787</v>
      </c>
      <c r="P89" t="s">
        <v>49</v>
      </c>
      <c r="Q89" t="s">
        <v>168</v>
      </c>
      <c r="S89" t="s">
        <v>874</v>
      </c>
      <c r="T89" t="s">
        <v>275</v>
      </c>
      <c r="U89" t="s">
        <v>1187</v>
      </c>
      <c r="V89" t="s">
        <v>876</v>
      </c>
      <c r="W89">
        <v>29090</v>
      </c>
      <c r="X89">
        <v>46</v>
      </c>
      <c r="Y89" t="s">
        <v>1188</v>
      </c>
      <c r="Z89" t="s">
        <v>1189</v>
      </c>
      <c r="AA89" t="s">
        <v>802</v>
      </c>
      <c r="AB89" t="s">
        <v>794</v>
      </c>
      <c r="AC89" t="s">
        <v>713</v>
      </c>
      <c r="AD89" t="s">
        <v>1163</v>
      </c>
      <c r="AE89" t="s">
        <v>1172</v>
      </c>
    </row>
    <row r="90" spans="1:36">
      <c r="A90">
        <v>88</v>
      </c>
      <c r="B90" t="s">
        <v>1190</v>
      </c>
      <c r="C90">
        <v>153</v>
      </c>
      <c r="D90" t="s">
        <v>1157</v>
      </c>
      <c r="E90" t="s">
        <v>1158</v>
      </c>
      <c r="F90" t="s">
        <v>1156</v>
      </c>
      <c r="G90" t="s">
        <v>162</v>
      </c>
      <c r="H90" t="s">
        <v>1156</v>
      </c>
      <c r="I90" t="s">
        <v>1156</v>
      </c>
      <c r="J90" t="s">
        <v>1159</v>
      </c>
      <c r="K90" t="s">
        <v>786</v>
      </c>
      <c r="N90" t="s">
        <v>787</v>
      </c>
      <c r="P90" t="s">
        <v>49</v>
      </c>
      <c r="Q90" t="s">
        <v>168</v>
      </c>
      <c r="S90" t="s">
        <v>874</v>
      </c>
      <c r="T90" t="s">
        <v>286</v>
      </c>
      <c r="U90" t="s">
        <v>1191</v>
      </c>
      <c r="V90" t="s">
        <v>876</v>
      </c>
      <c r="W90">
        <v>24204</v>
      </c>
      <c r="X90">
        <v>59</v>
      </c>
      <c r="Y90" t="s">
        <v>1192</v>
      </c>
      <c r="Z90" t="s">
        <v>1193</v>
      </c>
      <c r="AA90" t="s">
        <v>802</v>
      </c>
      <c r="AB90" t="s">
        <v>794</v>
      </c>
      <c r="AC90" t="s">
        <v>713</v>
      </c>
      <c r="AD90" t="s">
        <v>1163</v>
      </c>
      <c r="AE90" t="s">
        <v>1164</v>
      </c>
    </row>
    <row r="91" spans="1:36">
      <c r="A91">
        <v>89</v>
      </c>
      <c r="B91" t="s">
        <v>1194</v>
      </c>
      <c r="C91">
        <v>155</v>
      </c>
      <c r="D91" t="s">
        <v>1157</v>
      </c>
      <c r="E91" t="s">
        <v>1158</v>
      </c>
      <c r="F91" t="s">
        <v>1156</v>
      </c>
      <c r="G91" t="s">
        <v>162</v>
      </c>
      <c r="H91" t="s">
        <v>1156</v>
      </c>
      <c r="I91" t="s">
        <v>1156</v>
      </c>
      <c r="J91" t="s">
        <v>1159</v>
      </c>
      <c r="K91" t="s">
        <v>786</v>
      </c>
      <c r="N91" t="s">
        <v>787</v>
      </c>
      <c r="P91" t="s">
        <v>49</v>
      </c>
      <c r="Q91" t="s">
        <v>168</v>
      </c>
      <c r="S91" t="s">
        <v>874</v>
      </c>
      <c r="T91" t="s">
        <v>294</v>
      </c>
      <c r="U91" t="s">
        <v>1195</v>
      </c>
      <c r="V91" t="s">
        <v>876</v>
      </c>
      <c r="W91">
        <v>25307</v>
      </c>
      <c r="X91">
        <v>56</v>
      </c>
      <c r="Y91" t="s">
        <v>1196</v>
      </c>
      <c r="Z91" t="s">
        <v>1197</v>
      </c>
      <c r="AA91" t="s">
        <v>802</v>
      </c>
      <c r="AB91" t="s">
        <v>794</v>
      </c>
      <c r="AC91" t="s">
        <v>713</v>
      </c>
      <c r="AD91" t="s">
        <v>1163</v>
      </c>
      <c r="AE91" t="s">
        <v>1164</v>
      </c>
    </row>
    <row r="92" spans="1:36">
      <c r="A92">
        <v>90</v>
      </c>
      <c r="B92" t="s">
        <v>1198</v>
      </c>
      <c r="C92">
        <v>157</v>
      </c>
      <c r="D92" t="s">
        <v>1157</v>
      </c>
      <c r="E92" t="s">
        <v>1158</v>
      </c>
      <c r="F92" t="s">
        <v>1156</v>
      </c>
      <c r="G92" t="s">
        <v>162</v>
      </c>
      <c r="H92" t="s">
        <v>1156</v>
      </c>
      <c r="I92" t="s">
        <v>1198</v>
      </c>
      <c r="J92" t="s">
        <v>1199</v>
      </c>
      <c r="N92" t="s">
        <v>828</v>
      </c>
      <c r="P92" t="s">
        <v>49</v>
      </c>
      <c r="Q92" t="s">
        <v>49</v>
      </c>
      <c r="S92" t="s">
        <v>898</v>
      </c>
      <c r="T92" t="s">
        <v>164</v>
      </c>
      <c r="U92" t="s">
        <v>1200</v>
      </c>
      <c r="V92" t="s">
        <v>876</v>
      </c>
      <c r="W92">
        <v>18745</v>
      </c>
      <c r="X92">
        <v>74</v>
      </c>
      <c r="Y92" t="s">
        <v>1201</v>
      </c>
      <c r="Z92" t="s">
        <v>1202</v>
      </c>
      <c r="AA92" t="s">
        <v>802</v>
      </c>
      <c r="AB92" t="s">
        <v>794</v>
      </c>
      <c r="AC92" t="s">
        <v>713</v>
      </c>
      <c r="AD92" t="s">
        <v>1163</v>
      </c>
      <c r="AE92" t="s">
        <v>1164</v>
      </c>
    </row>
    <row r="93" spans="1:36">
      <c r="A93">
        <v>91</v>
      </c>
      <c r="B93" t="s">
        <v>1199</v>
      </c>
      <c r="C93">
        <v>159</v>
      </c>
      <c r="D93" t="s">
        <v>1157</v>
      </c>
      <c r="E93" t="s">
        <v>1158</v>
      </c>
      <c r="F93" t="s">
        <v>1156</v>
      </c>
      <c r="G93" t="s">
        <v>162</v>
      </c>
      <c r="H93" t="s">
        <v>1156</v>
      </c>
      <c r="I93" t="s">
        <v>1198</v>
      </c>
      <c r="J93" t="s">
        <v>1199</v>
      </c>
      <c r="N93" t="s">
        <v>828</v>
      </c>
      <c r="P93" t="s">
        <v>62</v>
      </c>
      <c r="Q93" t="s">
        <v>62</v>
      </c>
      <c r="S93" t="s">
        <v>898</v>
      </c>
      <c r="T93" t="s">
        <v>183</v>
      </c>
      <c r="U93" t="s">
        <v>1203</v>
      </c>
      <c r="V93" t="s">
        <v>876</v>
      </c>
      <c r="W93">
        <v>18004</v>
      </c>
      <c r="X93">
        <v>76</v>
      </c>
      <c r="Y93" t="s">
        <v>1204</v>
      </c>
      <c r="Z93" t="s">
        <v>1205</v>
      </c>
      <c r="AA93" t="s">
        <v>802</v>
      </c>
      <c r="AB93" t="s">
        <v>794</v>
      </c>
      <c r="AC93" t="s">
        <v>713</v>
      </c>
      <c r="AD93" t="s">
        <v>1163</v>
      </c>
      <c r="AE93" t="s">
        <v>1172</v>
      </c>
    </row>
    <row r="94" spans="1:36">
      <c r="A94">
        <v>92</v>
      </c>
      <c r="B94" t="s">
        <v>1206</v>
      </c>
      <c r="C94">
        <v>161</v>
      </c>
      <c r="D94" t="s">
        <v>1157</v>
      </c>
      <c r="E94" t="s">
        <v>1158</v>
      </c>
      <c r="F94" t="s">
        <v>1156</v>
      </c>
      <c r="G94" t="s">
        <v>162</v>
      </c>
      <c r="H94" t="s">
        <v>1156</v>
      </c>
      <c r="I94" t="s">
        <v>1198</v>
      </c>
      <c r="J94" t="s">
        <v>1199</v>
      </c>
      <c r="N94" t="s">
        <v>828</v>
      </c>
      <c r="S94" t="s">
        <v>898</v>
      </c>
      <c r="T94" t="s">
        <v>202</v>
      </c>
      <c r="U94" t="s">
        <v>1207</v>
      </c>
      <c r="V94" t="s">
        <v>876</v>
      </c>
      <c r="W94">
        <v>19128</v>
      </c>
      <c r="X94">
        <v>73</v>
      </c>
      <c r="Y94" t="s">
        <v>1208</v>
      </c>
      <c r="Z94" t="s">
        <v>1209</v>
      </c>
      <c r="AA94" t="s">
        <v>802</v>
      </c>
      <c r="AB94" t="s">
        <v>794</v>
      </c>
      <c r="AC94" t="s">
        <v>713</v>
      </c>
      <c r="AD94" t="s">
        <v>1163</v>
      </c>
      <c r="AE94" t="s">
        <v>1172</v>
      </c>
    </row>
    <row r="95" spans="1:36">
      <c r="A95">
        <v>93</v>
      </c>
      <c r="B95" t="s">
        <v>1210</v>
      </c>
      <c r="C95">
        <v>163</v>
      </c>
      <c r="D95" t="s">
        <v>1157</v>
      </c>
      <c r="E95" t="s">
        <v>1158</v>
      </c>
      <c r="F95" t="s">
        <v>1156</v>
      </c>
      <c r="G95" t="s">
        <v>162</v>
      </c>
      <c r="H95" t="s">
        <v>1156</v>
      </c>
      <c r="I95" t="s">
        <v>1198</v>
      </c>
      <c r="J95" t="s">
        <v>1199</v>
      </c>
      <c r="N95" t="s">
        <v>828</v>
      </c>
      <c r="S95" t="s">
        <v>898</v>
      </c>
      <c r="T95" t="s">
        <v>224</v>
      </c>
      <c r="U95" t="s">
        <v>1211</v>
      </c>
      <c r="V95" t="s">
        <v>876</v>
      </c>
      <c r="W95">
        <v>18579</v>
      </c>
      <c r="X95">
        <v>75</v>
      </c>
      <c r="Y95" t="s">
        <v>1212</v>
      </c>
      <c r="Z95" t="s">
        <v>1213</v>
      </c>
      <c r="AA95" t="s">
        <v>802</v>
      </c>
      <c r="AB95" t="s">
        <v>794</v>
      </c>
      <c r="AC95" t="s">
        <v>713</v>
      </c>
      <c r="AD95" t="s">
        <v>1163</v>
      </c>
      <c r="AE95" t="s">
        <v>1172</v>
      </c>
    </row>
    <row r="96" spans="1:36">
      <c r="A96">
        <v>94</v>
      </c>
      <c r="B96" t="s">
        <v>1214</v>
      </c>
      <c r="C96">
        <v>165</v>
      </c>
      <c r="D96" t="s">
        <v>1157</v>
      </c>
      <c r="E96" t="s">
        <v>1158</v>
      </c>
      <c r="F96" t="s">
        <v>1156</v>
      </c>
      <c r="G96" t="s">
        <v>162</v>
      </c>
      <c r="H96" t="s">
        <v>1156</v>
      </c>
      <c r="I96" t="s">
        <v>1198</v>
      </c>
      <c r="J96" t="s">
        <v>1199</v>
      </c>
      <c r="N96" t="s">
        <v>828</v>
      </c>
      <c r="S96" t="s">
        <v>874</v>
      </c>
      <c r="T96" t="s">
        <v>244</v>
      </c>
      <c r="U96" t="s">
        <v>1215</v>
      </c>
      <c r="V96" t="s">
        <v>876</v>
      </c>
      <c r="W96">
        <v>20739</v>
      </c>
      <c r="X96">
        <v>69</v>
      </c>
      <c r="Y96" t="s">
        <v>1216</v>
      </c>
      <c r="Z96" t="s">
        <v>1217</v>
      </c>
      <c r="AA96" t="s">
        <v>802</v>
      </c>
      <c r="AB96" t="s">
        <v>794</v>
      </c>
      <c r="AC96" t="s">
        <v>713</v>
      </c>
      <c r="AD96" t="s">
        <v>1163</v>
      </c>
      <c r="AE96" t="s">
        <v>1172</v>
      </c>
    </row>
    <row r="97" spans="1:35">
      <c r="A97">
        <v>95</v>
      </c>
      <c r="B97" t="s">
        <v>1218</v>
      </c>
      <c r="C97">
        <v>167</v>
      </c>
      <c r="D97" t="s">
        <v>811</v>
      </c>
      <c r="E97" t="s">
        <v>1158</v>
      </c>
      <c r="F97" t="s">
        <v>1156</v>
      </c>
      <c r="G97" t="s">
        <v>162</v>
      </c>
      <c r="H97" t="s">
        <v>1156</v>
      </c>
      <c r="I97" t="s">
        <v>1198</v>
      </c>
      <c r="J97" t="s">
        <v>1199</v>
      </c>
      <c r="N97" t="s">
        <v>828</v>
      </c>
      <c r="S97" t="s">
        <v>898</v>
      </c>
      <c r="T97" t="s">
        <v>1219</v>
      </c>
      <c r="U97" t="s">
        <v>1220</v>
      </c>
      <c r="V97" t="s">
        <v>876</v>
      </c>
      <c r="W97">
        <v>17513</v>
      </c>
      <c r="X97">
        <v>78</v>
      </c>
      <c r="Y97" t="s">
        <v>1221</v>
      </c>
      <c r="Z97" t="s">
        <v>1222</v>
      </c>
      <c r="AA97" t="s">
        <v>842</v>
      </c>
      <c r="AB97" t="s">
        <v>843</v>
      </c>
      <c r="AC97" t="s">
        <v>713</v>
      </c>
      <c r="AD97" t="s">
        <v>713</v>
      </c>
      <c r="AE97" t="s">
        <v>1223</v>
      </c>
      <c r="AH97" t="s">
        <v>1224</v>
      </c>
    </row>
    <row r="98" spans="1:35">
      <c r="A98">
        <v>96</v>
      </c>
      <c r="B98" t="s">
        <v>1225</v>
      </c>
      <c r="C98">
        <v>169</v>
      </c>
      <c r="D98" t="s">
        <v>811</v>
      </c>
      <c r="E98" t="s">
        <v>1158</v>
      </c>
      <c r="F98" t="s">
        <v>1156</v>
      </c>
      <c r="G98" t="s">
        <v>162</v>
      </c>
      <c r="H98" t="s">
        <v>1156</v>
      </c>
      <c r="I98" t="s">
        <v>1198</v>
      </c>
      <c r="J98" t="s">
        <v>1199</v>
      </c>
      <c r="N98" t="s">
        <v>828</v>
      </c>
      <c r="S98" t="s">
        <v>874</v>
      </c>
      <c r="T98" t="s">
        <v>276</v>
      </c>
      <c r="U98" t="s">
        <v>1226</v>
      </c>
      <c r="V98" t="s">
        <v>876</v>
      </c>
      <c r="W98">
        <v>21846</v>
      </c>
      <c r="X98">
        <v>66</v>
      </c>
      <c r="Y98" t="s">
        <v>1227</v>
      </c>
      <c r="Z98" t="s">
        <v>1228</v>
      </c>
      <c r="AA98" t="s">
        <v>842</v>
      </c>
      <c r="AB98" t="s">
        <v>843</v>
      </c>
      <c r="AC98" t="s">
        <v>713</v>
      </c>
      <c r="AD98" t="s">
        <v>713</v>
      </c>
      <c r="AE98" t="s">
        <v>1229</v>
      </c>
      <c r="AH98" t="s">
        <v>1224</v>
      </c>
    </row>
    <row r="99" spans="1:35">
      <c r="A99">
        <v>97</v>
      </c>
      <c r="B99" t="s">
        <v>1230</v>
      </c>
      <c r="C99">
        <v>171</v>
      </c>
      <c r="D99" t="s">
        <v>1157</v>
      </c>
      <c r="E99" t="s">
        <v>1158</v>
      </c>
      <c r="F99" t="s">
        <v>1156</v>
      </c>
      <c r="G99" t="s">
        <v>162</v>
      </c>
      <c r="H99" t="s">
        <v>1156</v>
      </c>
      <c r="I99" t="s">
        <v>1230</v>
      </c>
      <c r="J99" t="s">
        <v>1231</v>
      </c>
      <c r="N99" t="s">
        <v>938</v>
      </c>
      <c r="P99" t="s">
        <v>49</v>
      </c>
      <c r="Q99" t="s">
        <v>49</v>
      </c>
      <c r="S99" t="s">
        <v>799</v>
      </c>
      <c r="T99" t="s">
        <v>165</v>
      </c>
      <c r="U99" t="s">
        <v>1232</v>
      </c>
      <c r="V99" t="s">
        <v>790</v>
      </c>
      <c r="W99">
        <v>27259</v>
      </c>
      <c r="X99">
        <v>51</v>
      </c>
      <c r="Y99" t="s">
        <v>1233</v>
      </c>
      <c r="Z99" t="s">
        <v>1234</v>
      </c>
      <c r="AA99" t="s">
        <v>802</v>
      </c>
      <c r="AB99" t="s">
        <v>794</v>
      </c>
      <c r="AC99" t="s">
        <v>713</v>
      </c>
      <c r="AD99" t="s">
        <v>1163</v>
      </c>
      <c r="AE99" t="s">
        <v>1172</v>
      </c>
    </row>
    <row r="100" spans="1:35">
      <c r="A100">
        <v>98</v>
      </c>
      <c r="B100" t="s">
        <v>1231</v>
      </c>
      <c r="C100">
        <v>173</v>
      </c>
      <c r="D100" t="s">
        <v>1157</v>
      </c>
      <c r="E100" t="s">
        <v>1158</v>
      </c>
      <c r="F100" t="s">
        <v>1156</v>
      </c>
      <c r="G100" t="s">
        <v>162</v>
      </c>
      <c r="H100" t="s">
        <v>1156</v>
      </c>
      <c r="I100" t="s">
        <v>1230</v>
      </c>
      <c r="J100" t="s">
        <v>1231</v>
      </c>
      <c r="N100" t="s">
        <v>938</v>
      </c>
      <c r="P100" t="s">
        <v>62</v>
      </c>
      <c r="Q100" t="s">
        <v>62</v>
      </c>
      <c r="S100" t="s">
        <v>788</v>
      </c>
      <c r="T100" t="s">
        <v>184</v>
      </c>
      <c r="U100" t="s">
        <v>1235</v>
      </c>
      <c r="V100" t="s">
        <v>790</v>
      </c>
      <c r="W100">
        <v>34694</v>
      </c>
      <c r="X100">
        <v>31</v>
      </c>
      <c r="Y100" t="s">
        <v>1236</v>
      </c>
      <c r="Z100" t="s">
        <v>1237</v>
      </c>
      <c r="AA100" t="s">
        <v>793</v>
      </c>
      <c r="AB100" t="s">
        <v>794</v>
      </c>
      <c r="AC100" t="s">
        <v>815</v>
      </c>
      <c r="AD100" t="s">
        <v>1163</v>
      </c>
      <c r="AE100" t="s">
        <v>1172</v>
      </c>
    </row>
    <row r="101" spans="1:35">
      <c r="A101">
        <v>99</v>
      </c>
      <c r="B101" t="s">
        <v>1238</v>
      </c>
      <c r="C101">
        <v>175</v>
      </c>
      <c r="D101" t="s">
        <v>1157</v>
      </c>
      <c r="E101" t="s">
        <v>1158</v>
      </c>
      <c r="F101" t="s">
        <v>1156</v>
      </c>
      <c r="G101" t="s">
        <v>162</v>
      </c>
      <c r="H101" t="s">
        <v>1156</v>
      </c>
      <c r="I101" t="s">
        <v>1230</v>
      </c>
      <c r="J101" t="s">
        <v>1231</v>
      </c>
      <c r="N101" t="s">
        <v>938</v>
      </c>
      <c r="S101" t="s">
        <v>898</v>
      </c>
      <c r="T101" t="s">
        <v>203</v>
      </c>
      <c r="U101" t="s">
        <v>1239</v>
      </c>
      <c r="V101" t="s">
        <v>790</v>
      </c>
      <c r="W101">
        <v>19028</v>
      </c>
      <c r="X101">
        <v>73</v>
      </c>
      <c r="Y101" t="s">
        <v>1240</v>
      </c>
      <c r="Z101" t="s">
        <v>1241</v>
      </c>
      <c r="AA101" t="s">
        <v>802</v>
      </c>
      <c r="AB101" t="s">
        <v>794</v>
      </c>
      <c r="AC101" t="s">
        <v>713</v>
      </c>
      <c r="AD101" t="s">
        <v>1163</v>
      </c>
      <c r="AE101" t="s">
        <v>1164</v>
      </c>
    </row>
    <row r="102" spans="1:35">
      <c r="A102">
        <v>100</v>
      </c>
      <c r="B102" t="s">
        <v>1242</v>
      </c>
      <c r="C102">
        <v>177</v>
      </c>
      <c r="D102" t="s">
        <v>1157</v>
      </c>
      <c r="E102" t="s">
        <v>1158</v>
      </c>
      <c r="F102" t="s">
        <v>1156</v>
      </c>
      <c r="G102" t="s">
        <v>162</v>
      </c>
      <c r="H102" t="s">
        <v>1156</v>
      </c>
      <c r="I102" t="s">
        <v>1230</v>
      </c>
      <c r="J102" t="s">
        <v>1231</v>
      </c>
      <c r="N102" t="s">
        <v>938</v>
      </c>
      <c r="S102" t="s">
        <v>799</v>
      </c>
      <c r="T102" t="s">
        <v>225</v>
      </c>
      <c r="U102" t="s">
        <v>1243</v>
      </c>
      <c r="V102" t="s">
        <v>790</v>
      </c>
      <c r="W102">
        <v>28966</v>
      </c>
      <c r="X102">
        <v>46</v>
      </c>
      <c r="Y102" t="s">
        <v>1244</v>
      </c>
      <c r="Z102" t="s">
        <v>1245</v>
      </c>
      <c r="AA102" t="s">
        <v>842</v>
      </c>
      <c r="AB102" t="s">
        <v>794</v>
      </c>
      <c r="AC102" t="s">
        <v>815</v>
      </c>
      <c r="AD102" t="s">
        <v>1163</v>
      </c>
      <c r="AE102" t="s">
        <v>1172</v>
      </c>
    </row>
    <row r="103" spans="1:35">
      <c r="A103">
        <v>101</v>
      </c>
      <c r="B103" t="s">
        <v>1246</v>
      </c>
      <c r="C103">
        <v>179</v>
      </c>
      <c r="D103" t="s">
        <v>1157</v>
      </c>
      <c r="E103" t="s">
        <v>1158</v>
      </c>
      <c r="F103" t="s">
        <v>1156</v>
      </c>
      <c r="G103" t="s">
        <v>162</v>
      </c>
      <c r="H103" t="s">
        <v>1156</v>
      </c>
      <c r="I103" t="s">
        <v>1230</v>
      </c>
      <c r="J103" t="s">
        <v>1231</v>
      </c>
      <c r="N103" t="s">
        <v>938</v>
      </c>
      <c r="S103" t="s">
        <v>799</v>
      </c>
      <c r="T103" t="s">
        <v>245</v>
      </c>
      <c r="U103" t="s">
        <v>1247</v>
      </c>
      <c r="V103" t="s">
        <v>790</v>
      </c>
      <c r="W103">
        <v>30074</v>
      </c>
      <c r="X103">
        <v>43</v>
      </c>
      <c r="Y103" t="s">
        <v>1248</v>
      </c>
      <c r="Z103" t="s">
        <v>1249</v>
      </c>
      <c r="AA103" t="s">
        <v>802</v>
      </c>
      <c r="AB103" t="s">
        <v>794</v>
      </c>
      <c r="AC103" t="s">
        <v>713</v>
      </c>
      <c r="AD103" t="s">
        <v>1163</v>
      </c>
      <c r="AE103" t="s">
        <v>1250</v>
      </c>
      <c r="AH103" t="s">
        <v>867</v>
      </c>
    </row>
    <row r="104" spans="1:35">
      <c r="A104">
        <v>102</v>
      </c>
      <c r="B104" t="s">
        <v>1251</v>
      </c>
      <c r="C104">
        <v>181</v>
      </c>
      <c r="D104" t="s">
        <v>1157</v>
      </c>
      <c r="E104" t="s">
        <v>1158</v>
      </c>
      <c r="F104" t="s">
        <v>1156</v>
      </c>
      <c r="G104" t="s">
        <v>162</v>
      </c>
      <c r="H104" t="s">
        <v>1156</v>
      </c>
      <c r="I104" t="s">
        <v>1230</v>
      </c>
      <c r="J104" t="s">
        <v>1231</v>
      </c>
      <c r="N104" t="s">
        <v>938</v>
      </c>
      <c r="S104" t="s">
        <v>799</v>
      </c>
      <c r="T104" t="s">
        <v>1252</v>
      </c>
      <c r="U104" t="s">
        <v>1253</v>
      </c>
      <c r="V104" t="s">
        <v>790</v>
      </c>
      <c r="W104">
        <v>33779</v>
      </c>
      <c r="X104">
        <v>33</v>
      </c>
      <c r="Y104" t="s">
        <v>1254</v>
      </c>
      <c r="Z104" t="s">
        <v>1255</v>
      </c>
      <c r="AA104" t="s">
        <v>842</v>
      </c>
      <c r="AB104" t="s">
        <v>851</v>
      </c>
      <c r="AC104" t="s">
        <v>1256</v>
      </c>
      <c r="AD104" t="s">
        <v>1256</v>
      </c>
      <c r="AE104" t="s">
        <v>1257</v>
      </c>
      <c r="AH104" t="s">
        <v>867</v>
      </c>
    </row>
    <row r="105" spans="1:35">
      <c r="A105">
        <v>103</v>
      </c>
      <c r="B105" t="s">
        <v>1258</v>
      </c>
      <c r="C105">
        <v>183</v>
      </c>
      <c r="D105" t="s">
        <v>1157</v>
      </c>
      <c r="E105" t="s">
        <v>1158</v>
      </c>
      <c r="F105" t="s">
        <v>1156</v>
      </c>
      <c r="G105" t="s">
        <v>162</v>
      </c>
      <c r="H105" t="s">
        <v>1156</v>
      </c>
      <c r="I105" t="s">
        <v>1258</v>
      </c>
      <c r="J105" t="s">
        <v>1259</v>
      </c>
      <c r="K105" t="s">
        <v>1260</v>
      </c>
      <c r="N105" t="s">
        <v>978</v>
      </c>
      <c r="P105" t="s">
        <v>49</v>
      </c>
      <c r="Q105" t="s">
        <v>49</v>
      </c>
      <c r="S105" t="s">
        <v>874</v>
      </c>
      <c r="T105" t="s">
        <v>166</v>
      </c>
      <c r="U105" t="s">
        <v>1261</v>
      </c>
      <c r="V105" t="s">
        <v>876</v>
      </c>
      <c r="W105">
        <v>21384</v>
      </c>
      <c r="X105">
        <v>67</v>
      </c>
      <c r="Y105" t="s">
        <v>1262</v>
      </c>
      <c r="Z105" t="s">
        <v>1263</v>
      </c>
      <c r="AA105" t="s">
        <v>802</v>
      </c>
      <c r="AB105" t="s">
        <v>794</v>
      </c>
      <c r="AC105" t="s">
        <v>713</v>
      </c>
      <c r="AD105" t="s">
        <v>1163</v>
      </c>
      <c r="AE105" t="s">
        <v>1172</v>
      </c>
    </row>
    <row r="106" spans="1:35">
      <c r="A106">
        <v>104</v>
      </c>
      <c r="B106" t="s">
        <v>1259</v>
      </c>
      <c r="C106">
        <v>185</v>
      </c>
      <c r="D106" t="s">
        <v>1157</v>
      </c>
      <c r="E106" t="s">
        <v>1158</v>
      </c>
      <c r="F106" t="s">
        <v>1156</v>
      </c>
      <c r="G106" t="s">
        <v>162</v>
      </c>
      <c r="H106" t="s">
        <v>1156</v>
      </c>
      <c r="I106" t="s">
        <v>1258</v>
      </c>
      <c r="J106" t="s">
        <v>1259</v>
      </c>
      <c r="K106" t="s">
        <v>1260</v>
      </c>
      <c r="N106" t="s">
        <v>978</v>
      </c>
      <c r="P106" t="s">
        <v>62</v>
      </c>
      <c r="Q106" t="s">
        <v>548</v>
      </c>
      <c r="S106" t="s">
        <v>874</v>
      </c>
      <c r="T106" t="s">
        <v>185</v>
      </c>
      <c r="U106" t="s">
        <v>1264</v>
      </c>
      <c r="V106" t="s">
        <v>876</v>
      </c>
      <c r="W106">
        <v>28476</v>
      </c>
      <c r="X106">
        <v>48</v>
      </c>
      <c r="Y106" t="s">
        <v>1265</v>
      </c>
      <c r="Z106" t="s">
        <v>1266</v>
      </c>
      <c r="AA106" t="s">
        <v>802</v>
      </c>
      <c r="AB106" t="s">
        <v>794</v>
      </c>
      <c r="AC106" t="s">
        <v>815</v>
      </c>
      <c r="AD106" t="s">
        <v>1267</v>
      </c>
      <c r="AE106" t="s">
        <v>1268</v>
      </c>
    </row>
    <row r="107" spans="1:35">
      <c r="A107">
        <v>106</v>
      </c>
      <c r="B107" t="s">
        <v>1260</v>
      </c>
      <c r="C107">
        <v>187</v>
      </c>
      <c r="D107" t="s">
        <v>1157</v>
      </c>
      <c r="E107" t="s">
        <v>1158</v>
      </c>
      <c r="F107" t="s">
        <v>1156</v>
      </c>
      <c r="G107" t="s">
        <v>162</v>
      </c>
      <c r="H107" t="s">
        <v>1156</v>
      </c>
      <c r="I107" t="s">
        <v>1258</v>
      </c>
      <c r="J107" t="s">
        <v>1259</v>
      </c>
      <c r="K107" t="s">
        <v>1260</v>
      </c>
      <c r="N107" t="s">
        <v>978</v>
      </c>
      <c r="P107" t="s">
        <v>62</v>
      </c>
      <c r="Q107" t="s">
        <v>62</v>
      </c>
      <c r="S107" t="s">
        <v>874</v>
      </c>
      <c r="T107" t="s">
        <v>226</v>
      </c>
      <c r="U107" t="s">
        <v>1269</v>
      </c>
      <c r="V107" t="s">
        <v>876</v>
      </c>
      <c r="W107">
        <v>28476</v>
      </c>
      <c r="X107">
        <v>48</v>
      </c>
      <c r="Y107" t="s">
        <v>1270</v>
      </c>
      <c r="Z107" t="s">
        <v>1271</v>
      </c>
      <c r="AA107" t="s">
        <v>802</v>
      </c>
      <c r="AB107" t="s">
        <v>794</v>
      </c>
      <c r="AC107" t="s">
        <v>815</v>
      </c>
      <c r="AD107" t="s">
        <v>1272</v>
      </c>
      <c r="AE107" t="s">
        <v>1273</v>
      </c>
    </row>
    <row r="108" spans="1:35">
      <c r="A108">
        <v>105</v>
      </c>
      <c r="B108" t="s">
        <v>1274</v>
      </c>
      <c r="C108">
        <v>189</v>
      </c>
      <c r="D108" t="s">
        <v>1157</v>
      </c>
      <c r="E108" t="s">
        <v>1158</v>
      </c>
      <c r="F108" t="s">
        <v>1156</v>
      </c>
      <c r="G108" t="s">
        <v>162</v>
      </c>
      <c r="H108" t="s">
        <v>1156</v>
      </c>
      <c r="I108" t="s">
        <v>1258</v>
      </c>
      <c r="J108" t="s">
        <v>1259</v>
      </c>
      <c r="K108" t="s">
        <v>1260</v>
      </c>
      <c r="N108" t="s">
        <v>978</v>
      </c>
      <c r="S108" t="s">
        <v>898</v>
      </c>
      <c r="T108" t="s">
        <v>204</v>
      </c>
      <c r="U108" t="s">
        <v>1275</v>
      </c>
      <c r="V108" t="s">
        <v>876</v>
      </c>
      <c r="W108">
        <v>18355</v>
      </c>
      <c r="X108">
        <v>75</v>
      </c>
      <c r="Y108" t="s">
        <v>1276</v>
      </c>
      <c r="Z108" t="s">
        <v>1277</v>
      </c>
      <c r="AA108" t="s">
        <v>802</v>
      </c>
      <c r="AB108" t="s">
        <v>794</v>
      </c>
      <c r="AC108" t="s">
        <v>713</v>
      </c>
      <c r="AD108" t="s">
        <v>1163</v>
      </c>
      <c r="AE108" t="s">
        <v>1172</v>
      </c>
    </row>
    <row r="109" spans="1:35">
      <c r="A109">
        <v>107</v>
      </c>
      <c r="B109" t="s">
        <v>1278</v>
      </c>
      <c r="C109">
        <v>191</v>
      </c>
      <c r="D109" t="s">
        <v>1157</v>
      </c>
      <c r="E109" t="s">
        <v>1158</v>
      </c>
      <c r="F109" t="s">
        <v>1156</v>
      </c>
      <c r="G109" t="s">
        <v>162</v>
      </c>
      <c r="H109" t="s">
        <v>1156</v>
      </c>
      <c r="I109" t="s">
        <v>1258</v>
      </c>
      <c r="J109" t="s">
        <v>1259</v>
      </c>
      <c r="K109" t="s">
        <v>1260</v>
      </c>
      <c r="N109" t="s">
        <v>978</v>
      </c>
      <c r="S109" t="s">
        <v>788</v>
      </c>
      <c r="T109" t="s">
        <v>1279</v>
      </c>
      <c r="U109" t="s">
        <v>1280</v>
      </c>
      <c r="V109" t="s">
        <v>876</v>
      </c>
      <c r="W109">
        <v>32287</v>
      </c>
      <c r="X109">
        <v>37</v>
      </c>
      <c r="Y109" t="s">
        <v>1281</v>
      </c>
      <c r="AA109" t="s">
        <v>842</v>
      </c>
      <c r="AB109" t="s">
        <v>843</v>
      </c>
      <c r="AC109" t="s">
        <v>815</v>
      </c>
      <c r="AD109" t="s">
        <v>815</v>
      </c>
      <c r="AE109" t="s">
        <v>1282</v>
      </c>
      <c r="AG109" t="s">
        <v>1283</v>
      </c>
      <c r="AI109" t="s">
        <v>1284</v>
      </c>
    </row>
    <row r="110" spans="1:35">
      <c r="A110">
        <v>108</v>
      </c>
      <c r="B110" t="s">
        <v>1285</v>
      </c>
      <c r="C110">
        <v>193</v>
      </c>
      <c r="D110" t="s">
        <v>981</v>
      </c>
      <c r="E110" t="s">
        <v>1158</v>
      </c>
      <c r="F110" t="s">
        <v>1156</v>
      </c>
      <c r="G110" t="s">
        <v>162</v>
      </c>
      <c r="H110" t="s">
        <v>1156</v>
      </c>
      <c r="I110" t="s">
        <v>1285</v>
      </c>
      <c r="N110" t="s">
        <v>1011</v>
      </c>
      <c r="O110" t="s">
        <v>308</v>
      </c>
      <c r="P110" t="s">
        <v>62</v>
      </c>
      <c r="Q110" t="s">
        <v>49</v>
      </c>
      <c r="S110" t="s">
        <v>874</v>
      </c>
      <c r="T110" t="s">
        <v>205</v>
      </c>
      <c r="U110" t="s">
        <v>1286</v>
      </c>
      <c r="V110" t="s">
        <v>876</v>
      </c>
      <c r="W110">
        <v>27696</v>
      </c>
      <c r="X110">
        <v>50</v>
      </c>
      <c r="Y110" t="s">
        <v>1287</v>
      </c>
      <c r="Z110" t="s">
        <v>1288</v>
      </c>
      <c r="AA110" t="s">
        <v>842</v>
      </c>
      <c r="AB110" t="s">
        <v>851</v>
      </c>
      <c r="AC110" t="s">
        <v>815</v>
      </c>
      <c r="AD110" t="s">
        <v>1289</v>
      </c>
      <c r="AE110" t="s">
        <v>1290</v>
      </c>
      <c r="AH110" t="s">
        <v>971</v>
      </c>
    </row>
    <row r="111" spans="1:35">
      <c r="A111">
        <v>109</v>
      </c>
      <c r="B111" t="s">
        <v>1291</v>
      </c>
      <c r="C111">
        <v>194</v>
      </c>
      <c r="D111" t="s">
        <v>811</v>
      </c>
      <c r="E111" t="s">
        <v>1158</v>
      </c>
      <c r="F111" t="s">
        <v>1156</v>
      </c>
      <c r="G111" t="s">
        <v>162</v>
      </c>
      <c r="H111" t="s">
        <v>1156</v>
      </c>
      <c r="I111" t="s">
        <v>1285</v>
      </c>
      <c r="N111" t="s">
        <v>1011</v>
      </c>
      <c r="O111" t="s">
        <v>308</v>
      </c>
      <c r="S111" t="s">
        <v>874</v>
      </c>
      <c r="T111" t="s">
        <v>715</v>
      </c>
      <c r="U111" t="s">
        <v>1292</v>
      </c>
      <c r="V111" t="s">
        <v>876</v>
      </c>
      <c r="W111">
        <v>21195</v>
      </c>
      <c r="X111">
        <v>68</v>
      </c>
      <c r="Y111" t="s">
        <v>1293</v>
      </c>
      <c r="AA111" t="s">
        <v>842</v>
      </c>
      <c r="AB111" t="s">
        <v>843</v>
      </c>
      <c r="AC111" t="s">
        <v>713</v>
      </c>
      <c r="AD111" t="s">
        <v>713</v>
      </c>
      <c r="AE111" t="s">
        <v>1294</v>
      </c>
      <c r="AH111" t="s">
        <v>1295</v>
      </c>
    </row>
    <row r="112" spans="1:35">
      <c r="A112">
        <v>110</v>
      </c>
      <c r="B112" t="s">
        <v>1296</v>
      </c>
      <c r="C112">
        <v>196</v>
      </c>
      <c r="D112" t="s">
        <v>811</v>
      </c>
      <c r="E112" t="s">
        <v>1158</v>
      </c>
      <c r="F112" t="s">
        <v>1156</v>
      </c>
      <c r="G112" t="s">
        <v>162</v>
      </c>
      <c r="H112" t="s">
        <v>1156</v>
      </c>
      <c r="I112" t="s">
        <v>1285</v>
      </c>
      <c r="N112" t="s">
        <v>1011</v>
      </c>
      <c r="O112" t="s">
        <v>308</v>
      </c>
      <c r="S112" t="s">
        <v>874</v>
      </c>
      <c r="T112" t="s">
        <v>716</v>
      </c>
      <c r="U112" t="s">
        <v>1297</v>
      </c>
      <c r="V112" t="s">
        <v>876</v>
      </c>
      <c r="W112">
        <v>23137</v>
      </c>
      <c r="X112">
        <v>62</v>
      </c>
      <c r="Y112" t="s">
        <v>1298</v>
      </c>
      <c r="AA112" t="s">
        <v>842</v>
      </c>
      <c r="AB112" t="s">
        <v>843</v>
      </c>
      <c r="AC112" t="s">
        <v>713</v>
      </c>
      <c r="AD112" t="s">
        <v>713</v>
      </c>
      <c r="AE112" t="s">
        <v>1299</v>
      </c>
      <c r="AH112" t="s">
        <v>1295</v>
      </c>
    </row>
    <row r="113" spans="1:34">
      <c r="A113">
        <v>111</v>
      </c>
      <c r="B113" t="s">
        <v>1300</v>
      </c>
      <c r="C113">
        <v>198</v>
      </c>
      <c r="D113" t="s">
        <v>811</v>
      </c>
      <c r="E113" t="s">
        <v>1158</v>
      </c>
      <c r="F113" t="s">
        <v>1156</v>
      </c>
      <c r="G113" t="s">
        <v>162</v>
      </c>
      <c r="H113" t="s">
        <v>1156</v>
      </c>
      <c r="I113" t="s">
        <v>1285</v>
      </c>
      <c r="N113" t="s">
        <v>1011</v>
      </c>
      <c r="O113" t="s">
        <v>308</v>
      </c>
      <c r="S113" t="s">
        <v>874</v>
      </c>
      <c r="T113" t="s">
        <v>717</v>
      </c>
      <c r="U113" t="s">
        <v>1301</v>
      </c>
      <c r="V113" t="s">
        <v>876</v>
      </c>
      <c r="W113">
        <v>24001</v>
      </c>
      <c r="X113">
        <v>60</v>
      </c>
      <c r="Y113" t="s">
        <v>1302</v>
      </c>
      <c r="AA113" t="s">
        <v>842</v>
      </c>
      <c r="AB113" t="s">
        <v>843</v>
      </c>
      <c r="AC113" t="s">
        <v>713</v>
      </c>
      <c r="AD113" t="s">
        <v>713</v>
      </c>
      <c r="AE113" t="s">
        <v>1303</v>
      </c>
      <c r="AH113" t="s">
        <v>1295</v>
      </c>
    </row>
    <row r="114" spans="1:34">
      <c r="A114">
        <v>112</v>
      </c>
      <c r="B114" t="s">
        <v>1304</v>
      </c>
      <c r="C114">
        <v>199</v>
      </c>
      <c r="D114" t="s">
        <v>811</v>
      </c>
      <c r="E114" t="s">
        <v>1158</v>
      </c>
      <c r="F114" t="s">
        <v>1156</v>
      </c>
      <c r="G114" t="s">
        <v>162</v>
      </c>
      <c r="H114" t="s">
        <v>1156</v>
      </c>
      <c r="I114" t="s">
        <v>1285</v>
      </c>
      <c r="N114" t="s">
        <v>1011</v>
      </c>
      <c r="O114" t="s">
        <v>308</v>
      </c>
      <c r="S114" t="s">
        <v>874</v>
      </c>
      <c r="T114" t="s">
        <v>718</v>
      </c>
      <c r="U114" t="s">
        <v>1305</v>
      </c>
      <c r="V114" t="s">
        <v>876</v>
      </c>
      <c r="W114">
        <v>25944</v>
      </c>
      <c r="X114">
        <v>55</v>
      </c>
      <c r="Y114" t="s">
        <v>1306</v>
      </c>
      <c r="AA114" t="s">
        <v>842</v>
      </c>
      <c r="AB114" t="s">
        <v>843</v>
      </c>
      <c r="AC114" t="s">
        <v>713</v>
      </c>
      <c r="AD114" t="s">
        <v>713</v>
      </c>
      <c r="AE114" t="s">
        <v>1307</v>
      </c>
      <c r="AH114" t="s">
        <v>1295</v>
      </c>
    </row>
    <row r="115" spans="1:34">
      <c r="A115">
        <v>113</v>
      </c>
      <c r="B115" t="s">
        <v>1156</v>
      </c>
      <c r="C115">
        <v>201</v>
      </c>
      <c r="E115" t="s">
        <v>1158</v>
      </c>
      <c r="F115" t="s">
        <v>1156</v>
      </c>
      <c r="G115" t="s">
        <v>162</v>
      </c>
      <c r="H115" t="s">
        <v>1156</v>
      </c>
      <c r="N115" t="s">
        <v>1041</v>
      </c>
      <c r="O115" t="s">
        <v>1308</v>
      </c>
      <c r="P115" t="s">
        <v>49</v>
      </c>
      <c r="Q115" t="s">
        <v>163</v>
      </c>
      <c r="R115" t="s">
        <v>49</v>
      </c>
      <c r="T115" t="s">
        <v>162</v>
      </c>
      <c r="U115" t="s">
        <v>1160</v>
      </c>
      <c r="V115" t="s">
        <v>876</v>
      </c>
      <c r="W115">
        <v>18512</v>
      </c>
      <c r="X115">
        <v>75</v>
      </c>
      <c r="Y115" t="s">
        <v>1161</v>
      </c>
      <c r="AA115" t="s">
        <v>802</v>
      </c>
      <c r="AB115" t="s">
        <v>794</v>
      </c>
      <c r="AC115" t="s">
        <v>713</v>
      </c>
      <c r="AD115" t="s">
        <v>1163</v>
      </c>
      <c r="AE115" t="s">
        <v>1164</v>
      </c>
      <c r="AF115" t="s">
        <v>872</v>
      </c>
    </row>
    <row r="116" spans="1:34">
      <c r="A116">
        <v>114</v>
      </c>
      <c r="B116" t="s">
        <v>1309</v>
      </c>
      <c r="C116">
        <v>203</v>
      </c>
      <c r="D116" t="s">
        <v>1310</v>
      </c>
      <c r="E116" t="s">
        <v>1158</v>
      </c>
      <c r="F116" t="s">
        <v>1156</v>
      </c>
      <c r="G116" t="s">
        <v>162</v>
      </c>
      <c r="H116" t="s">
        <v>1156</v>
      </c>
      <c r="I116" t="s">
        <v>1156</v>
      </c>
      <c r="J116" t="s">
        <v>786</v>
      </c>
      <c r="N116" t="s">
        <v>1041</v>
      </c>
      <c r="O116" t="s">
        <v>308</v>
      </c>
      <c r="S116" t="s">
        <v>874</v>
      </c>
      <c r="T116" t="s">
        <v>186</v>
      </c>
      <c r="U116" t="s">
        <v>1311</v>
      </c>
      <c r="V116" t="s">
        <v>876</v>
      </c>
      <c r="W116">
        <v>22348</v>
      </c>
      <c r="X116">
        <v>64</v>
      </c>
      <c r="Y116" t="s">
        <v>1312</v>
      </c>
      <c r="AA116" t="s">
        <v>842</v>
      </c>
      <c r="AB116" t="s">
        <v>843</v>
      </c>
      <c r="AC116" t="s">
        <v>713</v>
      </c>
      <c r="AD116" t="s">
        <v>713</v>
      </c>
      <c r="AE116" t="s">
        <v>1313</v>
      </c>
      <c r="AH116" t="s">
        <v>971</v>
      </c>
    </row>
    <row r="117" spans="1:34">
      <c r="A117">
        <v>115</v>
      </c>
      <c r="B117" t="s">
        <v>1314</v>
      </c>
      <c r="C117">
        <v>205</v>
      </c>
      <c r="D117" t="s">
        <v>1310</v>
      </c>
      <c r="E117" t="s">
        <v>1158</v>
      </c>
      <c r="F117" t="s">
        <v>1156</v>
      </c>
      <c r="G117" t="s">
        <v>162</v>
      </c>
      <c r="H117" t="s">
        <v>1156</v>
      </c>
      <c r="I117" t="s">
        <v>1156</v>
      </c>
      <c r="J117" t="s">
        <v>786</v>
      </c>
      <c r="N117" t="s">
        <v>1041</v>
      </c>
      <c r="O117" t="s">
        <v>308</v>
      </c>
      <c r="S117" t="s">
        <v>874</v>
      </c>
      <c r="T117" t="s">
        <v>1315</v>
      </c>
      <c r="U117" t="s">
        <v>1316</v>
      </c>
      <c r="V117" t="s">
        <v>876</v>
      </c>
      <c r="W117">
        <v>25612</v>
      </c>
      <c r="X117">
        <v>55</v>
      </c>
      <c r="Y117" t="s">
        <v>1317</v>
      </c>
      <c r="AA117" t="s">
        <v>842</v>
      </c>
      <c r="AB117" t="s">
        <v>843</v>
      </c>
      <c r="AC117" t="s">
        <v>713</v>
      </c>
      <c r="AD117" t="s">
        <v>713</v>
      </c>
      <c r="AE117" t="s">
        <v>1313</v>
      </c>
      <c r="AH117" t="s">
        <v>971</v>
      </c>
    </row>
    <row r="118" spans="1:34">
      <c r="A118">
        <v>116</v>
      </c>
      <c r="B118" t="s">
        <v>1182</v>
      </c>
      <c r="C118">
        <v>207</v>
      </c>
      <c r="E118" t="s">
        <v>1318</v>
      </c>
      <c r="F118" t="s">
        <v>1156</v>
      </c>
      <c r="G118" t="s">
        <v>260</v>
      </c>
      <c r="H118" t="s">
        <v>1182</v>
      </c>
      <c r="I118" t="s">
        <v>1182</v>
      </c>
      <c r="J118" t="s">
        <v>1319</v>
      </c>
      <c r="K118" t="s">
        <v>1320</v>
      </c>
      <c r="N118" t="s">
        <v>787</v>
      </c>
      <c r="P118" t="s">
        <v>163</v>
      </c>
      <c r="Q118" t="s">
        <v>500</v>
      </c>
      <c r="R118" t="s">
        <v>49</v>
      </c>
      <c r="T118" t="s">
        <v>260</v>
      </c>
      <c r="U118" t="s">
        <v>1183</v>
      </c>
      <c r="V118" t="s">
        <v>876</v>
      </c>
      <c r="W118">
        <v>29437</v>
      </c>
      <c r="X118">
        <v>45</v>
      </c>
      <c r="Y118" t="s">
        <v>1184</v>
      </c>
      <c r="AA118" t="s">
        <v>802</v>
      </c>
      <c r="AB118" t="s">
        <v>794</v>
      </c>
      <c r="AC118" t="s">
        <v>713</v>
      </c>
      <c r="AD118" t="s">
        <v>1163</v>
      </c>
      <c r="AE118" t="s">
        <v>1172</v>
      </c>
      <c r="AF118" t="s">
        <v>872</v>
      </c>
    </row>
    <row r="119" spans="1:34">
      <c r="A119">
        <v>117</v>
      </c>
      <c r="B119" t="s">
        <v>1319</v>
      </c>
      <c r="C119">
        <v>209</v>
      </c>
      <c r="D119" t="s">
        <v>1157</v>
      </c>
      <c r="E119" t="s">
        <v>1318</v>
      </c>
      <c r="F119" t="s">
        <v>1156</v>
      </c>
      <c r="G119" t="s">
        <v>260</v>
      </c>
      <c r="H119" t="s">
        <v>1182</v>
      </c>
      <c r="I119" t="s">
        <v>1182</v>
      </c>
      <c r="J119" t="s">
        <v>1319</v>
      </c>
      <c r="K119" t="s">
        <v>1320</v>
      </c>
      <c r="N119" t="s">
        <v>787</v>
      </c>
      <c r="P119" t="s">
        <v>62</v>
      </c>
      <c r="Q119" t="s">
        <v>548</v>
      </c>
      <c r="S119" t="s">
        <v>788</v>
      </c>
      <c r="T119" t="s">
        <v>345</v>
      </c>
      <c r="U119" t="s">
        <v>1321</v>
      </c>
      <c r="V119" t="s">
        <v>876</v>
      </c>
      <c r="W119">
        <v>33229</v>
      </c>
      <c r="X119">
        <v>35</v>
      </c>
      <c r="Y119" t="s">
        <v>1322</v>
      </c>
      <c r="Z119" t="s">
        <v>1323</v>
      </c>
      <c r="AA119" t="s">
        <v>842</v>
      </c>
      <c r="AB119" t="s">
        <v>851</v>
      </c>
      <c r="AC119" t="s">
        <v>713</v>
      </c>
      <c r="AD119" t="s">
        <v>1163</v>
      </c>
      <c r="AE119" t="s">
        <v>1324</v>
      </c>
      <c r="AH119" t="s">
        <v>867</v>
      </c>
    </row>
    <row r="120" spans="1:34">
      <c r="A120">
        <v>118</v>
      </c>
      <c r="B120" t="s">
        <v>1320</v>
      </c>
      <c r="C120">
        <v>211</v>
      </c>
      <c r="D120" t="s">
        <v>1157</v>
      </c>
      <c r="E120" t="s">
        <v>1318</v>
      </c>
      <c r="F120" t="s">
        <v>1156</v>
      </c>
      <c r="G120" t="s">
        <v>260</v>
      </c>
      <c r="H120" t="s">
        <v>1182</v>
      </c>
      <c r="I120" t="s">
        <v>1325</v>
      </c>
      <c r="J120" t="s">
        <v>1319</v>
      </c>
      <c r="K120" t="s">
        <v>1320</v>
      </c>
      <c r="N120" t="s">
        <v>787</v>
      </c>
      <c r="P120" t="s">
        <v>62</v>
      </c>
      <c r="Q120" t="s">
        <v>548</v>
      </c>
      <c r="S120" t="s">
        <v>874</v>
      </c>
      <c r="T120" t="s">
        <v>1326</v>
      </c>
      <c r="U120" t="s">
        <v>1327</v>
      </c>
      <c r="V120" t="s">
        <v>876</v>
      </c>
      <c r="W120">
        <v>34252</v>
      </c>
      <c r="X120">
        <v>32</v>
      </c>
      <c r="Y120" t="s">
        <v>1328</v>
      </c>
      <c r="Z120" t="s">
        <v>1329</v>
      </c>
      <c r="AA120" t="s">
        <v>842</v>
      </c>
      <c r="AB120" t="s">
        <v>851</v>
      </c>
      <c r="AC120" t="s">
        <v>713</v>
      </c>
      <c r="AD120" t="s">
        <v>713</v>
      </c>
      <c r="AE120" t="s">
        <v>1229</v>
      </c>
      <c r="AH120" t="s">
        <v>867</v>
      </c>
    </row>
    <row r="121" spans="1:34">
      <c r="A121">
        <v>119</v>
      </c>
      <c r="B121" t="s">
        <v>1330</v>
      </c>
      <c r="C121">
        <v>213</v>
      </c>
      <c r="D121" t="s">
        <v>1157</v>
      </c>
      <c r="E121" t="s">
        <v>1318</v>
      </c>
      <c r="F121" t="s">
        <v>1156</v>
      </c>
      <c r="G121" t="s">
        <v>260</v>
      </c>
      <c r="H121" t="s">
        <v>1182</v>
      </c>
      <c r="I121" t="s">
        <v>1182</v>
      </c>
      <c r="J121" t="s">
        <v>1319</v>
      </c>
      <c r="K121" t="s">
        <v>1320</v>
      </c>
      <c r="N121" t="s">
        <v>787</v>
      </c>
      <c r="S121" t="s">
        <v>874</v>
      </c>
      <c r="T121" t="s">
        <v>359</v>
      </c>
      <c r="U121" t="s">
        <v>1331</v>
      </c>
      <c r="V121" t="s">
        <v>876</v>
      </c>
      <c r="W121">
        <v>30747</v>
      </c>
      <c r="X121">
        <v>41</v>
      </c>
      <c r="Y121" t="s">
        <v>1332</v>
      </c>
      <c r="Z121" t="s">
        <v>1333</v>
      </c>
      <c r="AA121" t="s">
        <v>842</v>
      </c>
      <c r="AB121" t="s">
        <v>851</v>
      </c>
      <c r="AC121" t="s">
        <v>713</v>
      </c>
      <c r="AD121" t="s">
        <v>713</v>
      </c>
      <c r="AE121" t="s">
        <v>1313</v>
      </c>
      <c r="AH121" t="s">
        <v>867</v>
      </c>
    </row>
    <row r="122" spans="1:34">
      <c r="A122">
        <v>120</v>
      </c>
      <c r="B122" t="s">
        <v>1334</v>
      </c>
      <c r="C122">
        <v>215</v>
      </c>
      <c r="D122" t="s">
        <v>1157</v>
      </c>
      <c r="E122" t="s">
        <v>1318</v>
      </c>
      <c r="F122" t="s">
        <v>1156</v>
      </c>
      <c r="G122" t="s">
        <v>260</v>
      </c>
      <c r="H122" t="s">
        <v>1182</v>
      </c>
      <c r="I122" t="s">
        <v>1182</v>
      </c>
      <c r="J122" t="s">
        <v>1319</v>
      </c>
      <c r="K122" t="s">
        <v>1320</v>
      </c>
      <c r="N122" t="s">
        <v>787</v>
      </c>
      <c r="S122" t="s">
        <v>788</v>
      </c>
      <c r="T122" t="s">
        <v>372</v>
      </c>
      <c r="U122" t="s">
        <v>1335</v>
      </c>
      <c r="V122" t="s">
        <v>876</v>
      </c>
      <c r="W122">
        <v>31903</v>
      </c>
      <c r="X122">
        <v>38</v>
      </c>
      <c r="Y122" t="s">
        <v>1336</v>
      </c>
      <c r="Z122" t="s">
        <v>1337</v>
      </c>
      <c r="AA122" t="s">
        <v>842</v>
      </c>
      <c r="AB122" t="s">
        <v>851</v>
      </c>
      <c r="AC122" t="s">
        <v>1256</v>
      </c>
      <c r="AD122" t="s">
        <v>1256</v>
      </c>
      <c r="AE122" t="s">
        <v>1338</v>
      </c>
      <c r="AH122" t="s">
        <v>867</v>
      </c>
    </row>
    <row r="123" spans="1:34">
      <c r="A123">
        <v>121</v>
      </c>
      <c r="B123" t="s">
        <v>1339</v>
      </c>
      <c r="C123">
        <v>217</v>
      </c>
      <c r="D123" t="s">
        <v>1157</v>
      </c>
      <c r="E123" t="s">
        <v>1318</v>
      </c>
      <c r="F123" t="s">
        <v>1156</v>
      </c>
      <c r="G123" t="s">
        <v>260</v>
      </c>
      <c r="H123" t="s">
        <v>1182</v>
      </c>
      <c r="I123" t="s">
        <v>1182</v>
      </c>
      <c r="J123" t="s">
        <v>1319</v>
      </c>
      <c r="K123" t="s">
        <v>1320</v>
      </c>
      <c r="N123" t="s">
        <v>787</v>
      </c>
      <c r="S123" t="s">
        <v>788</v>
      </c>
      <c r="T123" t="s">
        <v>385</v>
      </c>
      <c r="U123" t="s">
        <v>1340</v>
      </c>
      <c r="V123" t="s">
        <v>876</v>
      </c>
      <c r="W123">
        <v>31903</v>
      </c>
      <c r="X123">
        <v>38</v>
      </c>
      <c r="Y123" t="s">
        <v>1341</v>
      </c>
      <c r="Z123" t="s">
        <v>1342</v>
      </c>
      <c r="AA123" t="s">
        <v>793</v>
      </c>
      <c r="AB123" t="s">
        <v>794</v>
      </c>
      <c r="AC123" t="s">
        <v>1256</v>
      </c>
      <c r="AD123" t="s">
        <v>1256</v>
      </c>
      <c r="AE123" t="s">
        <v>1338</v>
      </c>
      <c r="AH123" t="s">
        <v>867</v>
      </c>
    </row>
    <row r="124" spans="1:34">
      <c r="A124">
        <v>122</v>
      </c>
      <c r="B124" t="s">
        <v>1343</v>
      </c>
      <c r="C124">
        <v>219</v>
      </c>
      <c r="D124" t="s">
        <v>1157</v>
      </c>
      <c r="E124" t="s">
        <v>1318</v>
      </c>
      <c r="F124" t="s">
        <v>1156</v>
      </c>
      <c r="G124" t="s">
        <v>260</v>
      </c>
      <c r="H124" t="s">
        <v>1182</v>
      </c>
      <c r="I124" t="s">
        <v>1182</v>
      </c>
      <c r="J124" t="s">
        <v>1319</v>
      </c>
      <c r="K124" t="s">
        <v>1320</v>
      </c>
      <c r="N124" t="s">
        <v>787</v>
      </c>
      <c r="S124" t="s">
        <v>788</v>
      </c>
      <c r="T124" t="s">
        <v>397</v>
      </c>
      <c r="U124" t="s">
        <v>1344</v>
      </c>
      <c r="V124" t="s">
        <v>876</v>
      </c>
      <c r="W124">
        <v>38235</v>
      </c>
      <c r="X124">
        <v>21</v>
      </c>
      <c r="Y124" t="s">
        <v>1345</v>
      </c>
      <c r="Z124" t="s">
        <v>1346</v>
      </c>
      <c r="AA124" t="s">
        <v>842</v>
      </c>
      <c r="AB124" t="s">
        <v>843</v>
      </c>
      <c r="AC124" t="s">
        <v>815</v>
      </c>
      <c r="AD124" t="s">
        <v>713</v>
      </c>
      <c r="AE124" t="s">
        <v>1347</v>
      </c>
      <c r="AH124" t="s">
        <v>867</v>
      </c>
    </row>
    <row r="125" spans="1:34">
      <c r="A125">
        <v>123</v>
      </c>
      <c r="B125" t="s">
        <v>1348</v>
      </c>
      <c r="C125">
        <v>221</v>
      </c>
      <c r="D125" t="s">
        <v>811</v>
      </c>
      <c r="E125" t="s">
        <v>1318</v>
      </c>
      <c r="F125" t="s">
        <v>1156</v>
      </c>
      <c r="G125" t="s">
        <v>260</v>
      </c>
      <c r="H125" t="s">
        <v>1182</v>
      </c>
      <c r="I125" t="s">
        <v>1182</v>
      </c>
      <c r="J125" t="s">
        <v>1319</v>
      </c>
      <c r="K125" t="s">
        <v>1320</v>
      </c>
      <c r="N125" t="s">
        <v>787</v>
      </c>
      <c r="O125" t="s">
        <v>308</v>
      </c>
      <c r="S125" t="s">
        <v>874</v>
      </c>
      <c r="T125" t="s">
        <v>409</v>
      </c>
      <c r="U125" t="s">
        <v>1349</v>
      </c>
      <c r="V125" t="s">
        <v>876</v>
      </c>
      <c r="W125">
        <v>29402</v>
      </c>
      <c r="X125">
        <v>45</v>
      </c>
      <c r="Y125" t="s">
        <v>1350</v>
      </c>
      <c r="Z125" t="s">
        <v>1351</v>
      </c>
      <c r="AA125" t="s">
        <v>842</v>
      </c>
      <c r="AB125" t="s">
        <v>851</v>
      </c>
      <c r="AC125" t="s">
        <v>713</v>
      </c>
      <c r="AD125" t="s">
        <v>713</v>
      </c>
      <c r="AE125" t="s">
        <v>1352</v>
      </c>
      <c r="AH125" t="s">
        <v>1087</v>
      </c>
    </row>
    <row r="126" spans="1:34">
      <c r="A126">
        <v>124</v>
      </c>
      <c r="B126" t="s">
        <v>1353</v>
      </c>
      <c r="C126">
        <v>223</v>
      </c>
      <c r="D126" t="s">
        <v>811</v>
      </c>
      <c r="E126" t="s">
        <v>1318</v>
      </c>
      <c r="F126" t="s">
        <v>1156</v>
      </c>
      <c r="G126" t="s">
        <v>260</v>
      </c>
      <c r="H126" t="s">
        <v>1182</v>
      </c>
      <c r="I126" t="s">
        <v>1182</v>
      </c>
      <c r="J126" t="s">
        <v>1319</v>
      </c>
      <c r="K126" t="s">
        <v>1320</v>
      </c>
      <c r="N126" t="s">
        <v>787</v>
      </c>
      <c r="O126" t="s">
        <v>308</v>
      </c>
      <c r="S126" t="s">
        <v>788</v>
      </c>
      <c r="T126" t="s">
        <v>416</v>
      </c>
      <c r="U126" t="s">
        <v>1354</v>
      </c>
      <c r="V126" t="s">
        <v>876</v>
      </c>
      <c r="W126">
        <v>32595</v>
      </c>
      <c r="X126">
        <v>36</v>
      </c>
      <c r="Y126" t="s">
        <v>1355</v>
      </c>
      <c r="Z126" t="s">
        <v>1356</v>
      </c>
      <c r="AA126" t="s">
        <v>842</v>
      </c>
      <c r="AB126" t="s">
        <v>843</v>
      </c>
      <c r="AC126" t="s">
        <v>942</v>
      </c>
      <c r="AD126" t="s">
        <v>713</v>
      </c>
      <c r="AE126" t="s">
        <v>1313</v>
      </c>
      <c r="AH126" t="s">
        <v>1087</v>
      </c>
    </row>
    <row r="127" spans="1:34">
      <c r="A127">
        <v>125</v>
      </c>
      <c r="B127" t="s">
        <v>1357</v>
      </c>
      <c r="C127">
        <v>225</v>
      </c>
      <c r="D127" t="s">
        <v>811</v>
      </c>
      <c r="E127" t="s">
        <v>1318</v>
      </c>
      <c r="F127" t="s">
        <v>1156</v>
      </c>
      <c r="G127" t="s">
        <v>260</v>
      </c>
      <c r="H127" t="s">
        <v>1182</v>
      </c>
      <c r="I127" t="s">
        <v>1182</v>
      </c>
      <c r="J127" t="s">
        <v>1319</v>
      </c>
      <c r="K127" t="s">
        <v>1320</v>
      </c>
      <c r="N127" t="s">
        <v>787</v>
      </c>
      <c r="O127" t="s">
        <v>308</v>
      </c>
      <c r="S127" t="s">
        <v>788</v>
      </c>
      <c r="T127" t="s">
        <v>424</v>
      </c>
      <c r="U127" t="s">
        <v>1358</v>
      </c>
      <c r="V127" t="s">
        <v>876</v>
      </c>
      <c r="W127">
        <v>36641</v>
      </c>
      <c r="X127">
        <v>25</v>
      </c>
      <c r="Y127" t="s">
        <v>1359</v>
      </c>
      <c r="Z127" t="s">
        <v>1360</v>
      </c>
      <c r="AA127" t="s">
        <v>842</v>
      </c>
      <c r="AB127" t="s">
        <v>843</v>
      </c>
      <c r="AC127" t="s">
        <v>713</v>
      </c>
      <c r="AD127" t="s">
        <v>713</v>
      </c>
      <c r="AE127" t="s">
        <v>1361</v>
      </c>
      <c r="AH127" t="s">
        <v>1087</v>
      </c>
    </row>
    <row r="128" spans="1:34">
      <c r="A128">
        <v>126</v>
      </c>
      <c r="B128" t="s">
        <v>1362</v>
      </c>
      <c r="C128">
        <v>227</v>
      </c>
      <c r="D128" t="s">
        <v>811</v>
      </c>
      <c r="E128" t="s">
        <v>1318</v>
      </c>
      <c r="F128" t="s">
        <v>1156</v>
      </c>
      <c r="G128" t="s">
        <v>260</v>
      </c>
      <c r="H128" t="s">
        <v>1182</v>
      </c>
      <c r="I128" t="s">
        <v>1182</v>
      </c>
      <c r="J128" t="s">
        <v>1319</v>
      </c>
      <c r="K128" t="s">
        <v>1320</v>
      </c>
      <c r="N128" t="s">
        <v>787</v>
      </c>
      <c r="O128" t="s">
        <v>308</v>
      </c>
      <c r="S128" t="s">
        <v>788</v>
      </c>
      <c r="T128" t="s">
        <v>430</v>
      </c>
      <c r="U128" t="s">
        <v>1363</v>
      </c>
      <c r="V128" t="s">
        <v>876</v>
      </c>
      <c r="W128">
        <v>36882</v>
      </c>
      <c r="X128">
        <v>25</v>
      </c>
      <c r="Y128" t="s">
        <v>1364</v>
      </c>
      <c r="Z128" t="s">
        <v>1365</v>
      </c>
      <c r="AA128" t="s">
        <v>842</v>
      </c>
      <c r="AB128" t="s">
        <v>843</v>
      </c>
      <c r="AC128" t="s">
        <v>236</v>
      </c>
      <c r="AD128" t="s">
        <v>1256</v>
      </c>
      <c r="AE128" t="s">
        <v>1338</v>
      </c>
    </row>
    <row r="129" spans="1:35">
      <c r="A129">
        <v>127</v>
      </c>
      <c r="B129" t="s">
        <v>1366</v>
      </c>
      <c r="C129">
        <v>229</v>
      </c>
      <c r="D129" t="s">
        <v>811</v>
      </c>
      <c r="E129" t="s">
        <v>1318</v>
      </c>
      <c r="F129" t="s">
        <v>1156</v>
      </c>
      <c r="G129" t="s">
        <v>260</v>
      </c>
      <c r="H129" t="s">
        <v>1182</v>
      </c>
      <c r="I129" t="s">
        <v>1182</v>
      </c>
      <c r="J129" t="s">
        <v>1319</v>
      </c>
      <c r="K129" t="s">
        <v>1320</v>
      </c>
      <c r="N129" t="s">
        <v>787</v>
      </c>
      <c r="O129" t="s">
        <v>308</v>
      </c>
      <c r="S129" t="s">
        <v>874</v>
      </c>
      <c r="T129" t="s">
        <v>433</v>
      </c>
      <c r="U129" t="s">
        <v>1367</v>
      </c>
      <c r="V129" t="s">
        <v>876</v>
      </c>
      <c r="W129">
        <v>30868</v>
      </c>
      <c r="X129">
        <v>41</v>
      </c>
      <c r="Y129" t="s">
        <v>1368</v>
      </c>
      <c r="Z129" t="s">
        <v>1369</v>
      </c>
      <c r="AA129" t="s">
        <v>842</v>
      </c>
      <c r="AB129" t="s">
        <v>843</v>
      </c>
      <c r="AC129" t="s">
        <v>713</v>
      </c>
      <c r="AD129" t="s">
        <v>713</v>
      </c>
      <c r="AE129" t="s">
        <v>1229</v>
      </c>
      <c r="AH129" t="s">
        <v>1224</v>
      </c>
    </row>
    <row r="130" spans="1:35">
      <c r="A130">
        <v>128</v>
      </c>
      <c r="B130" t="s">
        <v>1370</v>
      </c>
      <c r="C130">
        <v>231</v>
      </c>
      <c r="D130" t="s">
        <v>811</v>
      </c>
      <c r="E130" t="s">
        <v>1318</v>
      </c>
      <c r="F130" t="s">
        <v>1156</v>
      </c>
      <c r="G130" t="s">
        <v>260</v>
      </c>
      <c r="H130" t="s">
        <v>1182</v>
      </c>
      <c r="I130" t="s">
        <v>1182</v>
      </c>
      <c r="J130" t="s">
        <v>1319</v>
      </c>
      <c r="K130" t="s">
        <v>1320</v>
      </c>
      <c r="N130" t="s">
        <v>787</v>
      </c>
      <c r="O130" t="s">
        <v>308</v>
      </c>
      <c r="S130" t="s">
        <v>788</v>
      </c>
      <c r="T130" t="s">
        <v>435</v>
      </c>
      <c r="U130" t="s">
        <v>1371</v>
      </c>
      <c r="V130" t="s">
        <v>876</v>
      </c>
      <c r="W130">
        <v>32006</v>
      </c>
      <c r="X130">
        <v>38</v>
      </c>
      <c r="Y130" t="s">
        <v>1372</v>
      </c>
      <c r="AA130" t="s">
        <v>842</v>
      </c>
      <c r="AB130" t="s">
        <v>843</v>
      </c>
      <c r="AC130" t="s">
        <v>713</v>
      </c>
      <c r="AD130" t="s">
        <v>713</v>
      </c>
      <c r="AE130" t="s">
        <v>1373</v>
      </c>
      <c r="AH130" t="s">
        <v>1224</v>
      </c>
    </row>
    <row r="131" spans="1:35">
      <c r="A131">
        <v>129</v>
      </c>
      <c r="B131" t="s">
        <v>1374</v>
      </c>
      <c r="C131">
        <v>233</v>
      </c>
      <c r="D131" t="s">
        <v>1157</v>
      </c>
      <c r="E131" t="s">
        <v>1318</v>
      </c>
      <c r="F131" t="s">
        <v>1156</v>
      </c>
      <c r="G131" t="s">
        <v>260</v>
      </c>
      <c r="H131" t="s">
        <v>1182</v>
      </c>
      <c r="I131" t="s">
        <v>1182</v>
      </c>
      <c r="J131" t="s">
        <v>1319</v>
      </c>
      <c r="K131" t="s">
        <v>1320</v>
      </c>
      <c r="N131" t="s">
        <v>787</v>
      </c>
      <c r="S131" t="s">
        <v>874</v>
      </c>
      <c r="T131" t="s">
        <v>1375</v>
      </c>
      <c r="U131" t="s">
        <v>1376</v>
      </c>
      <c r="V131" t="s">
        <v>876</v>
      </c>
      <c r="W131">
        <v>34187</v>
      </c>
      <c r="X131">
        <v>32</v>
      </c>
      <c r="Y131" t="s">
        <v>1377</v>
      </c>
      <c r="Z131" t="s">
        <v>1378</v>
      </c>
      <c r="AA131" t="s">
        <v>842</v>
      </c>
      <c r="AB131" t="s">
        <v>843</v>
      </c>
      <c r="AC131" t="s">
        <v>713</v>
      </c>
      <c r="AD131" t="s">
        <v>713</v>
      </c>
      <c r="AE131" t="s">
        <v>1177</v>
      </c>
      <c r="AG131" t="s">
        <v>1379</v>
      </c>
      <c r="AH131" t="s">
        <v>867</v>
      </c>
    </row>
    <row r="132" spans="1:35">
      <c r="A132">
        <v>130</v>
      </c>
      <c r="B132" t="s">
        <v>1380</v>
      </c>
      <c r="C132">
        <v>235</v>
      </c>
      <c r="D132" t="s">
        <v>1157</v>
      </c>
      <c r="E132" t="s">
        <v>1318</v>
      </c>
      <c r="F132" t="s">
        <v>1156</v>
      </c>
      <c r="G132" t="s">
        <v>260</v>
      </c>
      <c r="H132" t="s">
        <v>1182</v>
      </c>
      <c r="I132" t="s">
        <v>1182</v>
      </c>
      <c r="J132" t="s">
        <v>1319</v>
      </c>
      <c r="K132" t="s">
        <v>1320</v>
      </c>
      <c r="N132" t="s">
        <v>787</v>
      </c>
      <c r="S132" t="s">
        <v>788</v>
      </c>
      <c r="T132" t="s">
        <v>1381</v>
      </c>
      <c r="U132" t="s">
        <v>1382</v>
      </c>
      <c r="V132" t="s">
        <v>876</v>
      </c>
      <c r="W132">
        <v>37337</v>
      </c>
      <c r="X132">
        <v>23</v>
      </c>
      <c r="Y132" t="s">
        <v>1383</v>
      </c>
      <c r="Z132" t="s">
        <v>1384</v>
      </c>
      <c r="AA132" t="s">
        <v>842</v>
      </c>
      <c r="AB132" t="s">
        <v>843</v>
      </c>
      <c r="AC132" t="s">
        <v>713</v>
      </c>
      <c r="AD132" t="s">
        <v>713</v>
      </c>
      <c r="AE132" t="s">
        <v>1385</v>
      </c>
      <c r="AG132" t="s">
        <v>1386</v>
      </c>
      <c r="AH132" t="s">
        <v>867</v>
      </c>
    </row>
    <row r="133" spans="1:35">
      <c r="A133">
        <v>131</v>
      </c>
      <c r="B133" t="s">
        <v>1387</v>
      </c>
      <c r="C133">
        <v>237</v>
      </c>
      <c r="D133" t="s">
        <v>1157</v>
      </c>
      <c r="E133" t="s">
        <v>1318</v>
      </c>
      <c r="F133" t="s">
        <v>1156</v>
      </c>
      <c r="G133" t="s">
        <v>260</v>
      </c>
      <c r="H133" t="s">
        <v>1182</v>
      </c>
      <c r="I133" t="s">
        <v>1325</v>
      </c>
      <c r="J133" t="s">
        <v>1319</v>
      </c>
      <c r="K133" t="s">
        <v>1320</v>
      </c>
      <c r="N133" t="s">
        <v>787</v>
      </c>
      <c r="S133" t="s">
        <v>788</v>
      </c>
      <c r="T133" t="s">
        <v>1388</v>
      </c>
      <c r="U133" t="s">
        <v>1389</v>
      </c>
      <c r="V133" t="s">
        <v>876</v>
      </c>
      <c r="W133">
        <v>35479</v>
      </c>
      <c r="X133">
        <v>28</v>
      </c>
      <c r="Y133" t="s">
        <v>1390</v>
      </c>
      <c r="AA133" t="s">
        <v>842</v>
      </c>
      <c r="AB133" t="s">
        <v>843</v>
      </c>
      <c r="AC133" t="s">
        <v>713</v>
      </c>
      <c r="AD133" t="s">
        <v>713</v>
      </c>
      <c r="AE133" t="s">
        <v>1391</v>
      </c>
      <c r="AG133" t="s">
        <v>1392</v>
      </c>
      <c r="AH133" t="s">
        <v>867</v>
      </c>
    </row>
    <row r="134" spans="1:35">
      <c r="A134">
        <v>132</v>
      </c>
      <c r="B134" t="s">
        <v>1393</v>
      </c>
      <c r="C134">
        <v>239</v>
      </c>
      <c r="D134" t="s">
        <v>1157</v>
      </c>
      <c r="E134" t="s">
        <v>1318</v>
      </c>
      <c r="F134" t="s">
        <v>1156</v>
      </c>
      <c r="G134" t="s">
        <v>260</v>
      </c>
      <c r="H134" t="s">
        <v>1182</v>
      </c>
      <c r="I134" t="s">
        <v>1393</v>
      </c>
      <c r="J134" t="s">
        <v>1394</v>
      </c>
      <c r="K134" t="s">
        <v>1395</v>
      </c>
      <c r="N134" t="s">
        <v>828</v>
      </c>
      <c r="P134" t="s">
        <v>49</v>
      </c>
      <c r="Q134" t="s">
        <v>168</v>
      </c>
      <c r="S134" t="s">
        <v>799</v>
      </c>
      <c r="T134" t="s">
        <v>1396</v>
      </c>
      <c r="U134" t="s">
        <v>1397</v>
      </c>
      <c r="V134" t="s">
        <v>790</v>
      </c>
      <c r="W134">
        <v>32406</v>
      </c>
      <c r="X134">
        <v>37</v>
      </c>
      <c r="Y134" t="s">
        <v>1398</v>
      </c>
      <c r="Z134" t="s">
        <v>1399</v>
      </c>
      <c r="AA134" t="s">
        <v>802</v>
      </c>
      <c r="AB134" t="s">
        <v>794</v>
      </c>
      <c r="AC134" t="s">
        <v>713</v>
      </c>
      <c r="AD134" t="s">
        <v>1400</v>
      </c>
      <c r="AE134" t="s">
        <v>1401</v>
      </c>
      <c r="AH134" t="s">
        <v>903</v>
      </c>
    </row>
    <row r="135" spans="1:35">
      <c r="A135">
        <v>133</v>
      </c>
      <c r="B135" t="s">
        <v>1394</v>
      </c>
      <c r="C135">
        <v>241</v>
      </c>
      <c r="D135" t="s">
        <v>1157</v>
      </c>
      <c r="E135" t="s">
        <v>1318</v>
      </c>
      <c r="F135" t="s">
        <v>1156</v>
      </c>
      <c r="G135" t="s">
        <v>260</v>
      </c>
      <c r="H135" t="s">
        <v>1182</v>
      </c>
      <c r="I135" t="s">
        <v>1393</v>
      </c>
      <c r="J135" t="s">
        <v>1394</v>
      </c>
      <c r="K135" t="s">
        <v>1395</v>
      </c>
      <c r="N135" t="s">
        <v>828</v>
      </c>
      <c r="P135" t="s">
        <v>62</v>
      </c>
      <c r="Q135" t="s">
        <v>548</v>
      </c>
      <c r="S135" t="s">
        <v>799</v>
      </c>
      <c r="T135" t="s">
        <v>1402</v>
      </c>
      <c r="U135" t="s">
        <v>1403</v>
      </c>
      <c r="V135" t="s">
        <v>790</v>
      </c>
      <c r="W135">
        <v>27898</v>
      </c>
      <c r="X135">
        <v>49</v>
      </c>
      <c r="Y135" t="s">
        <v>1404</v>
      </c>
      <c r="Z135" t="s">
        <v>1405</v>
      </c>
      <c r="AA135" t="s">
        <v>842</v>
      </c>
      <c r="AB135" t="s">
        <v>851</v>
      </c>
      <c r="AC135" t="s">
        <v>713</v>
      </c>
      <c r="AD135" t="s">
        <v>713</v>
      </c>
      <c r="AE135" t="s">
        <v>1406</v>
      </c>
      <c r="AH135" t="s">
        <v>903</v>
      </c>
    </row>
    <row r="136" spans="1:35">
      <c r="A136">
        <v>134</v>
      </c>
      <c r="B136" t="s">
        <v>1395</v>
      </c>
      <c r="C136">
        <v>243</v>
      </c>
      <c r="D136" t="s">
        <v>811</v>
      </c>
      <c r="E136" t="s">
        <v>1318</v>
      </c>
      <c r="F136" t="s">
        <v>1156</v>
      </c>
      <c r="G136" t="s">
        <v>260</v>
      </c>
      <c r="H136" t="s">
        <v>1182</v>
      </c>
      <c r="I136" t="s">
        <v>1393</v>
      </c>
      <c r="J136" t="s">
        <v>1394</v>
      </c>
      <c r="K136" t="s">
        <v>1395</v>
      </c>
      <c r="N136" t="s">
        <v>828</v>
      </c>
      <c r="P136" t="s">
        <v>62</v>
      </c>
      <c r="Q136" t="s">
        <v>548</v>
      </c>
      <c r="S136" t="s">
        <v>799</v>
      </c>
      <c r="T136" t="s">
        <v>1407</v>
      </c>
      <c r="U136" t="s">
        <v>1408</v>
      </c>
      <c r="V136" t="s">
        <v>790</v>
      </c>
      <c r="W136">
        <v>31125</v>
      </c>
      <c r="X136">
        <v>40</v>
      </c>
      <c r="Y136" t="s">
        <v>1409</v>
      </c>
      <c r="Z136" t="s">
        <v>1410</v>
      </c>
      <c r="AA136" t="s">
        <v>842</v>
      </c>
      <c r="AB136" t="s">
        <v>843</v>
      </c>
      <c r="AC136" t="s">
        <v>1411</v>
      </c>
      <c r="AD136" t="s">
        <v>1411</v>
      </c>
      <c r="AE136" t="s">
        <v>1412</v>
      </c>
      <c r="AH136" t="s">
        <v>1224</v>
      </c>
    </row>
    <row r="137" spans="1:35">
      <c r="A137">
        <v>135</v>
      </c>
      <c r="B137" t="s">
        <v>1413</v>
      </c>
      <c r="C137">
        <v>245</v>
      </c>
      <c r="D137" t="s">
        <v>1157</v>
      </c>
      <c r="E137" t="s">
        <v>1318</v>
      </c>
      <c r="F137" t="s">
        <v>1156</v>
      </c>
      <c r="G137" t="s">
        <v>260</v>
      </c>
      <c r="H137" t="s">
        <v>1182</v>
      </c>
      <c r="I137" t="s">
        <v>1393</v>
      </c>
      <c r="J137" t="s">
        <v>1394</v>
      </c>
      <c r="K137" t="s">
        <v>1395</v>
      </c>
      <c r="N137" t="s">
        <v>828</v>
      </c>
      <c r="S137" t="s">
        <v>799</v>
      </c>
      <c r="T137" t="s">
        <v>1414</v>
      </c>
      <c r="U137" t="s">
        <v>1415</v>
      </c>
      <c r="V137" t="s">
        <v>790</v>
      </c>
      <c r="W137">
        <v>27770</v>
      </c>
      <c r="X137">
        <v>50</v>
      </c>
      <c r="Y137" t="s">
        <v>1416</v>
      </c>
      <c r="AA137" t="s">
        <v>802</v>
      </c>
      <c r="AB137" t="s">
        <v>794</v>
      </c>
      <c r="AC137" t="s">
        <v>713</v>
      </c>
      <c r="AD137" t="s">
        <v>713</v>
      </c>
      <c r="AE137" t="s">
        <v>1417</v>
      </c>
      <c r="AH137" t="s">
        <v>903</v>
      </c>
    </row>
    <row r="138" spans="1:35">
      <c r="A138">
        <v>136</v>
      </c>
      <c r="B138" t="s">
        <v>1418</v>
      </c>
      <c r="C138">
        <v>247</v>
      </c>
      <c r="D138" t="s">
        <v>1157</v>
      </c>
      <c r="E138" t="s">
        <v>1318</v>
      </c>
      <c r="F138" t="s">
        <v>1156</v>
      </c>
      <c r="G138" t="s">
        <v>260</v>
      </c>
      <c r="H138" t="s">
        <v>1182</v>
      </c>
      <c r="I138" t="s">
        <v>1393</v>
      </c>
      <c r="J138" t="s">
        <v>1394</v>
      </c>
      <c r="K138" t="s">
        <v>1395</v>
      </c>
      <c r="N138" t="s">
        <v>828</v>
      </c>
      <c r="S138" t="s">
        <v>799</v>
      </c>
      <c r="T138" t="s">
        <v>1419</v>
      </c>
      <c r="U138" t="s">
        <v>1420</v>
      </c>
      <c r="V138" t="s">
        <v>790</v>
      </c>
      <c r="W138">
        <v>31231</v>
      </c>
      <c r="X138">
        <v>40</v>
      </c>
      <c r="Y138" t="s">
        <v>1421</v>
      </c>
      <c r="AA138" t="s">
        <v>842</v>
      </c>
      <c r="AB138" t="s">
        <v>794</v>
      </c>
      <c r="AC138" t="s">
        <v>713</v>
      </c>
      <c r="AD138" t="s">
        <v>236</v>
      </c>
      <c r="AE138" t="s">
        <v>1422</v>
      </c>
      <c r="AH138" t="s">
        <v>903</v>
      </c>
    </row>
    <row r="139" spans="1:35">
      <c r="A139">
        <v>137</v>
      </c>
      <c r="B139" t="s">
        <v>1423</v>
      </c>
      <c r="C139">
        <v>249</v>
      </c>
      <c r="D139" t="s">
        <v>811</v>
      </c>
      <c r="E139" t="s">
        <v>1318</v>
      </c>
      <c r="F139" t="s">
        <v>1156</v>
      </c>
      <c r="G139" t="s">
        <v>260</v>
      </c>
      <c r="H139" t="s">
        <v>1182</v>
      </c>
      <c r="I139" t="s">
        <v>1393</v>
      </c>
      <c r="J139" t="s">
        <v>1394</v>
      </c>
      <c r="K139" t="s">
        <v>1395</v>
      </c>
      <c r="N139" t="s">
        <v>828</v>
      </c>
      <c r="S139" t="s">
        <v>799</v>
      </c>
      <c r="T139" t="s">
        <v>373</v>
      </c>
      <c r="U139" t="s">
        <v>1424</v>
      </c>
      <c r="V139" t="s">
        <v>790</v>
      </c>
      <c r="W139">
        <v>24666</v>
      </c>
      <c r="X139">
        <v>58</v>
      </c>
      <c r="Y139" t="s">
        <v>1425</v>
      </c>
      <c r="Z139" t="s">
        <v>1426</v>
      </c>
      <c r="AA139" t="s">
        <v>842</v>
      </c>
      <c r="AB139" t="s">
        <v>843</v>
      </c>
      <c r="AC139" t="s">
        <v>713</v>
      </c>
      <c r="AD139" t="s">
        <v>713</v>
      </c>
      <c r="AE139" t="s">
        <v>1427</v>
      </c>
      <c r="AH139" t="s">
        <v>1224</v>
      </c>
    </row>
    <row r="140" spans="1:35">
      <c r="A140">
        <v>138</v>
      </c>
      <c r="B140" t="s">
        <v>1428</v>
      </c>
      <c r="C140">
        <v>251</v>
      </c>
      <c r="D140" t="s">
        <v>811</v>
      </c>
      <c r="E140" t="s">
        <v>1318</v>
      </c>
      <c r="F140" t="s">
        <v>1156</v>
      </c>
      <c r="G140" t="s">
        <v>260</v>
      </c>
      <c r="H140" t="s">
        <v>1182</v>
      </c>
      <c r="I140" t="s">
        <v>1393</v>
      </c>
      <c r="J140" t="s">
        <v>1394</v>
      </c>
      <c r="K140" t="s">
        <v>1395</v>
      </c>
      <c r="N140" t="s">
        <v>828</v>
      </c>
      <c r="S140" t="s">
        <v>799</v>
      </c>
      <c r="T140" t="s">
        <v>398</v>
      </c>
      <c r="U140" t="s">
        <v>1429</v>
      </c>
      <c r="V140" t="s">
        <v>790</v>
      </c>
      <c r="W140">
        <v>26465</v>
      </c>
      <c r="X140">
        <v>53</v>
      </c>
      <c r="Y140" t="s">
        <v>1430</v>
      </c>
      <c r="AA140" t="s">
        <v>842</v>
      </c>
      <c r="AB140" t="s">
        <v>843</v>
      </c>
      <c r="AC140" t="s">
        <v>713</v>
      </c>
      <c r="AD140" t="s">
        <v>713</v>
      </c>
      <c r="AE140" t="s">
        <v>1431</v>
      </c>
      <c r="AH140" t="s">
        <v>1224</v>
      </c>
    </row>
    <row r="141" spans="1:35">
      <c r="A141">
        <v>139</v>
      </c>
      <c r="B141" t="s">
        <v>1432</v>
      </c>
      <c r="C141">
        <v>253</v>
      </c>
      <c r="D141" t="s">
        <v>811</v>
      </c>
      <c r="E141" t="s">
        <v>1318</v>
      </c>
      <c r="F141" t="s">
        <v>1156</v>
      </c>
      <c r="G141" t="s">
        <v>260</v>
      </c>
      <c r="H141" t="s">
        <v>1182</v>
      </c>
      <c r="I141" t="s">
        <v>1393</v>
      </c>
      <c r="J141" t="s">
        <v>1394</v>
      </c>
      <c r="K141" t="s">
        <v>1395</v>
      </c>
      <c r="N141" t="s">
        <v>828</v>
      </c>
      <c r="O141" t="s">
        <v>308</v>
      </c>
      <c r="S141" t="s">
        <v>799</v>
      </c>
      <c r="T141" t="s">
        <v>410</v>
      </c>
      <c r="U141" t="s">
        <v>1433</v>
      </c>
      <c r="V141" t="s">
        <v>790</v>
      </c>
      <c r="W141">
        <v>23557</v>
      </c>
      <c r="X141">
        <v>61</v>
      </c>
      <c r="Y141" t="s">
        <v>1434</v>
      </c>
      <c r="Z141" t="s">
        <v>1435</v>
      </c>
      <c r="AA141" t="s">
        <v>842</v>
      </c>
      <c r="AB141" t="s">
        <v>843</v>
      </c>
      <c r="AC141" t="s">
        <v>713</v>
      </c>
      <c r="AD141" t="s">
        <v>1436</v>
      </c>
      <c r="AE141" t="s">
        <v>1437</v>
      </c>
      <c r="AH141" t="s">
        <v>1438</v>
      </c>
    </row>
    <row r="142" spans="1:35">
      <c r="A142">
        <v>140</v>
      </c>
      <c r="B142" t="s">
        <v>1439</v>
      </c>
      <c r="C142">
        <v>255</v>
      </c>
      <c r="D142" t="s">
        <v>1157</v>
      </c>
      <c r="E142" t="s">
        <v>1318</v>
      </c>
      <c r="F142" t="s">
        <v>1156</v>
      </c>
      <c r="G142" t="s">
        <v>260</v>
      </c>
      <c r="H142" t="s">
        <v>1182</v>
      </c>
      <c r="I142" t="s">
        <v>1439</v>
      </c>
      <c r="J142" t="s">
        <v>1440</v>
      </c>
      <c r="N142" t="s">
        <v>938</v>
      </c>
      <c r="P142" t="s">
        <v>49</v>
      </c>
      <c r="Q142" t="s">
        <v>168</v>
      </c>
      <c r="S142" t="s">
        <v>874</v>
      </c>
      <c r="T142" t="s">
        <v>593</v>
      </c>
      <c r="U142" t="s">
        <v>1441</v>
      </c>
      <c r="V142" t="s">
        <v>876</v>
      </c>
      <c r="W142">
        <v>23479</v>
      </c>
      <c r="X142">
        <v>61</v>
      </c>
      <c r="Y142" t="s">
        <v>1442</v>
      </c>
      <c r="Z142" t="s">
        <v>1443</v>
      </c>
      <c r="AA142" t="s">
        <v>802</v>
      </c>
      <c r="AB142" t="s">
        <v>794</v>
      </c>
      <c r="AC142" t="s">
        <v>713</v>
      </c>
      <c r="AD142" t="s">
        <v>1163</v>
      </c>
      <c r="AE142" t="s">
        <v>1444</v>
      </c>
      <c r="AH142" t="s">
        <v>903</v>
      </c>
    </row>
    <row r="143" spans="1:35">
      <c r="A143">
        <v>141</v>
      </c>
      <c r="B143" t="s">
        <v>1440</v>
      </c>
      <c r="C143">
        <v>257</v>
      </c>
      <c r="D143" t="s">
        <v>1157</v>
      </c>
      <c r="E143" t="s">
        <v>1318</v>
      </c>
      <c r="F143" t="s">
        <v>1156</v>
      </c>
      <c r="G143" t="s">
        <v>260</v>
      </c>
      <c r="H143" t="s">
        <v>1182</v>
      </c>
      <c r="I143" t="s">
        <v>1439</v>
      </c>
      <c r="J143" t="s">
        <v>1440</v>
      </c>
      <c r="N143" t="s">
        <v>938</v>
      </c>
      <c r="P143" t="s">
        <v>62</v>
      </c>
      <c r="Q143" t="s">
        <v>548</v>
      </c>
      <c r="S143" t="s">
        <v>898</v>
      </c>
      <c r="T143" t="s">
        <v>1445</v>
      </c>
      <c r="U143" t="s">
        <v>1446</v>
      </c>
      <c r="V143" t="s">
        <v>876</v>
      </c>
      <c r="W143">
        <v>20169</v>
      </c>
      <c r="X143">
        <v>70</v>
      </c>
      <c r="Y143" t="s">
        <v>1447</v>
      </c>
      <c r="Z143" t="s">
        <v>1448</v>
      </c>
      <c r="AA143" t="s">
        <v>802</v>
      </c>
      <c r="AB143" t="s">
        <v>794</v>
      </c>
      <c r="AC143" t="s">
        <v>713</v>
      </c>
      <c r="AD143" t="s">
        <v>713</v>
      </c>
      <c r="AE143" t="s">
        <v>1449</v>
      </c>
      <c r="AH143" t="s">
        <v>903</v>
      </c>
    </row>
    <row r="144" spans="1:35">
      <c r="A144">
        <v>142</v>
      </c>
      <c r="B144" t="s">
        <v>1450</v>
      </c>
      <c r="C144">
        <v>259</v>
      </c>
      <c r="D144" t="s">
        <v>1157</v>
      </c>
      <c r="E144" t="s">
        <v>1318</v>
      </c>
      <c r="F144" t="s">
        <v>1156</v>
      </c>
      <c r="G144" t="s">
        <v>260</v>
      </c>
      <c r="H144" t="s">
        <v>1182</v>
      </c>
      <c r="I144" t="s">
        <v>1439</v>
      </c>
      <c r="J144" t="s">
        <v>1440</v>
      </c>
      <c r="N144" t="s">
        <v>938</v>
      </c>
      <c r="S144" t="s">
        <v>874</v>
      </c>
      <c r="T144" t="s">
        <v>1451</v>
      </c>
      <c r="U144" t="s">
        <v>1452</v>
      </c>
      <c r="V144" t="s">
        <v>876</v>
      </c>
      <c r="W144">
        <v>28954</v>
      </c>
      <c r="X144">
        <v>46</v>
      </c>
      <c r="Y144" t="s">
        <v>1453</v>
      </c>
      <c r="Z144" t="s">
        <v>1454</v>
      </c>
      <c r="AA144" t="s">
        <v>842</v>
      </c>
      <c r="AB144" t="s">
        <v>851</v>
      </c>
      <c r="AC144" t="s">
        <v>1256</v>
      </c>
      <c r="AD144" t="s">
        <v>1256</v>
      </c>
      <c r="AE144" t="s">
        <v>1455</v>
      </c>
      <c r="AG144" t="s">
        <v>1456</v>
      </c>
      <c r="AH144" t="s">
        <v>903</v>
      </c>
      <c r="AI144" t="s">
        <v>860</v>
      </c>
    </row>
    <row r="145" spans="1:37">
      <c r="A145">
        <v>143</v>
      </c>
      <c r="B145" t="s">
        <v>1457</v>
      </c>
      <c r="C145">
        <v>261</v>
      </c>
      <c r="D145" t="s">
        <v>1157</v>
      </c>
      <c r="E145" t="s">
        <v>1318</v>
      </c>
      <c r="F145" t="s">
        <v>1156</v>
      </c>
      <c r="G145" t="s">
        <v>260</v>
      </c>
      <c r="H145" t="s">
        <v>1182</v>
      </c>
      <c r="I145" t="s">
        <v>1439</v>
      </c>
      <c r="J145" t="s">
        <v>1440</v>
      </c>
      <c r="N145" t="s">
        <v>938</v>
      </c>
      <c r="S145" t="s">
        <v>874</v>
      </c>
      <c r="T145" t="s">
        <v>1458</v>
      </c>
      <c r="U145" t="s">
        <v>1459</v>
      </c>
      <c r="V145" t="s">
        <v>876</v>
      </c>
      <c r="W145">
        <v>21997</v>
      </c>
      <c r="X145">
        <v>65</v>
      </c>
      <c r="Y145" t="s">
        <v>1460</v>
      </c>
      <c r="Z145" t="s">
        <v>1461</v>
      </c>
      <c r="AA145" t="s">
        <v>802</v>
      </c>
      <c r="AB145" t="s">
        <v>794</v>
      </c>
      <c r="AC145" t="s">
        <v>713</v>
      </c>
      <c r="AD145" t="s">
        <v>713</v>
      </c>
      <c r="AE145" t="s">
        <v>1462</v>
      </c>
      <c r="AH145" t="s">
        <v>903</v>
      </c>
    </row>
    <row r="146" spans="1:37">
      <c r="A146">
        <v>144</v>
      </c>
      <c r="B146" t="s">
        <v>1463</v>
      </c>
      <c r="C146">
        <v>263</v>
      </c>
      <c r="D146" t="s">
        <v>1157</v>
      </c>
      <c r="E146" t="s">
        <v>1318</v>
      </c>
      <c r="F146" t="s">
        <v>1156</v>
      </c>
      <c r="G146" t="s">
        <v>260</v>
      </c>
      <c r="H146" t="s">
        <v>1182</v>
      </c>
      <c r="I146" t="s">
        <v>1439</v>
      </c>
      <c r="J146" t="s">
        <v>1440</v>
      </c>
      <c r="N146" t="s">
        <v>938</v>
      </c>
      <c r="S146" t="s">
        <v>874</v>
      </c>
      <c r="T146" t="s">
        <v>1464</v>
      </c>
      <c r="U146" t="s">
        <v>1465</v>
      </c>
      <c r="V146" t="s">
        <v>876</v>
      </c>
      <c r="W146">
        <v>24432</v>
      </c>
      <c r="X146">
        <v>59</v>
      </c>
      <c r="Y146" t="s">
        <v>1466</v>
      </c>
      <c r="Z146" t="s">
        <v>1467</v>
      </c>
      <c r="AA146" t="s">
        <v>802</v>
      </c>
      <c r="AB146" t="s">
        <v>794</v>
      </c>
      <c r="AC146" t="s">
        <v>713</v>
      </c>
      <c r="AD146" t="s">
        <v>713</v>
      </c>
      <c r="AE146" t="s">
        <v>1468</v>
      </c>
      <c r="AH146" t="s">
        <v>903</v>
      </c>
    </row>
    <row r="147" spans="1:37">
      <c r="A147">
        <v>145</v>
      </c>
      <c r="B147" t="s">
        <v>1469</v>
      </c>
      <c r="C147">
        <v>265</v>
      </c>
      <c r="D147" t="s">
        <v>1157</v>
      </c>
      <c r="E147" t="s">
        <v>1318</v>
      </c>
      <c r="F147" t="s">
        <v>1156</v>
      </c>
      <c r="G147" t="s">
        <v>260</v>
      </c>
      <c r="H147" t="s">
        <v>1182</v>
      </c>
      <c r="I147" t="s">
        <v>1439</v>
      </c>
      <c r="J147" t="s">
        <v>1440</v>
      </c>
      <c r="N147" t="s">
        <v>938</v>
      </c>
      <c r="S147" t="s">
        <v>874</v>
      </c>
      <c r="T147" t="s">
        <v>1470</v>
      </c>
      <c r="U147" t="s">
        <v>1471</v>
      </c>
      <c r="V147" t="s">
        <v>876</v>
      </c>
      <c r="W147">
        <v>27473</v>
      </c>
      <c r="X147">
        <v>50</v>
      </c>
      <c r="Y147" t="s">
        <v>1472</v>
      </c>
      <c r="Z147" t="s">
        <v>1473</v>
      </c>
      <c r="AA147" t="s">
        <v>842</v>
      </c>
      <c r="AB147" t="s">
        <v>851</v>
      </c>
      <c r="AC147" t="s">
        <v>713</v>
      </c>
      <c r="AD147" t="s">
        <v>713</v>
      </c>
      <c r="AE147" t="s">
        <v>1474</v>
      </c>
      <c r="AH147" t="s">
        <v>903</v>
      </c>
    </row>
    <row r="148" spans="1:37">
      <c r="A148">
        <v>146</v>
      </c>
      <c r="B148" t="s">
        <v>1475</v>
      </c>
      <c r="C148">
        <v>267</v>
      </c>
      <c r="D148" t="s">
        <v>1157</v>
      </c>
      <c r="E148" t="s">
        <v>1318</v>
      </c>
      <c r="F148" t="s">
        <v>1156</v>
      </c>
      <c r="G148" t="s">
        <v>260</v>
      </c>
      <c r="H148" t="s">
        <v>1182</v>
      </c>
      <c r="I148" t="s">
        <v>1439</v>
      </c>
      <c r="J148" t="s">
        <v>1440</v>
      </c>
      <c r="N148" t="s">
        <v>938</v>
      </c>
      <c r="S148" t="s">
        <v>874</v>
      </c>
      <c r="T148" t="s">
        <v>1476</v>
      </c>
      <c r="U148" t="s">
        <v>1477</v>
      </c>
      <c r="V148" t="s">
        <v>876</v>
      </c>
      <c r="W148">
        <v>27920</v>
      </c>
      <c r="X148">
        <v>49</v>
      </c>
      <c r="Y148" t="s">
        <v>1478</v>
      </c>
      <c r="Z148" t="s">
        <v>1479</v>
      </c>
      <c r="AA148" t="s">
        <v>842</v>
      </c>
      <c r="AB148" t="s">
        <v>851</v>
      </c>
      <c r="AC148" t="s">
        <v>1256</v>
      </c>
      <c r="AD148" t="s">
        <v>1256</v>
      </c>
      <c r="AE148" t="s">
        <v>1455</v>
      </c>
      <c r="AH148" t="s">
        <v>903</v>
      </c>
    </row>
    <row r="149" spans="1:37">
      <c r="A149">
        <v>147</v>
      </c>
      <c r="B149" t="s">
        <v>1480</v>
      </c>
      <c r="C149">
        <v>269</v>
      </c>
      <c r="D149" t="s">
        <v>1157</v>
      </c>
      <c r="E149" t="s">
        <v>1318</v>
      </c>
      <c r="F149" t="s">
        <v>1156</v>
      </c>
      <c r="G149" t="s">
        <v>260</v>
      </c>
      <c r="H149" t="s">
        <v>1182</v>
      </c>
      <c r="I149" t="s">
        <v>1439</v>
      </c>
      <c r="J149" t="s">
        <v>1440</v>
      </c>
      <c r="N149" t="s">
        <v>938</v>
      </c>
      <c r="S149" t="s">
        <v>874</v>
      </c>
      <c r="T149" t="s">
        <v>1481</v>
      </c>
      <c r="U149" t="s">
        <v>1482</v>
      </c>
      <c r="V149" t="s">
        <v>876</v>
      </c>
      <c r="W149">
        <v>29363</v>
      </c>
      <c r="X149">
        <v>45</v>
      </c>
      <c r="Y149" t="s">
        <v>1483</v>
      </c>
      <c r="Z149" t="s">
        <v>1484</v>
      </c>
      <c r="AA149" t="s">
        <v>842</v>
      </c>
      <c r="AB149" t="s">
        <v>851</v>
      </c>
      <c r="AC149" t="s">
        <v>713</v>
      </c>
      <c r="AD149" t="s">
        <v>713</v>
      </c>
      <c r="AE149" t="s">
        <v>1468</v>
      </c>
      <c r="AH149" t="s">
        <v>903</v>
      </c>
    </row>
    <row r="150" spans="1:37">
      <c r="A150">
        <v>148</v>
      </c>
      <c r="B150" t="s">
        <v>1485</v>
      </c>
      <c r="C150">
        <v>271</v>
      </c>
      <c r="D150" t="s">
        <v>1157</v>
      </c>
      <c r="E150" t="s">
        <v>1318</v>
      </c>
      <c r="F150" t="s">
        <v>1156</v>
      </c>
      <c r="G150" t="s">
        <v>260</v>
      </c>
      <c r="H150" t="s">
        <v>1182</v>
      </c>
      <c r="I150" t="s">
        <v>1439</v>
      </c>
      <c r="J150" t="s">
        <v>1440</v>
      </c>
      <c r="N150" t="s">
        <v>938</v>
      </c>
      <c r="S150" t="s">
        <v>874</v>
      </c>
      <c r="T150" t="s">
        <v>1486</v>
      </c>
      <c r="U150" t="s">
        <v>1487</v>
      </c>
      <c r="V150" t="s">
        <v>876</v>
      </c>
      <c r="W150">
        <v>30023</v>
      </c>
      <c r="X150">
        <v>43</v>
      </c>
      <c r="Y150" t="s">
        <v>1488</v>
      </c>
      <c r="Z150" t="s">
        <v>1489</v>
      </c>
      <c r="AA150" t="s">
        <v>842</v>
      </c>
      <c r="AB150" t="s">
        <v>851</v>
      </c>
      <c r="AC150" t="s">
        <v>1256</v>
      </c>
      <c r="AD150" t="s">
        <v>1256</v>
      </c>
      <c r="AE150" t="s">
        <v>1490</v>
      </c>
      <c r="AH150" t="s">
        <v>903</v>
      </c>
    </row>
    <row r="151" spans="1:37">
      <c r="A151">
        <v>149</v>
      </c>
      <c r="B151" t="s">
        <v>1491</v>
      </c>
      <c r="C151">
        <v>273</v>
      </c>
      <c r="D151" t="s">
        <v>811</v>
      </c>
      <c r="E151" t="s">
        <v>1318</v>
      </c>
      <c r="F151" t="s">
        <v>1156</v>
      </c>
      <c r="G151" t="s">
        <v>260</v>
      </c>
      <c r="H151" t="s">
        <v>1182</v>
      </c>
      <c r="I151" t="s">
        <v>1439</v>
      </c>
      <c r="J151" t="s">
        <v>1440</v>
      </c>
      <c r="N151" t="s">
        <v>938</v>
      </c>
      <c r="O151" t="s">
        <v>308</v>
      </c>
      <c r="S151" t="s">
        <v>874</v>
      </c>
      <c r="T151" t="s">
        <v>1492</v>
      </c>
      <c r="U151" t="s">
        <v>1493</v>
      </c>
      <c r="V151" t="s">
        <v>876</v>
      </c>
      <c r="W151">
        <v>27368</v>
      </c>
      <c r="X151">
        <v>51</v>
      </c>
      <c r="Y151" t="s">
        <v>1494</v>
      </c>
      <c r="Z151" t="s">
        <v>1495</v>
      </c>
      <c r="AA151" t="s">
        <v>842</v>
      </c>
      <c r="AB151" t="s">
        <v>843</v>
      </c>
      <c r="AC151" t="s">
        <v>713</v>
      </c>
      <c r="AD151" t="s">
        <v>713</v>
      </c>
      <c r="AE151" t="s">
        <v>1313</v>
      </c>
      <c r="AG151" t="s">
        <v>1496</v>
      </c>
      <c r="AH151" t="s">
        <v>1497</v>
      </c>
      <c r="AI151" t="s">
        <v>860</v>
      </c>
    </row>
    <row r="152" spans="1:37">
      <c r="A152">
        <v>150</v>
      </c>
      <c r="B152" t="s">
        <v>1118</v>
      </c>
      <c r="C152">
        <v>275</v>
      </c>
      <c r="D152" t="s">
        <v>1310</v>
      </c>
      <c r="E152" t="s">
        <v>713</v>
      </c>
      <c r="F152" t="s">
        <v>1118</v>
      </c>
      <c r="G152" t="s">
        <v>28</v>
      </c>
      <c r="H152" t="s">
        <v>1118</v>
      </c>
      <c r="I152" t="s">
        <v>1118</v>
      </c>
      <c r="J152" t="s">
        <v>1498</v>
      </c>
      <c r="N152" t="s">
        <v>787</v>
      </c>
      <c r="P152" t="s">
        <v>982</v>
      </c>
      <c r="Q152" t="s">
        <v>163</v>
      </c>
      <c r="R152" t="s">
        <v>49</v>
      </c>
      <c r="S152" t="s">
        <v>788</v>
      </c>
      <c r="T152" t="s">
        <v>28</v>
      </c>
      <c r="U152" t="s">
        <v>1119</v>
      </c>
      <c r="V152" t="s">
        <v>876</v>
      </c>
      <c r="W152">
        <v>33065</v>
      </c>
      <c r="X152">
        <v>35</v>
      </c>
      <c r="Y152" t="s">
        <v>1120</v>
      </c>
      <c r="Z152" t="s">
        <v>1121</v>
      </c>
      <c r="AA152" t="s">
        <v>793</v>
      </c>
      <c r="AB152" t="s">
        <v>794</v>
      </c>
      <c r="AC152" t="s">
        <v>713</v>
      </c>
      <c r="AD152" t="s">
        <v>795</v>
      </c>
      <c r="AE152" t="s">
        <v>796</v>
      </c>
      <c r="AJ152">
        <v>40000</v>
      </c>
      <c r="AK152" t="s">
        <v>4474</v>
      </c>
    </row>
    <row r="153" spans="1:37">
      <c r="A153">
        <v>151</v>
      </c>
      <c r="B153" t="s">
        <v>1498</v>
      </c>
      <c r="C153">
        <v>277</v>
      </c>
      <c r="D153" t="s">
        <v>1310</v>
      </c>
      <c r="E153" t="s">
        <v>713</v>
      </c>
      <c r="F153" t="s">
        <v>1118</v>
      </c>
      <c r="G153" t="s">
        <v>28</v>
      </c>
      <c r="H153" t="s">
        <v>1118</v>
      </c>
      <c r="I153" t="s">
        <v>1118</v>
      </c>
      <c r="J153" t="s">
        <v>1498</v>
      </c>
      <c r="N153" t="s">
        <v>787</v>
      </c>
      <c r="P153" t="s">
        <v>62</v>
      </c>
      <c r="Q153" t="s">
        <v>62</v>
      </c>
      <c r="R153" t="s">
        <v>1499</v>
      </c>
      <c r="S153" t="s">
        <v>788</v>
      </c>
      <c r="T153" t="s">
        <v>1500</v>
      </c>
      <c r="U153" t="s">
        <v>1501</v>
      </c>
      <c r="V153" t="s">
        <v>876</v>
      </c>
      <c r="W153">
        <v>37601</v>
      </c>
      <c r="X153">
        <v>23</v>
      </c>
      <c r="Y153" t="s">
        <v>1502</v>
      </c>
      <c r="Z153" t="s">
        <v>1503</v>
      </c>
      <c r="AA153" t="s">
        <v>793</v>
      </c>
      <c r="AB153" t="s">
        <v>794</v>
      </c>
      <c r="AC153" t="s">
        <v>713</v>
      </c>
      <c r="AD153" t="s">
        <v>713</v>
      </c>
      <c r="AE153" t="s">
        <v>1504</v>
      </c>
      <c r="AH153" t="s">
        <v>832</v>
      </c>
      <c r="AJ153">
        <v>2200</v>
      </c>
    </row>
    <row r="154" spans="1:37">
      <c r="A154">
        <v>152</v>
      </c>
      <c r="B154" t="s">
        <v>1505</v>
      </c>
      <c r="C154">
        <v>279</v>
      </c>
      <c r="D154" t="s">
        <v>1310</v>
      </c>
      <c r="E154" t="s">
        <v>713</v>
      </c>
      <c r="F154" t="s">
        <v>1118</v>
      </c>
      <c r="G154" t="s">
        <v>28</v>
      </c>
      <c r="H154" t="s">
        <v>1118</v>
      </c>
      <c r="I154" t="s">
        <v>1118</v>
      </c>
      <c r="J154" t="s">
        <v>1498</v>
      </c>
      <c r="N154" t="s">
        <v>787</v>
      </c>
      <c r="S154" t="s">
        <v>788</v>
      </c>
      <c r="T154" t="s">
        <v>206</v>
      </c>
      <c r="U154" t="s">
        <v>1506</v>
      </c>
      <c r="V154" t="s">
        <v>876</v>
      </c>
      <c r="W154">
        <v>37601</v>
      </c>
      <c r="X154">
        <v>23</v>
      </c>
      <c r="Y154" t="s">
        <v>1507</v>
      </c>
      <c r="Z154" t="s">
        <v>1508</v>
      </c>
      <c r="AA154" t="s">
        <v>793</v>
      </c>
      <c r="AB154" t="s">
        <v>794</v>
      </c>
      <c r="AC154" t="s">
        <v>713</v>
      </c>
      <c r="AD154" t="s">
        <v>713</v>
      </c>
      <c r="AE154" t="s">
        <v>1509</v>
      </c>
      <c r="AJ154">
        <v>2081</v>
      </c>
    </row>
    <row r="155" spans="1:37">
      <c r="A155">
        <v>153</v>
      </c>
      <c r="B155" t="s">
        <v>1510</v>
      </c>
      <c r="C155">
        <v>281</v>
      </c>
      <c r="D155" t="s">
        <v>1310</v>
      </c>
      <c r="E155" t="s">
        <v>713</v>
      </c>
      <c r="F155" t="s">
        <v>1118</v>
      </c>
      <c r="G155" t="s">
        <v>28</v>
      </c>
      <c r="H155" t="s">
        <v>1118</v>
      </c>
      <c r="I155" t="s">
        <v>1118</v>
      </c>
      <c r="J155" t="s">
        <v>1498</v>
      </c>
      <c r="N155" t="s">
        <v>787</v>
      </c>
      <c r="P155" t="s">
        <v>163</v>
      </c>
      <c r="Q155" t="s">
        <v>500</v>
      </c>
      <c r="R155" t="s">
        <v>49</v>
      </c>
      <c r="S155" t="s">
        <v>788</v>
      </c>
      <c r="T155" t="s">
        <v>322</v>
      </c>
      <c r="U155" t="s">
        <v>1511</v>
      </c>
      <c r="V155" t="s">
        <v>876</v>
      </c>
      <c r="W155">
        <v>36694</v>
      </c>
      <c r="X155">
        <v>25</v>
      </c>
      <c r="Y155" t="s">
        <v>1512</v>
      </c>
      <c r="Z155" t="s">
        <v>1513</v>
      </c>
      <c r="AA155" t="s">
        <v>793</v>
      </c>
      <c r="AB155" t="s">
        <v>794</v>
      </c>
      <c r="AC155" t="s">
        <v>713</v>
      </c>
      <c r="AD155" t="s">
        <v>713</v>
      </c>
      <c r="AE155" t="s">
        <v>1514</v>
      </c>
      <c r="AH155" t="s">
        <v>832</v>
      </c>
      <c r="AJ155" t="s">
        <v>4478</v>
      </c>
    </row>
    <row r="156" spans="1:37">
      <c r="A156">
        <v>154</v>
      </c>
      <c r="B156" t="s">
        <v>1515</v>
      </c>
      <c r="C156">
        <v>283</v>
      </c>
      <c r="D156" t="s">
        <v>1310</v>
      </c>
      <c r="E156" t="s">
        <v>713</v>
      </c>
      <c r="F156" t="s">
        <v>1106</v>
      </c>
      <c r="G156" t="s">
        <v>28</v>
      </c>
      <c r="H156" t="s">
        <v>1118</v>
      </c>
      <c r="I156" t="s">
        <v>1118</v>
      </c>
      <c r="J156" t="s">
        <v>1498</v>
      </c>
      <c r="N156" t="s">
        <v>787</v>
      </c>
      <c r="P156" t="s">
        <v>49</v>
      </c>
      <c r="Q156" t="s">
        <v>168</v>
      </c>
      <c r="S156" t="s">
        <v>788</v>
      </c>
      <c r="T156" t="s">
        <v>246</v>
      </c>
      <c r="U156" t="s">
        <v>1516</v>
      </c>
      <c r="V156" t="s">
        <v>876</v>
      </c>
      <c r="W156">
        <v>35604</v>
      </c>
      <c r="X156">
        <v>28</v>
      </c>
      <c r="Y156" t="s">
        <v>1517</v>
      </c>
      <c r="Z156" t="s">
        <v>1518</v>
      </c>
      <c r="AA156" t="s">
        <v>793</v>
      </c>
      <c r="AB156" t="s">
        <v>794</v>
      </c>
      <c r="AC156" t="s">
        <v>713</v>
      </c>
      <c r="AD156" t="s">
        <v>713</v>
      </c>
      <c r="AE156" t="s">
        <v>1519</v>
      </c>
      <c r="AJ156">
        <v>9700</v>
      </c>
    </row>
    <row r="157" spans="1:37">
      <c r="A157">
        <v>155</v>
      </c>
      <c r="B157" t="s">
        <v>1520</v>
      </c>
      <c r="C157">
        <v>285</v>
      </c>
      <c r="D157" t="s">
        <v>1310</v>
      </c>
      <c r="E157" t="s">
        <v>713</v>
      </c>
      <c r="F157" t="s">
        <v>1118</v>
      </c>
      <c r="G157" t="s">
        <v>28</v>
      </c>
      <c r="H157" t="s">
        <v>1118</v>
      </c>
      <c r="I157" t="s">
        <v>1520</v>
      </c>
      <c r="J157" t="s">
        <v>1521</v>
      </c>
      <c r="N157" t="s">
        <v>828</v>
      </c>
      <c r="P157" t="s">
        <v>49</v>
      </c>
      <c r="Q157" t="s">
        <v>49</v>
      </c>
      <c r="S157" t="s">
        <v>799</v>
      </c>
      <c r="T157" t="s">
        <v>167</v>
      </c>
      <c r="U157" t="s">
        <v>1522</v>
      </c>
      <c r="V157" t="s">
        <v>790</v>
      </c>
      <c r="W157">
        <v>28283</v>
      </c>
      <c r="X157">
        <v>48</v>
      </c>
      <c r="Y157" t="s">
        <v>1523</v>
      </c>
      <c r="Z157" t="s">
        <v>1524</v>
      </c>
      <c r="AA157" t="s">
        <v>802</v>
      </c>
      <c r="AB157" t="s">
        <v>794</v>
      </c>
      <c r="AC157" t="s">
        <v>713</v>
      </c>
      <c r="AD157" t="s">
        <v>713</v>
      </c>
      <c r="AE157" t="s">
        <v>1525</v>
      </c>
      <c r="AH157" t="s">
        <v>832</v>
      </c>
      <c r="AJ157">
        <v>7500</v>
      </c>
    </row>
    <row r="158" spans="1:37">
      <c r="A158">
        <v>156</v>
      </c>
      <c r="B158" t="s">
        <v>1521</v>
      </c>
      <c r="C158">
        <v>287</v>
      </c>
      <c r="D158" t="s">
        <v>811</v>
      </c>
      <c r="E158" t="s">
        <v>713</v>
      </c>
      <c r="F158" t="s">
        <v>1118</v>
      </c>
      <c r="G158" t="s">
        <v>28</v>
      </c>
      <c r="H158" t="s">
        <v>1118</v>
      </c>
      <c r="I158" t="s">
        <v>1520</v>
      </c>
      <c r="J158" t="s">
        <v>1521</v>
      </c>
      <c r="N158" t="s">
        <v>828</v>
      </c>
      <c r="O158" t="s">
        <v>308</v>
      </c>
      <c r="P158" t="s">
        <v>62</v>
      </c>
      <c r="Q158" t="s">
        <v>548</v>
      </c>
      <c r="S158" t="s">
        <v>799</v>
      </c>
      <c r="T158" t="s">
        <v>187</v>
      </c>
      <c r="U158" t="s">
        <v>1526</v>
      </c>
      <c r="V158" t="s">
        <v>790</v>
      </c>
      <c r="W158">
        <v>30250</v>
      </c>
      <c r="X158">
        <v>43</v>
      </c>
      <c r="Y158" t="s">
        <v>1527</v>
      </c>
      <c r="Z158" t="s">
        <v>1528</v>
      </c>
      <c r="AA158" t="s">
        <v>842</v>
      </c>
      <c r="AB158" t="s">
        <v>851</v>
      </c>
      <c r="AC158" t="s">
        <v>713</v>
      </c>
      <c r="AD158" t="s">
        <v>713</v>
      </c>
      <c r="AE158" t="s">
        <v>1529</v>
      </c>
      <c r="AH158" t="s">
        <v>1087</v>
      </c>
      <c r="AJ158">
        <v>15000</v>
      </c>
    </row>
    <row r="159" spans="1:37">
      <c r="A159">
        <v>157</v>
      </c>
      <c r="B159" t="s">
        <v>1530</v>
      </c>
      <c r="C159">
        <v>289</v>
      </c>
      <c r="D159" t="s">
        <v>1310</v>
      </c>
      <c r="E159" t="s">
        <v>713</v>
      </c>
      <c r="F159" t="s">
        <v>1118</v>
      </c>
      <c r="G159" t="s">
        <v>28</v>
      </c>
      <c r="H159" t="s">
        <v>1118</v>
      </c>
      <c r="I159" t="s">
        <v>1520</v>
      </c>
      <c r="J159" t="s">
        <v>1521</v>
      </c>
      <c r="N159" t="s">
        <v>828</v>
      </c>
      <c r="S159" t="s">
        <v>799</v>
      </c>
      <c r="T159" t="s">
        <v>277</v>
      </c>
      <c r="U159" t="s">
        <v>1531</v>
      </c>
      <c r="V159" t="s">
        <v>790</v>
      </c>
      <c r="W159">
        <v>33040</v>
      </c>
      <c r="X159">
        <v>35</v>
      </c>
      <c r="Y159" t="s">
        <v>1532</v>
      </c>
      <c r="Z159" t="s">
        <v>1533</v>
      </c>
      <c r="AA159" t="s">
        <v>842</v>
      </c>
      <c r="AB159" t="s">
        <v>851</v>
      </c>
      <c r="AC159" t="s">
        <v>713</v>
      </c>
      <c r="AD159" t="s">
        <v>713</v>
      </c>
      <c r="AE159" t="s">
        <v>1534</v>
      </c>
      <c r="AH159" t="s">
        <v>1535</v>
      </c>
    </row>
    <row r="160" spans="1:37">
      <c r="A160">
        <v>158</v>
      </c>
      <c r="B160" t="s">
        <v>1536</v>
      </c>
      <c r="C160">
        <v>291</v>
      </c>
      <c r="D160" t="s">
        <v>811</v>
      </c>
      <c r="E160" t="s">
        <v>713</v>
      </c>
      <c r="F160" t="s">
        <v>1118</v>
      </c>
      <c r="G160" t="s">
        <v>28</v>
      </c>
      <c r="H160" t="s">
        <v>1118</v>
      </c>
      <c r="I160" t="s">
        <v>1520</v>
      </c>
      <c r="J160" t="s">
        <v>1521</v>
      </c>
      <c r="N160" t="s">
        <v>828</v>
      </c>
      <c r="O160" t="s">
        <v>308</v>
      </c>
      <c r="S160" t="s">
        <v>799</v>
      </c>
      <c r="T160" t="s">
        <v>207</v>
      </c>
      <c r="U160" t="s">
        <v>1537</v>
      </c>
      <c r="V160" t="s">
        <v>790</v>
      </c>
      <c r="W160">
        <v>28259</v>
      </c>
      <c r="X160">
        <v>48</v>
      </c>
      <c r="Y160" t="s">
        <v>1538</v>
      </c>
      <c r="Z160" t="s">
        <v>1539</v>
      </c>
      <c r="AA160" t="s">
        <v>842</v>
      </c>
      <c r="AB160" t="s">
        <v>843</v>
      </c>
      <c r="AC160" t="s">
        <v>713</v>
      </c>
      <c r="AD160" t="s">
        <v>713</v>
      </c>
      <c r="AE160" t="s">
        <v>1229</v>
      </c>
      <c r="AH160" t="s">
        <v>1087</v>
      </c>
      <c r="AJ160">
        <v>7100</v>
      </c>
    </row>
    <row r="161" spans="1:35">
      <c r="A161">
        <v>159</v>
      </c>
      <c r="B161" t="s">
        <v>1540</v>
      </c>
      <c r="C161">
        <v>293</v>
      </c>
      <c r="D161" t="s">
        <v>811</v>
      </c>
      <c r="E161" t="s">
        <v>713</v>
      </c>
      <c r="F161" t="s">
        <v>1118</v>
      </c>
      <c r="G161" t="s">
        <v>28</v>
      </c>
      <c r="H161" t="s">
        <v>1118</v>
      </c>
      <c r="I161" t="s">
        <v>1520</v>
      </c>
      <c r="J161" t="s">
        <v>1521</v>
      </c>
      <c r="N161" t="s">
        <v>828</v>
      </c>
      <c r="O161" t="s">
        <v>308</v>
      </c>
      <c r="S161" t="s">
        <v>799</v>
      </c>
      <c r="T161" t="s">
        <v>227</v>
      </c>
      <c r="U161" t="s">
        <v>1541</v>
      </c>
      <c r="V161" t="s">
        <v>790</v>
      </c>
      <c r="W161">
        <v>29734</v>
      </c>
      <c r="X161">
        <v>44</v>
      </c>
      <c r="Y161" t="s">
        <v>1542</v>
      </c>
      <c r="Z161" t="s">
        <v>1543</v>
      </c>
      <c r="AA161" t="s">
        <v>842</v>
      </c>
      <c r="AB161" t="s">
        <v>843</v>
      </c>
      <c r="AC161" t="s">
        <v>942</v>
      </c>
      <c r="AD161" t="s">
        <v>713</v>
      </c>
      <c r="AE161" t="s">
        <v>1313</v>
      </c>
      <c r="AH161" t="s">
        <v>1087</v>
      </c>
    </row>
    <row r="162" spans="1:35">
      <c r="A162">
        <v>160</v>
      </c>
      <c r="B162" t="s">
        <v>1544</v>
      </c>
      <c r="C162">
        <v>295</v>
      </c>
      <c r="D162" t="s">
        <v>811</v>
      </c>
      <c r="E162" t="s">
        <v>713</v>
      </c>
      <c r="F162" t="s">
        <v>1118</v>
      </c>
      <c r="G162" t="s">
        <v>28</v>
      </c>
      <c r="H162" t="s">
        <v>1118</v>
      </c>
      <c r="I162" t="s">
        <v>1520</v>
      </c>
      <c r="J162" t="s">
        <v>1521</v>
      </c>
      <c r="N162" t="s">
        <v>828</v>
      </c>
      <c r="O162" t="s">
        <v>308</v>
      </c>
      <c r="S162" t="s">
        <v>799</v>
      </c>
      <c r="T162" t="s">
        <v>247</v>
      </c>
      <c r="U162" t="s">
        <v>1545</v>
      </c>
      <c r="V162" t="s">
        <v>790</v>
      </c>
      <c r="W162">
        <v>30020</v>
      </c>
      <c r="X162">
        <v>43</v>
      </c>
      <c r="Y162" t="s">
        <v>1546</v>
      </c>
      <c r="Z162" t="s">
        <v>1547</v>
      </c>
      <c r="AA162" t="s">
        <v>842</v>
      </c>
      <c r="AB162" t="s">
        <v>843</v>
      </c>
      <c r="AC162" t="s">
        <v>713</v>
      </c>
      <c r="AD162" t="s">
        <v>713</v>
      </c>
      <c r="AE162" t="s">
        <v>1229</v>
      </c>
      <c r="AH162" t="s">
        <v>1087</v>
      </c>
    </row>
    <row r="163" spans="1:35">
      <c r="A163">
        <v>161</v>
      </c>
      <c r="B163" t="s">
        <v>1548</v>
      </c>
      <c r="C163">
        <v>297</v>
      </c>
      <c r="D163" t="s">
        <v>811</v>
      </c>
      <c r="E163" t="s">
        <v>713</v>
      </c>
      <c r="F163" t="s">
        <v>1118</v>
      </c>
      <c r="G163" t="s">
        <v>28</v>
      </c>
      <c r="H163" t="s">
        <v>1118</v>
      </c>
      <c r="I163" t="s">
        <v>1520</v>
      </c>
      <c r="J163" t="s">
        <v>1521</v>
      </c>
      <c r="N163" t="s">
        <v>828</v>
      </c>
      <c r="O163" t="s">
        <v>308</v>
      </c>
      <c r="S163" t="s">
        <v>799</v>
      </c>
      <c r="T163" t="s">
        <v>262</v>
      </c>
      <c r="U163" t="s">
        <v>1549</v>
      </c>
      <c r="V163" t="s">
        <v>790</v>
      </c>
      <c r="W163">
        <v>34787</v>
      </c>
      <c r="X163">
        <v>30</v>
      </c>
      <c r="Y163" t="s">
        <v>1550</v>
      </c>
      <c r="Z163" t="s">
        <v>1551</v>
      </c>
      <c r="AA163" t="s">
        <v>842</v>
      </c>
      <c r="AB163" t="s">
        <v>843</v>
      </c>
      <c r="AC163" t="s">
        <v>1256</v>
      </c>
      <c r="AD163" t="s">
        <v>1552</v>
      </c>
      <c r="AE163" t="s">
        <v>1553</v>
      </c>
      <c r="AH163" t="s">
        <v>1087</v>
      </c>
    </row>
    <row r="164" spans="1:35">
      <c r="A164">
        <v>162</v>
      </c>
      <c r="B164" t="s">
        <v>1554</v>
      </c>
      <c r="C164">
        <v>298</v>
      </c>
      <c r="D164" t="s">
        <v>1310</v>
      </c>
      <c r="E164" t="s">
        <v>713</v>
      </c>
      <c r="F164" t="s">
        <v>1118</v>
      </c>
      <c r="G164" t="s">
        <v>28</v>
      </c>
      <c r="H164" t="s">
        <v>1118</v>
      </c>
      <c r="I164" t="s">
        <v>1520</v>
      </c>
      <c r="J164" t="s">
        <v>1521</v>
      </c>
      <c r="N164" t="s">
        <v>828</v>
      </c>
      <c r="S164" t="s">
        <v>799</v>
      </c>
      <c r="T164" t="s">
        <v>1555</v>
      </c>
      <c r="U164" t="s">
        <v>1556</v>
      </c>
      <c r="V164" t="s">
        <v>790</v>
      </c>
      <c r="W164">
        <v>29202</v>
      </c>
      <c r="X164">
        <v>46</v>
      </c>
      <c r="Y164" t="s">
        <v>1557</v>
      </c>
      <c r="AA164" t="s">
        <v>842</v>
      </c>
      <c r="AB164" t="s">
        <v>843</v>
      </c>
      <c r="AC164" t="s">
        <v>713</v>
      </c>
      <c r="AD164" t="s">
        <v>713</v>
      </c>
      <c r="AE164" t="s">
        <v>1558</v>
      </c>
      <c r="AG164" t="s">
        <v>1559</v>
      </c>
      <c r="AH164" t="s">
        <v>844</v>
      </c>
      <c r="AI164" t="s">
        <v>1560</v>
      </c>
    </row>
    <row r="165" spans="1:35">
      <c r="A165">
        <v>163</v>
      </c>
      <c r="B165" t="s">
        <v>1561</v>
      </c>
      <c r="C165">
        <v>300</v>
      </c>
      <c r="D165" t="s">
        <v>1310</v>
      </c>
      <c r="E165" t="s">
        <v>713</v>
      </c>
      <c r="F165" t="s">
        <v>1118</v>
      </c>
      <c r="G165" t="s">
        <v>28</v>
      </c>
      <c r="H165" t="s">
        <v>1118</v>
      </c>
      <c r="I165" t="s">
        <v>1520</v>
      </c>
      <c r="J165" t="s">
        <v>1521</v>
      </c>
      <c r="N165" t="s">
        <v>828</v>
      </c>
      <c r="S165" t="s">
        <v>788</v>
      </c>
      <c r="T165" t="s">
        <v>1562</v>
      </c>
      <c r="U165" t="s">
        <v>1563</v>
      </c>
      <c r="V165" t="s">
        <v>790</v>
      </c>
      <c r="W165">
        <v>33672</v>
      </c>
      <c r="X165">
        <v>33</v>
      </c>
      <c r="Y165" t="s">
        <v>1564</v>
      </c>
      <c r="AA165" t="s">
        <v>842</v>
      </c>
      <c r="AB165" t="s">
        <v>843</v>
      </c>
      <c r="AC165" t="s">
        <v>713</v>
      </c>
      <c r="AD165" t="s">
        <v>713</v>
      </c>
      <c r="AE165" t="s">
        <v>1294</v>
      </c>
      <c r="AG165" t="s">
        <v>1565</v>
      </c>
      <c r="AH165" t="s">
        <v>844</v>
      </c>
      <c r="AI165" t="s">
        <v>1560</v>
      </c>
    </row>
    <row r="166" spans="1:35">
      <c r="A166">
        <v>164</v>
      </c>
      <c r="B166" t="s">
        <v>1566</v>
      </c>
      <c r="C166">
        <v>302</v>
      </c>
      <c r="D166" t="s">
        <v>1310</v>
      </c>
      <c r="E166" t="s">
        <v>713</v>
      </c>
      <c r="F166" t="s">
        <v>1118</v>
      </c>
      <c r="G166" t="s">
        <v>28</v>
      </c>
      <c r="H166" t="s">
        <v>1118</v>
      </c>
      <c r="I166" t="s">
        <v>1520</v>
      </c>
      <c r="J166" t="s">
        <v>1521</v>
      </c>
      <c r="N166" t="s">
        <v>828</v>
      </c>
      <c r="S166" t="s">
        <v>799</v>
      </c>
      <c r="T166" t="s">
        <v>1567</v>
      </c>
      <c r="U166" t="s">
        <v>1568</v>
      </c>
      <c r="V166" t="s">
        <v>790</v>
      </c>
      <c r="W166">
        <v>30297</v>
      </c>
      <c r="X166">
        <v>43</v>
      </c>
      <c r="Y166" t="s">
        <v>1569</v>
      </c>
      <c r="AA166" t="s">
        <v>842</v>
      </c>
      <c r="AB166" t="s">
        <v>843</v>
      </c>
      <c r="AC166" t="s">
        <v>713</v>
      </c>
      <c r="AD166" t="s">
        <v>713</v>
      </c>
      <c r="AE166" t="s">
        <v>1570</v>
      </c>
      <c r="AF166" t="s">
        <v>1571</v>
      </c>
      <c r="AG166" t="s">
        <v>1572</v>
      </c>
      <c r="AH166" t="s">
        <v>1535</v>
      </c>
      <c r="AI166" t="s">
        <v>1573</v>
      </c>
    </row>
    <row r="167" spans="1:35">
      <c r="A167">
        <v>165</v>
      </c>
      <c r="B167" t="s">
        <v>1574</v>
      </c>
      <c r="C167">
        <v>304</v>
      </c>
      <c r="D167" t="s">
        <v>1310</v>
      </c>
      <c r="E167" t="s">
        <v>713</v>
      </c>
      <c r="F167" t="s">
        <v>1118</v>
      </c>
      <c r="G167" t="s">
        <v>28</v>
      </c>
      <c r="H167" t="s">
        <v>1118</v>
      </c>
      <c r="I167" t="s">
        <v>1520</v>
      </c>
      <c r="J167" t="s">
        <v>1521</v>
      </c>
      <c r="N167" t="s">
        <v>828</v>
      </c>
      <c r="S167" t="s">
        <v>799</v>
      </c>
      <c r="T167" t="s">
        <v>1575</v>
      </c>
      <c r="U167" t="s">
        <v>1576</v>
      </c>
      <c r="V167" t="s">
        <v>790</v>
      </c>
      <c r="W167">
        <v>30831</v>
      </c>
      <c r="X167">
        <v>41</v>
      </c>
      <c r="Y167" t="s">
        <v>1577</v>
      </c>
      <c r="AA167" t="s">
        <v>842</v>
      </c>
      <c r="AB167" t="s">
        <v>843</v>
      </c>
      <c r="AC167" t="s">
        <v>713</v>
      </c>
      <c r="AD167" t="s">
        <v>713</v>
      </c>
      <c r="AE167" t="s">
        <v>1177</v>
      </c>
      <c r="AG167" t="s">
        <v>1578</v>
      </c>
      <c r="AH167" t="s">
        <v>1535</v>
      </c>
      <c r="AI167" t="s">
        <v>1560</v>
      </c>
    </row>
    <row r="168" spans="1:35">
      <c r="A168">
        <v>166</v>
      </c>
      <c r="B168" t="s">
        <v>1173</v>
      </c>
      <c r="C168">
        <v>306</v>
      </c>
      <c r="E168" t="s">
        <v>713</v>
      </c>
      <c r="F168" t="s">
        <v>1118</v>
      </c>
      <c r="G168" t="s">
        <v>28</v>
      </c>
      <c r="H168" t="s">
        <v>1118</v>
      </c>
      <c r="I168" t="s">
        <v>1173</v>
      </c>
      <c r="J168" t="s">
        <v>1579</v>
      </c>
      <c r="N168" t="s">
        <v>938</v>
      </c>
      <c r="P168" t="s">
        <v>49</v>
      </c>
      <c r="Q168" t="s">
        <v>168</v>
      </c>
      <c r="T168" t="s">
        <v>169</v>
      </c>
      <c r="U168" t="s">
        <v>1174</v>
      </c>
      <c r="V168" t="s">
        <v>790</v>
      </c>
      <c r="W168">
        <v>31834</v>
      </c>
      <c r="X168">
        <v>38</v>
      </c>
      <c r="Y168" t="s">
        <v>1175</v>
      </c>
      <c r="Z168" t="s">
        <v>1176</v>
      </c>
      <c r="AA168" t="s">
        <v>802</v>
      </c>
      <c r="AB168" t="s">
        <v>794</v>
      </c>
      <c r="AC168" t="s">
        <v>713</v>
      </c>
      <c r="AD168" t="s">
        <v>1163</v>
      </c>
      <c r="AE168" t="s">
        <v>1177</v>
      </c>
      <c r="AF168" t="s">
        <v>872</v>
      </c>
    </row>
    <row r="169" spans="1:35">
      <c r="A169">
        <v>167</v>
      </c>
      <c r="B169" t="s">
        <v>1579</v>
      </c>
      <c r="C169">
        <v>308</v>
      </c>
      <c r="D169" t="s">
        <v>811</v>
      </c>
      <c r="E169" t="s">
        <v>713</v>
      </c>
      <c r="F169" t="s">
        <v>1118</v>
      </c>
      <c r="G169" t="s">
        <v>28</v>
      </c>
      <c r="H169" t="s">
        <v>1118</v>
      </c>
      <c r="I169" t="s">
        <v>1173</v>
      </c>
      <c r="J169" t="s">
        <v>1579</v>
      </c>
      <c r="N169" t="s">
        <v>938</v>
      </c>
      <c r="O169" t="s">
        <v>308</v>
      </c>
      <c r="P169" t="s">
        <v>62</v>
      </c>
      <c r="Q169" t="s">
        <v>62</v>
      </c>
      <c r="S169" t="s">
        <v>799</v>
      </c>
      <c r="T169" t="s">
        <v>188</v>
      </c>
      <c r="U169" t="s">
        <v>1580</v>
      </c>
      <c r="V169" t="s">
        <v>790</v>
      </c>
      <c r="W169">
        <v>35647</v>
      </c>
      <c r="X169">
        <v>28</v>
      </c>
      <c r="Y169" t="s">
        <v>1581</v>
      </c>
      <c r="Z169" t="s">
        <v>1582</v>
      </c>
      <c r="AA169" t="s">
        <v>842</v>
      </c>
      <c r="AB169" t="s">
        <v>843</v>
      </c>
      <c r="AC169" t="s">
        <v>713</v>
      </c>
      <c r="AD169" t="s">
        <v>713</v>
      </c>
      <c r="AE169" t="s">
        <v>1583</v>
      </c>
      <c r="AH169" t="s">
        <v>1087</v>
      </c>
    </row>
    <row r="170" spans="1:35">
      <c r="A170">
        <v>168</v>
      </c>
      <c r="B170" t="s">
        <v>1584</v>
      </c>
      <c r="C170">
        <v>310</v>
      </c>
      <c r="D170" t="s">
        <v>1310</v>
      </c>
      <c r="E170" t="s">
        <v>713</v>
      </c>
      <c r="F170" t="s">
        <v>1118</v>
      </c>
      <c r="G170" t="s">
        <v>28</v>
      </c>
      <c r="H170" t="s">
        <v>1118</v>
      </c>
      <c r="I170" t="s">
        <v>1173</v>
      </c>
      <c r="J170" t="s">
        <v>1579</v>
      </c>
      <c r="N170" t="s">
        <v>938</v>
      </c>
      <c r="S170" t="s">
        <v>788</v>
      </c>
      <c r="T170" t="s">
        <v>1585</v>
      </c>
      <c r="U170" t="s">
        <v>1586</v>
      </c>
      <c r="V170" t="s">
        <v>790</v>
      </c>
      <c r="W170">
        <v>37703</v>
      </c>
      <c r="X170">
        <v>22</v>
      </c>
      <c r="Y170" t="s">
        <v>1587</v>
      </c>
      <c r="Z170" t="s">
        <v>1588</v>
      </c>
      <c r="AA170" t="s">
        <v>793</v>
      </c>
      <c r="AB170" t="s">
        <v>794</v>
      </c>
      <c r="AC170" t="s">
        <v>713</v>
      </c>
      <c r="AD170" t="s">
        <v>713</v>
      </c>
      <c r="AH170" t="s">
        <v>844</v>
      </c>
    </row>
    <row r="171" spans="1:35">
      <c r="A171">
        <v>169</v>
      </c>
      <c r="B171" t="s">
        <v>1589</v>
      </c>
      <c r="C171">
        <v>312</v>
      </c>
      <c r="D171" t="s">
        <v>1001</v>
      </c>
      <c r="E171" t="s">
        <v>713</v>
      </c>
      <c r="F171" t="s">
        <v>1118</v>
      </c>
      <c r="G171" t="s">
        <v>28</v>
      </c>
      <c r="H171" t="s">
        <v>1118</v>
      </c>
      <c r="I171" t="s">
        <v>1173</v>
      </c>
      <c r="J171" t="s">
        <v>1579</v>
      </c>
      <c r="N171" t="s">
        <v>938</v>
      </c>
      <c r="O171" t="s">
        <v>308</v>
      </c>
      <c r="S171" t="s">
        <v>788</v>
      </c>
      <c r="T171" t="s">
        <v>208</v>
      </c>
      <c r="U171" t="s">
        <v>1590</v>
      </c>
      <c r="V171" t="s">
        <v>790</v>
      </c>
      <c r="W171">
        <v>32923</v>
      </c>
      <c r="X171">
        <v>35</v>
      </c>
      <c r="Y171" t="s">
        <v>1591</v>
      </c>
      <c r="Z171" t="s">
        <v>1592</v>
      </c>
      <c r="AA171" t="s">
        <v>842</v>
      </c>
      <c r="AB171" t="s">
        <v>843</v>
      </c>
      <c r="AC171" t="s">
        <v>236</v>
      </c>
      <c r="AD171" t="s">
        <v>236</v>
      </c>
      <c r="AE171" t="s">
        <v>1593</v>
      </c>
      <c r="AH171" t="s">
        <v>1087</v>
      </c>
    </row>
    <row r="172" spans="1:35">
      <c r="A172">
        <v>170</v>
      </c>
      <c r="B172" t="s">
        <v>1594</v>
      </c>
      <c r="C172">
        <v>314</v>
      </c>
      <c r="D172" t="s">
        <v>811</v>
      </c>
      <c r="E172" t="s">
        <v>713</v>
      </c>
      <c r="F172" t="s">
        <v>1118</v>
      </c>
      <c r="G172" t="s">
        <v>28</v>
      </c>
      <c r="H172" t="s">
        <v>1118</v>
      </c>
      <c r="I172" t="s">
        <v>1173</v>
      </c>
      <c r="J172" t="s">
        <v>1579</v>
      </c>
      <c r="N172" t="s">
        <v>938</v>
      </c>
      <c r="O172" t="s">
        <v>308</v>
      </c>
      <c r="S172" t="s">
        <v>788</v>
      </c>
      <c r="T172" t="s">
        <v>228</v>
      </c>
      <c r="U172" t="s">
        <v>1595</v>
      </c>
      <c r="V172" t="s">
        <v>790</v>
      </c>
      <c r="W172">
        <v>37793</v>
      </c>
      <c r="X172">
        <v>22</v>
      </c>
      <c r="Y172" t="s">
        <v>1086</v>
      </c>
      <c r="Z172" t="s">
        <v>1596</v>
      </c>
      <c r="AA172" t="s">
        <v>842</v>
      </c>
      <c r="AB172" t="s">
        <v>851</v>
      </c>
      <c r="AC172" t="s">
        <v>713</v>
      </c>
      <c r="AD172" t="s">
        <v>713</v>
      </c>
      <c r="AE172" t="s">
        <v>1597</v>
      </c>
      <c r="AH172" t="s">
        <v>1087</v>
      </c>
    </row>
    <row r="173" spans="1:35">
      <c r="A173">
        <v>171</v>
      </c>
      <c r="B173" t="s">
        <v>1598</v>
      </c>
      <c r="C173">
        <v>316</v>
      </c>
      <c r="D173" t="s">
        <v>1001</v>
      </c>
      <c r="E173" t="s">
        <v>713</v>
      </c>
      <c r="F173" t="s">
        <v>1118</v>
      </c>
      <c r="G173" t="s">
        <v>28</v>
      </c>
      <c r="H173" t="s">
        <v>1118</v>
      </c>
      <c r="I173" t="s">
        <v>1173</v>
      </c>
      <c r="J173" t="s">
        <v>1579</v>
      </c>
      <c r="N173" t="s">
        <v>938</v>
      </c>
      <c r="O173" t="s">
        <v>308</v>
      </c>
      <c r="S173" t="s">
        <v>788</v>
      </c>
      <c r="T173" t="s">
        <v>1599</v>
      </c>
      <c r="U173" t="s">
        <v>1600</v>
      </c>
      <c r="V173" t="s">
        <v>790</v>
      </c>
      <c r="W173">
        <v>32111</v>
      </c>
      <c r="X173">
        <v>38</v>
      </c>
      <c r="Y173" t="s">
        <v>1601</v>
      </c>
      <c r="Z173" t="s">
        <v>1602</v>
      </c>
      <c r="AA173" t="s">
        <v>842</v>
      </c>
      <c r="AB173" t="s">
        <v>843</v>
      </c>
      <c r="AC173" t="s">
        <v>236</v>
      </c>
      <c r="AD173" t="s">
        <v>236</v>
      </c>
      <c r="AE173" t="s">
        <v>1603</v>
      </c>
      <c r="AH173" t="s">
        <v>1604</v>
      </c>
    </row>
    <row r="174" spans="1:35">
      <c r="A174">
        <v>172</v>
      </c>
      <c r="B174" t="s">
        <v>1605</v>
      </c>
      <c r="C174">
        <v>318</v>
      </c>
      <c r="D174" t="s">
        <v>811</v>
      </c>
      <c r="E174" t="s">
        <v>713</v>
      </c>
      <c r="F174" t="s">
        <v>1118</v>
      </c>
      <c r="G174" t="s">
        <v>28</v>
      </c>
      <c r="H174" t="s">
        <v>1118</v>
      </c>
      <c r="I174" t="s">
        <v>1173</v>
      </c>
      <c r="J174" t="s">
        <v>1579</v>
      </c>
      <c r="N174" t="s">
        <v>938</v>
      </c>
      <c r="O174" t="s">
        <v>308</v>
      </c>
      <c r="S174" t="s">
        <v>788</v>
      </c>
      <c r="T174" t="s">
        <v>263</v>
      </c>
      <c r="U174" t="s">
        <v>1606</v>
      </c>
      <c r="V174" t="s">
        <v>790</v>
      </c>
      <c r="W174">
        <v>37979</v>
      </c>
      <c r="X174">
        <v>22</v>
      </c>
      <c r="Y174" t="s">
        <v>1607</v>
      </c>
      <c r="Z174" t="s">
        <v>1608</v>
      </c>
      <c r="AA174" t="s">
        <v>842</v>
      </c>
      <c r="AB174" t="s">
        <v>843</v>
      </c>
      <c r="AC174" t="s">
        <v>713</v>
      </c>
      <c r="AD174" t="s">
        <v>713</v>
      </c>
      <c r="AE174" t="s">
        <v>1229</v>
      </c>
      <c r="AH174" t="s">
        <v>1224</v>
      </c>
    </row>
    <row r="175" spans="1:35">
      <c r="A175">
        <v>173</v>
      </c>
      <c r="B175" t="s">
        <v>1609</v>
      </c>
      <c r="C175">
        <v>320</v>
      </c>
      <c r="D175" t="s">
        <v>1310</v>
      </c>
      <c r="E175" t="s">
        <v>713</v>
      </c>
      <c r="F175" t="s">
        <v>1118</v>
      </c>
      <c r="G175" t="s">
        <v>28</v>
      </c>
      <c r="H175" t="s">
        <v>1118</v>
      </c>
      <c r="I175" t="s">
        <v>1173</v>
      </c>
      <c r="J175" t="s">
        <v>1579</v>
      </c>
      <c r="N175" t="s">
        <v>938</v>
      </c>
      <c r="O175" t="s">
        <v>308</v>
      </c>
      <c r="S175" t="s">
        <v>799</v>
      </c>
      <c r="T175" t="s">
        <v>720</v>
      </c>
      <c r="U175" t="s">
        <v>1610</v>
      </c>
      <c r="V175" t="s">
        <v>790</v>
      </c>
      <c r="W175">
        <v>34837</v>
      </c>
      <c r="X175">
        <v>30</v>
      </c>
      <c r="Y175" t="s">
        <v>1611</v>
      </c>
      <c r="AA175" t="s">
        <v>842</v>
      </c>
      <c r="AB175" t="s">
        <v>843</v>
      </c>
      <c r="AC175" t="s">
        <v>713</v>
      </c>
      <c r="AD175" t="s">
        <v>713</v>
      </c>
      <c r="AE175" t="s">
        <v>1612</v>
      </c>
      <c r="AH175" t="s">
        <v>1295</v>
      </c>
    </row>
    <row r="176" spans="1:35">
      <c r="A176">
        <v>174</v>
      </c>
      <c r="B176" t="s">
        <v>1613</v>
      </c>
      <c r="C176">
        <v>322</v>
      </c>
      <c r="D176" t="s">
        <v>1157</v>
      </c>
      <c r="E176" t="s">
        <v>713</v>
      </c>
      <c r="F176" t="s">
        <v>1118</v>
      </c>
      <c r="G176" t="s">
        <v>28</v>
      </c>
      <c r="H176" t="s">
        <v>1118</v>
      </c>
      <c r="I176" t="s">
        <v>1613</v>
      </c>
      <c r="J176" t="s">
        <v>1614</v>
      </c>
      <c r="N176" t="s">
        <v>978</v>
      </c>
      <c r="P176" t="s">
        <v>49</v>
      </c>
      <c r="Q176" t="s">
        <v>168</v>
      </c>
      <c r="S176" t="s">
        <v>874</v>
      </c>
      <c r="T176" t="s">
        <v>1615</v>
      </c>
      <c r="U176" t="s">
        <v>1616</v>
      </c>
      <c r="V176" t="s">
        <v>876</v>
      </c>
      <c r="W176">
        <v>29411</v>
      </c>
      <c r="X176">
        <v>45</v>
      </c>
      <c r="Y176" t="s">
        <v>1617</v>
      </c>
      <c r="Z176" t="s">
        <v>1618</v>
      </c>
      <c r="AA176" t="s">
        <v>802</v>
      </c>
      <c r="AB176" t="s">
        <v>794</v>
      </c>
      <c r="AC176" t="s">
        <v>713</v>
      </c>
      <c r="AD176" t="s">
        <v>1163</v>
      </c>
      <c r="AE176" t="s">
        <v>1172</v>
      </c>
    </row>
    <row r="177" spans="1:36">
      <c r="A177">
        <v>175</v>
      </c>
      <c r="B177" t="s">
        <v>1614</v>
      </c>
      <c r="C177">
        <v>324</v>
      </c>
      <c r="D177" t="s">
        <v>1310</v>
      </c>
      <c r="E177" t="s">
        <v>713</v>
      </c>
      <c r="F177" t="s">
        <v>1118</v>
      </c>
      <c r="G177" t="s">
        <v>28</v>
      </c>
      <c r="H177" t="s">
        <v>1118</v>
      </c>
      <c r="I177" t="s">
        <v>1613</v>
      </c>
      <c r="J177" t="s">
        <v>1614</v>
      </c>
      <c r="N177" t="s">
        <v>978</v>
      </c>
      <c r="P177" t="s">
        <v>62</v>
      </c>
      <c r="Q177" t="s">
        <v>548</v>
      </c>
      <c r="S177" t="s">
        <v>874</v>
      </c>
      <c r="T177" t="s">
        <v>1619</v>
      </c>
      <c r="U177" t="s">
        <v>1620</v>
      </c>
      <c r="V177" t="s">
        <v>876</v>
      </c>
      <c r="W177">
        <v>29485</v>
      </c>
      <c r="X177">
        <v>45</v>
      </c>
      <c r="Y177" t="s">
        <v>1621</v>
      </c>
      <c r="Z177" t="s">
        <v>1622</v>
      </c>
      <c r="AA177" t="s">
        <v>842</v>
      </c>
      <c r="AB177" t="s">
        <v>851</v>
      </c>
      <c r="AC177" t="s">
        <v>713</v>
      </c>
      <c r="AD177" t="s">
        <v>713</v>
      </c>
      <c r="AE177" t="s">
        <v>1229</v>
      </c>
      <c r="AH177" t="s">
        <v>1535</v>
      </c>
      <c r="AJ177">
        <v>4396</v>
      </c>
    </row>
    <row r="178" spans="1:36">
      <c r="A178">
        <v>176</v>
      </c>
      <c r="B178" t="s">
        <v>1623</v>
      </c>
      <c r="C178">
        <v>326</v>
      </c>
      <c r="D178" t="s">
        <v>1157</v>
      </c>
      <c r="E178" t="s">
        <v>713</v>
      </c>
      <c r="F178" t="s">
        <v>1118</v>
      </c>
      <c r="G178" t="s">
        <v>28</v>
      </c>
      <c r="H178" t="s">
        <v>1118</v>
      </c>
      <c r="I178" t="s">
        <v>1613</v>
      </c>
      <c r="J178" t="s">
        <v>1614</v>
      </c>
      <c r="N178" t="s">
        <v>978</v>
      </c>
      <c r="S178" t="s">
        <v>874</v>
      </c>
      <c r="T178" t="s">
        <v>1624</v>
      </c>
      <c r="U178" t="s">
        <v>1625</v>
      </c>
      <c r="V178" t="s">
        <v>876</v>
      </c>
      <c r="W178">
        <v>28450</v>
      </c>
      <c r="X178">
        <v>48</v>
      </c>
      <c r="Y178" t="s">
        <v>1626</v>
      </c>
      <c r="Z178" t="s">
        <v>1627</v>
      </c>
      <c r="AA178" t="s">
        <v>842</v>
      </c>
      <c r="AB178" t="s">
        <v>851</v>
      </c>
      <c r="AC178" t="s">
        <v>713</v>
      </c>
      <c r="AD178" t="s">
        <v>1163</v>
      </c>
      <c r="AE178" t="s">
        <v>1172</v>
      </c>
      <c r="AH178" t="s">
        <v>832</v>
      </c>
    </row>
    <row r="179" spans="1:36">
      <c r="A179">
        <v>177</v>
      </c>
      <c r="B179" t="s">
        <v>1628</v>
      </c>
      <c r="C179">
        <v>328</v>
      </c>
      <c r="D179" t="s">
        <v>1310</v>
      </c>
      <c r="E179" t="s">
        <v>713</v>
      </c>
      <c r="F179" t="s">
        <v>1118</v>
      </c>
      <c r="G179" t="s">
        <v>28</v>
      </c>
      <c r="H179" t="s">
        <v>1118</v>
      </c>
      <c r="I179" t="s">
        <v>1613</v>
      </c>
      <c r="J179" t="s">
        <v>1614</v>
      </c>
      <c r="N179" t="s">
        <v>978</v>
      </c>
      <c r="S179" t="s">
        <v>874</v>
      </c>
      <c r="T179" t="s">
        <v>1629</v>
      </c>
      <c r="U179" t="s">
        <v>1630</v>
      </c>
      <c r="V179" t="s">
        <v>876</v>
      </c>
      <c r="W179">
        <v>31343</v>
      </c>
      <c r="X179">
        <v>40</v>
      </c>
      <c r="Y179" t="s">
        <v>1631</v>
      </c>
      <c r="Z179" t="s">
        <v>1632</v>
      </c>
      <c r="AA179" t="s">
        <v>842</v>
      </c>
      <c r="AB179" t="s">
        <v>851</v>
      </c>
      <c r="AC179" t="s">
        <v>713</v>
      </c>
      <c r="AD179" t="s">
        <v>713</v>
      </c>
      <c r="AE179" t="s">
        <v>1633</v>
      </c>
      <c r="AH179" t="s">
        <v>844</v>
      </c>
    </row>
    <row r="180" spans="1:36">
      <c r="A180">
        <v>178</v>
      </c>
      <c r="B180" t="s">
        <v>1634</v>
      </c>
      <c r="C180">
        <v>330</v>
      </c>
      <c r="D180" t="s">
        <v>1310</v>
      </c>
      <c r="E180" t="s">
        <v>713</v>
      </c>
      <c r="F180" t="s">
        <v>1118</v>
      </c>
      <c r="G180" t="s">
        <v>28</v>
      </c>
      <c r="H180" t="s">
        <v>1118</v>
      </c>
      <c r="I180" t="s">
        <v>1613</v>
      </c>
      <c r="J180" t="s">
        <v>1614</v>
      </c>
      <c r="N180" t="s">
        <v>978</v>
      </c>
      <c r="R180" t="s">
        <v>1635</v>
      </c>
      <c r="S180" t="s">
        <v>874</v>
      </c>
      <c r="T180" t="s">
        <v>1636</v>
      </c>
      <c r="U180" t="s">
        <v>1637</v>
      </c>
      <c r="V180" t="s">
        <v>876</v>
      </c>
      <c r="W180">
        <v>31414</v>
      </c>
      <c r="X180">
        <v>40</v>
      </c>
      <c r="Y180" t="s">
        <v>1638</v>
      </c>
      <c r="Z180" t="s">
        <v>1639</v>
      </c>
      <c r="AA180" t="s">
        <v>802</v>
      </c>
      <c r="AB180" t="s">
        <v>794</v>
      </c>
      <c r="AC180" t="s">
        <v>713</v>
      </c>
      <c r="AD180" t="s">
        <v>713</v>
      </c>
      <c r="AE180" t="s">
        <v>1640</v>
      </c>
      <c r="AH180" t="s">
        <v>832</v>
      </c>
    </row>
    <row r="181" spans="1:36">
      <c r="A181">
        <v>179</v>
      </c>
      <c r="B181" t="s">
        <v>1641</v>
      </c>
      <c r="C181">
        <v>332</v>
      </c>
      <c r="D181" t="s">
        <v>1310</v>
      </c>
      <c r="E181" t="s">
        <v>713</v>
      </c>
      <c r="F181" t="s">
        <v>1118</v>
      </c>
      <c r="G181" t="s">
        <v>28</v>
      </c>
      <c r="H181" t="s">
        <v>1118</v>
      </c>
      <c r="I181" t="s">
        <v>1613</v>
      </c>
      <c r="J181" t="s">
        <v>1614</v>
      </c>
      <c r="N181" t="s">
        <v>978</v>
      </c>
      <c r="S181" t="s">
        <v>874</v>
      </c>
      <c r="T181" t="s">
        <v>1642</v>
      </c>
      <c r="U181" t="s">
        <v>1643</v>
      </c>
      <c r="V181" t="s">
        <v>876</v>
      </c>
      <c r="W181">
        <v>33133</v>
      </c>
      <c r="X181">
        <v>35</v>
      </c>
      <c r="Y181" t="s">
        <v>1644</v>
      </c>
      <c r="Z181" t="s">
        <v>1645</v>
      </c>
      <c r="AA181" t="s">
        <v>842</v>
      </c>
      <c r="AB181" t="s">
        <v>794</v>
      </c>
      <c r="AC181" t="s">
        <v>713</v>
      </c>
      <c r="AD181" t="s">
        <v>713</v>
      </c>
      <c r="AE181" t="s">
        <v>1646</v>
      </c>
      <c r="AH181" t="s">
        <v>844</v>
      </c>
    </row>
    <row r="182" spans="1:36">
      <c r="A182">
        <v>180</v>
      </c>
      <c r="B182" t="s">
        <v>1647</v>
      </c>
      <c r="C182">
        <v>334</v>
      </c>
      <c r="D182" t="s">
        <v>1310</v>
      </c>
      <c r="E182" t="s">
        <v>713</v>
      </c>
      <c r="F182" t="s">
        <v>1118</v>
      </c>
      <c r="G182" t="s">
        <v>28</v>
      </c>
      <c r="H182" t="s">
        <v>1118</v>
      </c>
      <c r="I182" t="s">
        <v>1647</v>
      </c>
      <c r="J182" t="s">
        <v>1648</v>
      </c>
      <c r="K182" t="s">
        <v>1649</v>
      </c>
      <c r="L182" t="s">
        <v>1650</v>
      </c>
      <c r="N182" t="s">
        <v>1011</v>
      </c>
      <c r="P182" t="s">
        <v>49</v>
      </c>
      <c r="Q182" t="s">
        <v>168</v>
      </c>
      <c r="S182" t="s">
        <v>874</v>
      </c>
      <c r="T182" t="s">
        <v>1651</v>
      </c>
      <c r="U182" t="s">
        <v>1652</v>
      </c>
      <c r="V182" t="s">
        <v>876</v>
      </c>
      <c r="W182">
        <v>31138</v>
      </c>
      <c r="X182">
        <v>40</v>
      </c>
      <c r="Y182" t="s">
        <v>1653</v>
      </c>
      <c r="Z182" t="s">
        <v>1654</v>
      </c>
      <c r="AA182" t="s">
        <v>802</v>
      </c>
      <c r="AB182" t="s">
        <v>794</v>
      </c>
      <c r="AC182" t="s">
        <v>713</v>
      </c>
      <c r="AD182" t="s">
        <v>713</v>
      </c>
      <c r="AE182" t="s">
        <v>1223</v>
      </c>
      <c r="AH182" t="s">
        <v>1535</v>
      </c>
      <c r="AJ182">
        <v>5000</v>
      </c>
    </row>
    <row r="183" spans="1:36">
      <c r="A183">
        <v>181</v>
      </c>
      <c r="B183" t="s">
        <v>1649</v>
      </c>
      <c r="C183">
        <v>336</v>
      </c>
      <c r="D183" t="s">
        <v>1310</v>
      </c>
      <c r="E183" t="s">
        <v>713</v>
      </c>
      <c r="F183" t="s">
        <v>1118</v>
      </c>
      <c r="G183" t="s">
        <v>28</v>
      </c>
      <c r="H183" t="s">
        <v>1118</v>
      </c>
      <c r="I183" t="s">
        <v>1647</v>
      </c>
      <c r="J183" t="s">
        <v>1648</v>
      </c>
      <c r="K183" t="s">
        <v>1649</v>
      </c>
      <c r="L183" t="s">
        <v>1650</v>
      </c>
      <c r="N183" t="s">
        <v>1011</v>
      </c>
      <c r="P183" t="s">
        <v>62</v>
      </c>
      <c r="Q183" t="s">
        <v>548</v>
      </c>
      <c r="S183" t="s">
        <v>874</v>
      </c>
      <c r="T183" t="s">
        <v>209</v>
      </c>
      <c r="U183" t="s">
        <v>1655</v>
      </c>
      <c r="V183" t="s">
        <v>876</v>
      </c>
      <c r="W183">
        <v>20588</v>
      </c>
      <c r="X183">
        <v>69</v>
      </c>
      <c r="Y183" t="s">
        <v>1656</v>
      </c>
      <c r="Z183" t="s">
        <v>1657</v>
      </c>
      <c r="AA183" t="s">
        <v>842</v>
      </c>
      <c r="AB183" t="s">
        <v>843</v>
      </c>
      <c r="AC183" t="s">
        <v>713</v>
      </c>
      <c r="AD183" t="s">
        <v>713</v>
      </c>
      <c r="AE183" t="s">
        <v>1658</v>
      </c>
      <c r="AH183" t="s">
        <v>1535</v>
      </c>
      <c r="AJ183">
        <v>2000</v>
      </c>
    </row>
    <row r="184" spans="1:36">
      <c r="A184">
        <v>182</v>
      </c>
      <c r="B184" t="s">
        <v>1650</v>
      </c>
      <c r="C184">
        <v>338</v>
      </c>
      <c r="D184" t="s">
        <v>1310</v>
      </c>
      <c r="E184" t="s">
        <v>713</v>
      </c>
      <c r="F184" t="s">
        <v>1118</v>
      </c>
      <c r="G184" t="s">
        <v>28</v>
      </c>
      <c r="H184" t="s">
        <v>1118</v>
      </c>
      <c r="I184" t="s">
        <v>1647</v>
      </c>
      <c r="J184" t="s">
        <v>1648</v>
      </c>
      <c r="K184" t="s">
        <v>1649</v>
      </c>
      <c r="L184" t="s">
        <v>1650</v>
      </c>
      <c r="N184" t="s">
        <v>1011</v>
      </c>
      <c r="P184" t="s">
        <v>62</v>
      </c>
      <c r="Q184" t="s">
        <v>548</v>
      </c>
      <c r="S184" t="s">
        <v>874</v>
      </c>
      <c r="T184" t="s">
        <v>1659</v>
      </c>
      <c r="U184" t="s">
        <v>1660</v>
      </c>
      <c r="V184" t="s">
        <v>876</v>
      </c>
      <c r="W184">
        <v>28649</v>
      </c>
      <c r="X184">
        <v>47</v>
      </c>
      <c r="Y184" t="s">
        <v>1661</v>
      </c>
      <c r="Z184" t="s">
        <v>1662</v>
      </c>
      <c r="AA184" t="s">
        <v>802</v>
      </c>
      <c r="AB184" t="s">
        <v>794</v>
      </c>
      <c r="AC184" t="s">
        <v>713</v>
      </c>
      <c r="AD184" t="s">
        <v>713</v>
      </c>
      <c r="AE184" t="s">
        <v>1663</v>
      </c>
      <c r="AH184" t="s">
        <v>1535</v>
      </c>
      <c r="AJ184">
        <v>500</v>
      </c>
    </row>
    <row r="185" spans="1:36">
      <c r="A185">
        <v>183</v>
      </c>
      <c r="B185" t="s">
        <v>1664</v>
      </c>
      <c r="C185">
        <v>340</v>
      </c>
      <c r="D185" t="s">
        <v>1310</v>
      </c>
      <c r="E185" t="s">
        <v>713</v>
      </c>
      <c r="F185" t="s">
        <v>1118</v>
      </c>
      <c r="G185" t="s">
        <v>28</v>
      </c>
      <c r="H185" t="s">
        <v>1118</v>
      </c>
      <c r="I185" t="s">
        <v>1647</v>
      </c>
      <c r="J185" t="s">
        <v>1665</v>
      </c>
      <c r="K185" t="s">
        <v>1649</v>
      </c>
      <c r="L185" t="s">
        <v>1650</v>
      </c>
      <c r="N185" t="s">
        <v>1011</v>
      </c>
      <c r="P185" t="s">
        <v>49</v>
      </c>
      <c r="Q185" t="s">
        <v>168</v>
      </c>
      <c r="S185" t="s">
        <v>874</v>
      </c>
      <c r="T185" t="s">
        <v>323</v>
      </c>
      <c r="U185" t="s">
        <v>1938</v>
      </c>
      <c r="V185" t="s">
        <v>876</v>
      </c>
      <c r="W185">
        <v>30593</v>
      </c>
      <c r="X185">
        <v>42</v>
      </c>
      <c r="Y185" t="s">
        <v>1666</v>
      </c>
      <c r="Z185" t="s">
        <v>1667</v>
      </c>
      <c r="AA185" t="s">
        <v>802</v>
      </c>
      <c r="AB185" t="s">
        <v>794</v>
      </c>
      <c r="AC185" t="s">
        <v>713</v>
      </c>
      <c r="AD185" t="s">
        <v>713</v>
      </c>
      <c r="AH185" t="s">
        <v>844</v>
      </c>
      <c r="AJ185">
        <v>500</v>
      </c>
    </row>
    <row r="186" spans="1:36">
      <c r="A186">
        <v>184</v>
      </c>
      <c r="B186" t="s">
        <v>1668</v>
      </c>
      <c r="C186">
        <v>342</v>
      </c>
      <c r="D186" t="s">
        <v>1310</v>
      </c>
      <c r="E186" t="s">
        <v>713</v>
      </c>
      <c r="F186" t="s">
        <v>1118</v>
      </c>
      <c r="G186" t="s">
        <v>28</v>
      </c>
      <c r="H186" t="s">
        <v>1118</v>
      </c>
      <c r="I186" t="s">
        <v>1647</v>
      </c>
      <c r="J186" t="s">
        <v>1648</v>
      </c>
      <c r="K186" t="s">
        <v>1649</v>
      </c>
      <c r="L186" t="s">
        <v>1650</v>
      </c>
      <c r="N186" t="s">
        <v>1011</v>
      </c>
      <c r="P186" t="s">
        <v>49</v>
      </c>
      <c r="Q186" t="s">
        <v>168</v>
      </c>
      <c r="S186" t="s">
        <v>874</v>
      </c>
      <c r="T186" t="s">
        <v>288</v>
      </c>
      <c r="U186" t="s">
        <v>1669</v>
      </c>
      <c r="V186" t="s">
        <v>876</v>
      </c>
      <c r="W186">
        <v>22549</v>
      </c>
      <c r="X186">
        <v>64</v>
      </c>
      <c r="Y186" t="s">
        <v>1670</v>
      </c>
      <c r="Z186" t="s">
        <v>1671</v>
      </c>
      <c r="AA186" t="s">
        <v>802</v>
      </c>
      <c r="AB186" t="s">
        <v>794</v>
      </c>
      <c r="AC186" t="s">
        <v>713</v>
      </c>
      <c r="AD186" t="s">
        <v>713</v>
      </c>
      <c r="AE186" t="s">
        <v>1672</v>
      </c>
      <c r="AH186" t="s">
        <v>1535</v>
      </c>
      <c r="AJ186">
        <v>5000</v>
      </c>
    </row>
    <row r="187" spans="1:36">
      <c r="A187">
        <v>185</v>
      </c>
      <c r="B187" t="s">
        <v>1673</v>
      </c>
      <c r="C187">
        <v>344</v>
      </c>
      <c r="D187" t="s">
        <v>1310</v>
      </c>
      <c r="E187" t="s">
        <v>713</v>
      </c>
      <c r="F187" t="s">
        <v>1118</v>
      </c>
      <c r="G187" t="s">
        <v>28</v>
      </c>
      <c r="H187" t="s">
        <v>1118</v>
      </c>
      <c r="I187" t="s">
        <v>1647</v>
      </c>
      <c r="J187" t="s">
        <v>1648</v>
      </c>
      <c r="K187" t="s">
        <v>1649</v>
      </c>
      <c r="L187" t="s">
        <v>1650</v>
      </c>
      <c r="N187" t="s">
        <v>1011</v>
      </c>
      <c r="S187" t="s">
        <v>874</v>
      </c>
      <c r="T187" t="s">
        <v>1674</v>
      </c>
      <c r="U187" t="s">
        <v>1675</v>
      </c>
      <c r="V187" t="s">
        <v>876</v>
      </c>
      <c r="W187">
        <v>26557</v>
      </c>
      <c r="X187">
        <v>53</v>
      </c>
      <c r="Y187" t="s">
        <v>1676</v>
      </c>
      <c r="Z187" t="s">
        <v>1677</v>
      </c>
      <c r="AA187" t="s">
        <v>842</v>
      </c>
      <c r="AB187" t="s">
        <v>851</v>
      </c>
      <c r="AC187" t="s">
        <v>713</v>
      </c>
      <c r="AD187" t="s">
        <v>713</v>
      </c>
      <c r="AE187" t="s">
        <v>1678</v>
      </c>
      <c r="AH187" t="s">
        <v>1535</v>
      </c>
      <c r="AJ187">
        <v>1500</v>
      </c>
    </row>
    <row r="188" spans="1:36">
      <c r="A188">
        <v>186</v>
      </c>
      <c r="B188" t="s">
        <v>1679</v>
      </c>
      <c r="C188">
        <v>346</v>
      </c>
      <c r="D188" t="s">
        <v>1310</v>
      </c>
      <c r="E188" t="s">
        <v>713</v>
      </c>
      <c r="F188" t="s">
        <v>1118</v>
      </c>
      <c r="G188" t="s">
        <v>28</v>
      </c>
      <c r="H188" t="s">
        <v>1118</v>
      </c>
      <c r="I188" t="s">
        <v>1647</v>
      </c>
      <c r="J188" t="s">
        <v>1648</v>
      </c>
      <c r="K188" t="s">
        <v>1649</v>
      </c>
      <c r="L188" t="s">
        <v>1650</v>
      </c>
      <c r="N188" t="s">
        <v>1011</v>
      </c>
      <c r="P188" t="s">
        <v>49</v>
      </c>
      <c r="Q188" t="s">
        <v>168</v>
      </c>
      <c r="S188" t="s">
        <v>874</v>
      </c>
      <c r="T188" t="s">
        <v>278</v>
      </c>
      <c r="U188" t="s">
        <v>1680</v>
      </c>
      <c r="V188" t="s">
        <v>876</v>
      </c>
      <c r="W188">
        <v>28944</v>
      </c>
      <c r="X188">
        <v>46</v>
      </c>
      <c r="Y188" t="s">
        <v>1681</v>
      </c>
      <c r="Z188" t="s">
        <v>1682</v>
      </c>
      <c r="AA188" t="s">
        <v>802</v>
      </c>
      <c r="AB188" t="s">
        <v>794</v>
      </c>
      <c r="AC188" t="s">
        <v>236</v>
      </c>
      <c r="AD188" t="s">
        <v>236</v>
      </c>
      <c r="AE188" t="s">
        <v>1683</v>
      </c>
      <c r="AH188" t="s">
        <v>867</v>
      </c>
      <c r="AJ188">
        <v>3000</v>
      </c>
    </row>
    <row r="189" spans="1:36">
      <c r="A189">
        <v>187</v>
      </c>
      <c r="B189" t="s">
        <v>1684</v>
      </c>
      <c r="C189">
        <v>348</v>
      </c>
      <c r="D189" t="s">
        <v>1310</v>
      </c>
      <c r="E189" t="s">
        <v>713</v>
      </c>
      <c r="F189" t="s">
        <v>1118</v>
      </c>
      <c r="G189" t="s">
        <v>28</v>
      </c>
      <c r="H189" t="s">
        <v>1118</v>
      </c>
      <c r="I189" t="s">
        <v>1647</v>
      </c>
      <c r="J189" t="s">
        <v>1648</v>
      </c>
      <c r="K189" t="s">
        <v>1649</v>
      </c>
      <c r="L189" t="s">
        <v>1650</v>
      </c>
      <c r="N189" t="s">
        <v>1011</v>
      </c>
      <c r="S189" t="s">
        <v>874</v>
      </c>
      <c r="T189" t="s">
        <v>1685</v>
      </c>
      <c r="U189" t="s">
        <v>1686</v>
      </c>
      <c r="V189" t="s">
        <v>876</v>
      </c>
      <c r="W189">
        <v>30235</v>
      </c>
      <c r="X189">
        <v>43</v>
      </c>
      <c r="Y189" t="s">
        <v>1687</v>
      </c>
      <c r="AA189" t="s">
        <v>842</v>
      </c>
      <c r="AB189" t="s">
        <v>851</v>
      </c>
      <c r="AC189" t="s">
        <v>713</v>
      </c>
      <c r="AD189" t="s">
        <v>713</v>
      </c>
      <c r="AE189" t="s">
        <v>1688</v>
      </c>
    </row>
    <row r="190" spans="1:36">
      <c r="A190">
        <v>188</v>
      </c>
      <c r="B190" t="s">
        <v>1665</v>
      </c>
      <c r="C190">
        <v>349</v>
      </c>
      <c r="D190" t="s">
        <v>1310</v>
      </c>
      <c r="E190" t="s">
        <v>713</v>
      </c>
      <c r="F190" t="s">
        <v>1118</v>
      </c>
      <c r="G190" t="s">
        <v>28</v>
      </c>
      <c r="H190" t="s">
        <v>1118</v>
      </c>
      <c r="I190" t="s">
        <v>1665</v>
      </c>
      <c r="J190" t="s">
        <v>1648</v>
      </c>
      <c r="N190" t="s">
        <v>1041</v>
      </c>
      <c r="P190" t="s">
        <v>62</v>
      </c>
      <c r="Q190" t="s">
        <v>62</v>
      </c>
      <c r="S190" t="s">
        <v>874</v>
      </c>
      <c r="T190" t="s">
        <v>1689</v>
      </c>
      <c r="U190" t="s">
        <v>1690</v>
      </c>
      <c r="V190" t="s">
        <v>876</v>
      </c>
      <c r="W190">
        <v>29346</v>
      </c>
      <c r="X190">
        <v>45</v>
      </c>
      <c r="Y190" t="s">
        <v>1691</v>
      </c>
      <c r="Z190" t="s">
        <v>1692</v>
      </c>
      <c r="AA190" t="s">
        <v>802</v>
      </c>
      <c r="AB190" t="s">
        <v>794</v>
      </c>
      <c r="AC190" t="s">
        <v>713</v>
      </c>
      <c r="AD190" t="s">
        <v>713</v>
      </c>
      <c r="AH190" t="s">
        <v>844</v>
      </c>
      <c r="AJ190">
        <v>1000</v>
      </c>
    </row>
    <row r="191" spans="1:36">
      <c r="A191">
        <v>189</v>
      </c>
      <c r="B191" t="s">
        <v>1648</v>
      </c>
      <c r="C191">
        <v>351</v>
      </c>
      <c r="D191" t="s">
        <v>1310</v>
      </c>
      <c r="E191" t="s">
        <v>713</v>
      </c>
      <c r="F191" t="s">
        <v>1118</v>
      </c>
      <c r="G191" t="s">
        <v>28</v>
      </c>
      <c r="H191" t="s">
        <v>1118</v>
      </c>
      <c r="I191" t="s">
        <v>1665</v>
      </c>
      <c r="J191" t="s">
        <v>1648</v>
      </c>
      <c r="N191" t="s">
        <v>1041</v>
      </c>
      <c r="P191" t="s">
        <v>62</v>
      </c>
      <c r="Q191" t="s">
        <v>62</v>
      </c>
      <c r="S191" t="s">
        <v>874</v>
      </c>
      <c r="T191" t="s">
        <v>1693</v>
      </c>
      <c r="U191" t="s">
        <v>1694</v>
      </c>
      <c r="V191" t="s">
        <v>876</v>
      </c>
      <c r="W191">
        <v>31817</v>
      </c>
      <c r="X191">
        <v>38</v>
      </c>
      <c r="Y191" t="s">
        <v>1695</v>
      </c>
      <c r="Z191" t="s">
        <v>1696</v>
      </c>
      <c r="AA191" t="s">
        <v>802</v>
      </c>
      <c r="AB191" t="s">
        <v>794</v>
      </c>
      <c r="AC191" t="s">
        <v>713</v>
      </c>
      <c r="AD191" t="s">
        <v>713</v>
      </c>
      <c r="AE191" t="s">
        <v>1697</v>
      </c>
      <c r="AH191" t="s">
        <v>1535</v>
      </c>
      <c r="AJ191">
        <v>2000</v>
      </c>
    </row>
    <row r="192" spans="1:36">
      <c r="A192">
        <v>190</v>
      </c>
      <c r="B192" t="s">
        <v>1698</v>
      </c>
      <c r="C192">
        <v>353</v>
      </c>
      <c r="D192" t="s">
        <v>1310</v>
      </c>
      <c r="E192" t="s">
        <v>713</v>
      </c>
      <c r="F192" t="s">
        <v>1118</v>
      </c>
      <c r="G192" t="s">
        <v>28</v>
      </c>
      <c r="H192" t="s">
        <v>1118</v>
      </c>
      <c r="I192" t="s">
        <v>1665</v>
      </c>
      <c r="J192" t="s">
        <v>1648</v>
      </c>
      <c r="N192" t="s">
        <v>1041</v>
      </c>
      <c r="R192" t="s">
        <v>1635</v>
      </c>
      <c r="S192" t="s">
        <v>874</v>
      </c>
      <c r="T192" t="s">
        <v>1699</v>
      </c>
      <c r="U192" t="s">
        <v>1700</v>
      </c>
      <c r="V192" t="s">
        <v>876</v>
      </c>
      <c r="W192">
        <v>23081</v>
      </c>
      <c r="X192">
        <v>62</v>
      </c>
      <c r="Y192" t="s">
        <v>1701</v>
      </c>
      <c r="Z192" t="s">
        <v>1702</v>
      </c>
      <c r="AA192" t="s">
        <v>842</v>
      </c>
      <c r="AB192" t="s">
        <v>851</v>
      </c>
      <c r="AC192" t="s">
        <v>713</v>
      </c>
      <c r="AD192" t="s">
        <v>713</v>
      </c>
      <c r="AH192" t="s">
        <v>844</v>
      </c>
      <c r="AJ192">
        <v>200</v>
      </c>
    </row>
    <row r="193" spans="1:37">
      <c r="A193">
        <v>191</v>
      </c>
      <c r="B193" t="s">
        <v>1703</v>
      </c>
      <c r="C193">
        <v>355</v>
      </c>
      <c r="D193" t="s">
        <v>1310</v>
      </c>
      <c r="E193" t="s">
        <v>713</v>
      </c>
      <c r="F193" t="s">
        <v>1118</v>
      </c>
      <c r="G193" t="s">
        <v>28</v>
      </c>
      <c r="H193" t="s">
        <v>1118</v>
      </c>
      <c r="I193" t="s">
        <v>1665</v>
      </c>
      <c r="J193" t="s">
        <v>1648</v>
      </c>
      <c r="N193" t="s">
        <v>1041</v>
      </c>
      <c r="S193" t="s">
        <v>874</v>
      </c>
      <c r="T193" t="s">
        <v>1704</v>
      </c>
      <c r="U193" t="s">
        <v>1705</v>
      </c>
      <c r="V193" t="s">
        <v>876</v>
      </c>
      <c r="W193">
        <v>28228</v>
      </c>
      <c r="X193">
        <v>48</v>
      </c>
      <c r="Y193" t="s">
        <v>1706</v>
      </c>
      <c r="Z193" t="s">
        <v>1707</v>
      </c>
      <c r="AA193" t="s">
        <v>802</v>
      </c>
      <c r="AB193" t="s">
        <v>794</v>
      </c>
      <c r="AC193" t="s">
        <v>713</v>
      </c>
      <c r="AD193" t="s">
        <v>713</v>
      </c>
      <c r="AE193" t="s">
        <v>1708</v>
      </c>
      <c r="AH193" t="s">
        <v>844</v>
      </c>
      <c r="AJ193">
        <v>1000</v>
      </c>
    </row>
    <row r="194" spans="1:37">
      <c r="A194">
        <v>192</v>
      </c>
      <c r="B194" t="s">
        <v>1168</v>
      </c>
      <c r="C194">
        <v>357</v>
      </c>
      <c r="E194" t="s">
        <v>713</v>
      </c>
      <c r="F194" t="s">
        <v>1118</v>
      </c>
      <c r="G194" t="s">
        <v>28</v>
      </c>
      <c r="H194" t="s">
        <v>1118</v>
      </c>
      <c r="I194" t="s">
        <v>1168</v>
      </c>
      <c r="J194" t="s">
        <v>1709</v>
      </c>
      <c r="K194" t="s">
        <v>1710</v>
      </c>
      <c r="N194" t="s">
        <v>1077</v>
      </c>
      <c r="P194" t="s">
        <v>49</v>
      </c>
      <c r="Q194" t="s">
        <v>168</v>
      </c>
      <c r="T194" t="s">
        <v>171</v>
      </c>
      <c r="U194" t="s">
        <v>1169</v>
      </c>
      <c r="V194" t="s">
        <v>876</v>
      </c>
      <c r="W194">
        <v>19598</v>
      </c>
      <c r="X194">
        <v>72</v>
      </c>
      <c r="Y194" t="s">
        <v>1170</v>
      </c>
      <c r="AA194" t="s">
        <v>802</v>
      </c>
      <c r="AB194" t="s">
        <v>794</v>
      </c>
      <c r="AC194" t="s">
        <v>713</v>
      </c>
      <c r="AD194" t="s">
        <v>1163</v>
      </c>
      <c r="AE194" t="s">
        <v>1172</v>
      </c>
      <c r="AF194" t="s">
        <v>872</v>
      </c>
    </row>
    <row r="195" spans="1:37">
      <c r="A195">
        <v>193</v>
      </c>
      <c r="B195" t="s">
        <v>1710</v>
      </c>
      <c r="C195">
        <v>359</v>
      </c>
      <c r="D195" t="s">
        <v>1310</v>
      </c>
      <c r="E195" t="s">
        <v>713</v>
      </c>
      <c r="F195" t="s">
        <v>1118</v>
      </c>
      <c r="G195" t="s">
        <v>28</v>
      </c>
      <c r="H195" t="s">
        <v>1118</v>
      </c>
      <c r="I195" t="s">
        <v>1168</v>
      </c>
      <c r="J195" t="s">
        <v>1709</v>
      </c>
      <c r="K195" t="s">
        <v>1710</v>
      </c>
      <c r="N195" t="s">
        <v>1077</v>
      </c>
      <c r="P195" t="s">
        <v>62</v>
      </c>
      <c r="Q195" t="s">
        <v>548</v>
      </c>
      <c r="S195" t="s">
        <v>898</v>
      </c>
      <c r="T195" t="s">
        <v>190</v>
      </c>
      <c r="U195" t="s">
        <v>1711</v>
      </c>
      <c r="V195" t="s">
        <v>876</v>
      </c>
      <c r="W195">
        <v>20242</v>
      </c>
      <c r="X195">
        <v>70</v>
      </c>
      <c r="Y195" t="s">
        <v>1712</v>
      </c>
      <c r="Z195" t="s">
        <v>1713</v>
      </c>
      <c r="AA195" t="s">
        <v>842</v>
      </c>
      <c r="AB195" t="s">
        <v>843</v>
      </c>
      <c r="AC195" t="s">
        <v>713</v>
      </c>
      <c r="AD195" t="s">
        <v>713</v>
      </c>
      <c r="AE195" t="s">
        <v>1313</v>
      </c>
      <c r="AH195" t="s">
        <v>971</v>
      </c>
      <c r="AJ195">
        <v>6000</v>
      </c>
    </row>
    <row r="196" spans="1:37">
      <c r="A196">
        <v>194</v>
      </c>
      <c r="B196" t="s">
        <v>1709</v>
      </c>
      <c r="C196">
        <v>361</v>
      </c>
      <c r="D196" t="s">
        <v>1310</v>
      </c>
      <c r="E196" t="s">
        <v>713</v>
      </c>
      <c r="F196" t="s">
        <v>1118</v>
      </c>
      <c r="G196" t="s">
        <v>28</v>
      </c>
      <c r="H196" t="s">
        <v>1118</v>
      </c>
      <c r="I196" t="s">
        <v>1168</v>
      </c>
      <c r="J196" t="s">
        <v>1709</v>
      </c>
      <c r="K196" t="s">
        <v>1710</v>
      </c>
      <c r="N196" t="s">
        <v>1077</v>
      </c>
      <c r="P196" t="s">
        <v>62</v>
      </c>
      <c r="Q196" t="s">
        <v>548</v>
      </c>
      <c r="S196" t="s">
        <v>874</v>
      </c>
      <c r="T196" t="s">
        <v>1714</v>
      </c>
      <c r="U196" t="s">
        <v>1715</v>
      </c>
      <c r="V196" t="s">
        <v>876</v>
      </c>
      <c r="W196">
        <v>23999</v>
      </c>
      <c r="X196">
        <v>60</v>
      </c>
      <c r="Y196" t="s">
        <v>1716</v>
      </c>
      <c r="Z196" t="s">
        <v>1717</v>
      </c>
      <c r="AA196" t="s">
        <v>842</v>
      </c>
      <c r="AB196" t="s">
        <v>843</v>
      </c>
      <c r="AC196" t="s">
        <v>713</v>
      </c>
      <c r="AD196" t="s">
        <v>713</v>
      </c>
      <c r="AE196" t="s">
        <v>1718</v>
      </c>
      <c r="AH196" t="s">
        <v>971</v>
      </c>
      <c r="AJ196">
        <v>12300</v>
      </c>
    </row>
    <row r="197" spans="1:37">
      <c r="A197">
        <v>195</v>
      </c>
      <c r="B197" t="s">
        <v>1719</v>
      </c>
      <c r="C197">
        <v>363</v>
      </c>
      <c r="D197" t="s">
        <v>1310</v>
      </c>
      <c r="E197" t="s">
        <v>713</v>
      </c>
      <c r="F197" t="s">
        <v>1118</v>
      </c>
      <c r="G197" t="s">
        <v>28</v>
      </c>
      <c r="H197" t="s">
        <v>1118</v>
      </c>
      <c r="I197" t="s">
        <v>1168</v>
      </c>
      <c r="J197" t="s">
        <v>1709</v>
      </c>
      <c r="K197" t="s">
        <v>1710</v>
      </c>
      <c r="N197" t="s">
        <v>1077</v>
      </c>
      <c r="S197" t="s">
        <v>898</v>
      </c>
      <c r="T197" t="s">
        <v>229</v>
      </c>
      <c r="U197" t="s">
        <v>1720</v>
      </c>
      <c r="V197" t="s">
        <v>876</v>
      </c>
      <c r="W197">
        <v>15134</v>
      </c>
      <c r="X197">
        <v>84</v>
      </c>
      <c r="Y197" t="s">
        <v>1721</v>
      </c>
      <c r="AA197" t="s">
        <v>842</v>
      </c>
      <c r="AB197" t="s">
        <v>843</v>
      </c>
      <c r="AC197" t="s">
        <v>713</v>
      </c>
      <c r="AD197" t="s">
        <v>713</v>
      </c>
      <c r="AE197" t="s">
        <v>1718</v>
      </c>
      <c r="AF197" t="s">
        <v>1571</v>
      </c>
      <c r="AG197" t="s">
        <v>1722</v>
      </c>
      <c r="AH197" t="s">
        <v>971</v>
      </c>
      <c r="AI197" t="s">
        <v>1723</v>
      </c>
    </row>
    <row r="198" spans="1:37">
      <c r="A198">
        <v>196</v>
      </c>
      <c r="B198" t="s">
        <v>1724</v>
      </c>
      <c r="C198">
        <v>365</v>
      </c>
      <c r="D198" t="s">
        <v>1310</v>
      </c>
      <c r="E198" t="s">
        <v>713</v>
      </c>
      <c r="F198" t="s">
        <v>1118</v>
      </c>
      <c r="G198" t="s">
        <v>28</v>
      </c>
      <c r="H198" t="s">
        <v>1118</v>
      </c>
      <c r="I198" t="s">
        <v>1168</v>
      </c>
      <c r="J198" t="s">
        <v>1709</v>
      </c>
      <c r="K198" t="s">
        <v>1710</v>
      </c>
      <c r="N198" t="s">
        <v>1077</v>
      </c>
      <c r="R198" t="s">
        <v>1725</v>
      </c>
      <c r="S198" t="s">
        <v>898</v>
      </c>
      <c r="T198" t="s">
        <v>249</v>
      </c>
      <c r="U198" t="s">
        <v>1726</v>
      </c>
      <c r="V198" t="s">
        <v>876</v>
      </c>
      <c r="W198">
        <v>18593</v>
      </c>
      <c r="X198">
        <v>75</v>
      </c>
      <c r="Y198" t="s">
        <v>1727</v>
      </c>
      <c r="Z198" t="s">
        <v>1728</v>
      </c>
      <c r="AA198" t="s">
        <v>842</v>
      </c>
      <c r="AB198" t="s">
        <v>843</v>
      </c>
      <c r="AC198" t="s">
        <v>713</v>
      </c>
      <c r="AD198" t="s">
        <v>713</v>
      </c>
      <c r="AE198" t="s">
        <v>1729</v>
      </c>
      <c r="AH198" t="s">
        <v>971</v>
      </c>
      <c r="AJ198">
        <v>4600</v>
      </c>
    </row>
    <row r="199" spans="1:37">
      <c r="A199">
        <v>197</v>
      </c>
      <c r="B199" t="s">
        <v>1730</v>
      </c>
      <c r="C199">
        <v>367</v>
      </c>
      <c r="D199" t="s">
        <v>1310</v>
      </c>
      <c r="E199" t="s">
        <v>713</v>
      </c>
      <c r="F199" t="s">
        <v>1118</v>
      </c>
      <c r="G199" t="s">
        <v>28</v>
      </c>
      <c r="H199" t="s">
        <v>1118</v>
      </c>
      <c r="I199" t="s">
        <v>1168</v>
      </c>
      <c r="J199" t="s">
        <v>1709</v>
      </c>
      <c r="K199" t="s">
        <v>1710</v>
      </c>
      <c r="N199" t="s">
        <v>1077</v>
      </c>
      <c r="S199" t="s">
        <v>898</v>
      </c>
      <c r="T199" t="s">
        <v>1731</v>
      </c>
      <c r="U199" t="s">
        <v>1732</v>
      </c>
      <c r="V199" t="s">
        <v>876</v>
      </c>
      <c r="W199">
        <v>20092</v>
      </c>
      <c r="X199">
        <v>71</v>
      </c>
      <c r="Y199" t="s">
        <v>1733</v>
      </c>
      <c r="Z199" t="s">
        <v>1734</v>
      </c>
      <c r="AA199" t="s">
        <v>842</v>
      </c>
      <c r="AB199" t="s">
        <v>843</v>
      </c>
      <c r="AC199" t="s">
        <v>1735</v>
      </c>
      <c r="AD199" t="s">
        <v>1735</v>
      </c>
      <c r="AE199" t="s">
        <v>1736</v>
      </c>
      <c r="AH199" t="s">
        <v>971</v>
      </c>
    </row>
    <row r="200" spans="1:37">
      <c r="A200">
        <v>198</v>
      </c>
      <c r="B200" t="s">
        <v>1737</v>
      </c>
      <c r="C200">
        <v>369</v>
      </c>
      <c r="D200" t="s">
        <v>1310</v>
      </c>
      <c r="E200" t="s">
        <v>713</v>
      </c>
      <c r="F200" t="s">
        <v>1118</v>
      </c>
      <c r="G200" t="s">
        <v>28</v>
      </c>
      <c r="H200" t="s">
        <v>1118</v>
      </c>
      <c r="I200" t="s">
        <v>1168</v>
      </c>
      <c r="J200" t="s">
        <v>1709</v>
      </c>
      <c r="K200" t="s">
        <v>1710</v>
      </c>
      <c r="N200" t="s">
        <v>1077</v>
      </c>
      <c r="S200" t="s">
        <v>874</v>
      </c>
      <c r="T200" t="s">
        <v>1738</v>
      </c>
      <c r="U200" t="s">
        <v>1739</v>
      </c>
      <c r="V200" t="s">
        <v>876</v>
      </c>
      <c r="W200">
        <v>22389</v>
      </c>
      <c r="X200">
        <v>64</v>
      </c>
      <c r="Y200" t="s">
        <v>1740</v>
      </c>
      <c r="Z200" t="s">
        <v>1741</v>
      </c>
      <c r="AA200" t="s">
        <v>842</v>
      </c>
      <c r="AB200" t="s">
        <v>843</v>
      </c>
      <c r="AC200" t="s">
        <v>713</v>
      </c>
      <c r="AD200" t="s">
        <v>713</v>
      </c>
      <c r="AE200" t="s">
        <v>1742</v>
      </c>
      <c r="AH200" t="s">
        <v>832</v>
      </c>
    </row>
    <row r="201" spans="1:37">
      <c r="A201">
        <v>199</v>
      </c>
      <c r="B201" t="s">
        <v>1743</v>
      </c>
      <c r="C201">
        <v>371</v>
      </c>
      <c r="D201" t="s">
        <v>811</v>
      </c>
      <c r="E201" t="s">
        <v>713</v>
      </c>
      <c r="F201" t="s">
        <v>1118</v>
      </c>
      <c r="G201" t="s">
        <v>28</v>
      </c>
      <c r="H201" t="s">
        <v>1118</v>
      </c>
      <c r="I201" t="s">
        <v>1168</v>
      </c>
      <c r="J201" t="s">
        <v>1709</v>
      </c>
      <c r="K201" t="s">
        <v>1710</v>
      </c>
      <c r="N201" t="s">
        <v>1077</v>
      </c>
      <c r="O201" t="s">
        <v>308</v>
      </c>
      <c r="S201" t="s">
        <v>898</v>
      </c>
      <c r="T201" t="s">
        <v>1744</v>
      </c>
      <c r="U201" t="s">
        <v>1745</v>
      </c>
      <c r="V201" t="s">
        <v>876</v>
      </c>
      <c r="W201">
        <v>16647</v>
      </c>
      <c r="X201">
        <v>80</v>
      </c>
      <c r="Y201" t="s">
        <v>1746</v>
      </c>
      <c r="AA201" t="s">
        <v>842</v>
      </c>
      <c r="AB201" t="s">
        <v>843</v>
      </c>
      <c r="AC201" t="s">
        <v>713</v>
      </c>
      <c r="AD201" t="s">
        <v>713</v>
      </c>
      <c r="AE201" t="s">
        <v>1747</v>
      </c>
      <c r="AH201" t="s">
        <v>1295</v>
      </c>
    </row>
    <row r="202" spans="1:37">
      <c r="A202">
        <v>200</v>
      </c>
      <c r="B202" t="s">
        <v>1748</v>
      </c>
      <c r="C202">
        <v>373</v>
      </c>
      <c r="D202" t="s">
        <v>811</v>
      </c>
      <c r="E202" t="s">
        <v>713</v>
      </c>
      <c r="F202" t="s">
        <v>1118</v>
      </c>
      <c r="G202" t="s">
        <v>28</v>
      </c>
      <c r="H202" t="s">
        <v>1118</v>
      </c>
      <c r="I202" t="s">
        <v>1168</v>
      </c>
      <c r="J202" t="s">
        <v>1709</v>
      </c>
      <c r="K202" t="s">
        <v>1710</v>
      </c>
      <c r="N202" t="s">
        <v>1077</v>
      </c>
      <c r="O202" t="s">
        <v>308</v>
      </c>
      <c r="S202" t="s">
        <v>898</v>
      </c>
      <c r="T202" t="s">
        <v>721</v>
      </c>
      <c r="U202" t="s">
        <v>1749</v>
      </c>
      <c r="V202" t="s">
        <v>876</v>
      </c>
      <c r="W202">
        <v>18986</v>
      </c>
      <c r="X202">
        <v>74</v>
      </c>
      <c r="Y202" t="s">
        <v>1750</v>
      </c>
      <c r="AA202" t="s">
        <v>842</v>
      </c>
      <c r="AB202" t="s">
        <v>843</v>
      </c>
      <c r="AC202" t="s">
        <v>713</v>
      </c>
      <c r="AD202" t="s">
        <v>713</v>
      </c>
      <c r="AE202" t="s">
        <v>1751</v>
      </c>
      <c r="AH202" t="s">
        <v>1295</v>
      </c>
      <c r="AJ202">
        <v>1500</v>
      </c>
    </row>
    <row r="203" spans="1:37">
      <c r="A203">
        <v>201</v>
      </c>
      <c r="B203" t="s">
        <v>1752</v>
      </c>
      <c r="C203">
        <v>375</v>
      </c>
      <c r="D203" t="s">
        <v>1310</v>
      </c>
      <c r="E203" t="s">
        <v>713</v>
      </c>
      <c r="F203" t="s">
        <v>1118</v>
      </c>
      <c r="G203" t="s">
        <v>28</v>
      </c>
      <c r="H203" t="s">
        <v>1118</v>
      </c>
      <c r="I203" t="s">
        <v>1752</v>
      </c>
      <c r="J203" t="s">
        <v>1753</v>
      </c>
      <c r="K203" t="s">
        <v>1754</v>
      </c>
      <c r="N203" t="s">
        <v>1755</v>
      </c>
      <c r="P203" t="s">
        <v>62</v>
      </c>
      <c r="Q203" t="s">
        <v>548</v>
      </c>
      <c r="S203" t="s">
        <v>874</v>
      </c>
      <c r="T203" t="s">
        <v>1756</v>
      </c>
      <c r="U203" t="s">
        <v>1757</v>
      </c>
      <c r="V203" t="s">
        <v>876</v>
      </c>
      <c r="W203">
        <v>34534</v>
      </c>
      <c r="X203">
        <v>31</v>
      </c>
      <c r="Y203" t="s">
        <v>1758</v>
      </c>
      <c r="Z203" t="s">
        <v>1759</v>
      </c>
      <c r="AA203" t="s">
        <v>842</v>
      </c>
      <c r="AB203" t="s">
        <v>843</v>
      </c>
      <c r="AC203" t="s">
        <v>1256</v>
      </c>
      <c r="AD203" t="s">
        <v>1552</v>
      </c>
      <c r="AE203" t="s">
        <v>1760</v>
      </c>
      <c r="AH203" t="s">
        <v>971</v>
      </c>
      <c r="AK203" t="s">
        <v>4480</v>
      </c>
    </row>
    <row r="204" spans="1:37">
      <c r="A204">
        <v>202</v>
      </c>
      <c r="B204" t="s">
        <v>1753</v>
      </c>
      <c r="C204">
        <v>377</v>
      </c>
      <c r="D204" t="s">
        <v>1310</v>
      </c>
      <c r="E204" t="s">
        <v>713</v>
      </c>
      <c r="F204" t="s">
        <v>1118</v>
      </c>
      <c r="G204" t="s">
        <v>28</v>
      </c>
      <c r="H204" t="s">
        <v>1118</v>
      </c>
      <c r="I204" t="s">
        <v>1752</v>
      </c>
      <c r="J204" t="s">
        <v>1753</v>
      </c>
      <c r="K204" t="s">
        <v>1754</v>
      </c>
      <c r="N204" t="s">
        <v>1755</v>
      </c>
      <c r="P204" t="s">
        <v>62</v>
      </c>
      <c r="Q204" t="s">
        <v>548</v>
      </c>
      <c r="S204" t="s">
        <v>874</v>
      </c>
      <c r="T204" t="s">
        <v>1761</v>
      </c>
      <c r="U204" t="s">
        <v>1762</v>
      </c>
      <c r="V204" t="s">
        <v>876</v>
      </c>
      <c r="W204">
        <v>32534</v>
      </c>
      <c r="X204">
        <v>37</v>
      </c>
      <c r="Y204" t="s">
        <v>1763</v>
      </c>
      <c r="Z204" t="s">
        <v>1764</v>
      </c>
      <c r="AA204" t="s">
        <v>842</v>
      </c>
      <c r="AB204" t="s">
        <v>843</v>
      </c>
      <c r="AC204" t="s">
        <v>713</v>
      </c>
      <c r="AD204" t="s">
        <v>713</v>
      </c>
      <c r="AE204" t="s">
        <v>1229</v>
      </c>
      <c r="AH204" t="s">
        <v>971</v>
      </c>
    </row>
    <row r="205" spans="1:37">
      <c r="A205">
        <v>203</v>
      </c>
      <c r="B205" t="s">
        <v>1754</v>
      </c>
      <c r="C205">
        <v>379</v>
      </c>
      <c r="D205" t="s">
        <v>1310</v>
      </c>
      <c r="E205" t="s">
        <v>713</v>
      </c>
      <c r="F205" t="s">
        <v>1118</v>
      </c>
      <c r="G205" t="s">
        <v>28</v>
      </c>
      <c r="H205" t="s">
        <v>1118</v>
      </c>
      <c r="I205" t="s">
        <v>1752</v>
      </c>
      <c r="J205" t="s">
        <v>1753</v>
      </c>
      <c r="K205" t="s">
        <v>1754</v>
      </c>
      <c r="N205" t="s">
        <v>1755</v>
      </c>
      <c r="P205" t="s">
        <v>62</v>
      </c>
      <c r="Q205" t="s">
        <v>548</v>
      </c>
      <c r="S205" t="s">
        <v>788</v>
      </c>
      <c r="T205" t="s">
        <v>1765</v>
      </c>
      <c r="U205" t="s">
        <v>1766</v>
      </c>
      <c r="V205" t="s">
        <v>876</v>
      </c>
      <c r="W205">
        <v>35142</v>
      </c>
      <c r="X205">
        <v>29</v>
      </c>
      <c r="Z205" t="s">
        <v>1767</v>
      </c>
      <c r="AA205" t="s">
        <v>842</v>
      </c>
      <c r="AB205" t="s">
        <v>843</v>
      </c>
      <c r="AC205" t="s">
        <v>713</v>
      </c>
      <c r="AD205" t="s">
        <v>1768</v>
      </c>
      <c r="AE205" t="s">
        <v>1769</v>
      </c>
      <c r="AH205" t="s">
        <v>971</v>
      </c>
    </row>
    <row r="206" spans="1:37">
      <c r="A206">
        <v>204</v>
      </c>
      <c r="B206" t="s">
        <v>1770</v>
      </c>
      <c r="C206">
        <v>381</v>
      </c>
      <c r="D206" t="s">
        <v>1310</v>
      </c>
      <c r="E206" t="s">
        <v>713</v>
      </c>
      <c r="F206" t="s">
        <v>1118</v>
      </c>
      <c r="G206" t="s">
        <v>28</v>
      </c>
      <c r="H206" t="s">
        <v>1118</v>
      </c>
      <c r="I206" t="s">
        <v>1752</v>
      </c>
      <c r="J206" t="s">
        <v>1753</v>
      </c>
      <c r="K206" t="s">
        <v>1754</v>
      </c>
      <c r="N206" t="s">
        <v>1755</v>
      </c>
      <c r="S206" t="s">
        <v>874</v>
      </c>
      <c r="T206" t="s">
        <v>1771</v>
      </c>
      <c r="U206" t="s">
        <v>1772</v>
      </c>
      <c r="V206" t="s">
        <v>876</v>
      </c>
      <c r="W206">
        <v>37018</v>
      </c>
      <c r="X206">
        <v>24</v>
      </c>
      <c r="Y206" t="s">
        <v>1773</v>
      </c>
      <c r="Z206" t="s">
        <v>1774</v>
      </c>
      <c r="AA206" t="s">
        <v>842</v>
      </c>
      <c r="AB206" t="s">
        <v>851</v>
      </c>
      <c r="AC206" t="s">
        <v>713</v>
      </c>
      <c r="AD206" t="s">
        <v>713</v>
      </c>
      <c r="AE206" t="s">
        <v>1504</v>
      </c>
      <c r="AH206" t="s">
        <v>1535</v>
      </c>
    </row>
    <row r="207" spans="1:37">
      <c r="A207">
        <v>205</v>
      </c>
      <c r="B207" t="s">
        <v>1775</v>
      </c>
      <c r="C207">
        <v>382</v>
      </c>
      <c r="D207" t="s">
        <v>1310</v>
      </c>
      <c r="E207" t="s">
        <v>713</v>
      </c>
      <c r="F207" t="s">
        <v>1118</v>
      </c>
      <c r="G207" t="s">
        <v>28</v>
      </c>
      <c r="H207" t="s">
        <v>1118</v>
      </c>
      <c r="I207" t="s">
        <v>1752</v>
      </c>
      <c r="J207" t="s">
        <v>1753</v>
      </c>
      <c r="K207" t="s">
        <v>1754</v>
      </c>
      <c r="N207" t="s">
        <v>1755</v>
      </c>
      <c r="S207" t="s">
        <v>874</v>
      </c>
      <c r="T207" t="s">
        <v>1776</v>
      </c>
      <c r="U207" t="s">
        <v>1777</v>
      </c>
      <c r="V207" t="s">
        <v>876</v>
      </c>
      <c r="W207">
        <v>31403</v>
      </c>
      <c r="X207">
        <v>40</v>
      </c>
      <c r="Y207" t="s">
        <v>1778</v>
      </c>
      <c r="Z207" t="s">
        <v>1779</v>
      </c>
      <c r="AA207" t="s">
        <v>842</v>
      </c>
      <c r="AB207" t="s">
        <v>843</v>
      </c>
      <c r="AC207" t="s">
        <v>1780</v>
      </c>
      <c r="AD207" t="s">
        <v>713</v>
      </c>
      <c r="AE207" t="s">
        <v>1781</v>
      </c>
      <c r="AH207" t="s">
        <v>971</v>
      </c>
    </row>
    <row r="208" spans="1:37">
      <c r="A208">
        <v>206</v>
      </c>
      <c r="B208" t="s">
        <v>1782</v>
      </c>
      <c r="C208">
        <v>384</v>
      </c>
      <c r="D208" t="s">
        <v>1310</v>
      </c>
      <c r="E208" t="s">
        <v>713</v>
      </c>
      <c r="F208" t="s">
        <v>1118</v>
      </c>
      <c r="G208" t="s">
        <v>28</v>
      </c>
      <c r="H208" t="s">
        <v>1118</v>
      </c>
      <c r="I208" t="s">
        <v>1752</v>
      </c>
      <c r="J208" t="s">
        <v>1753</v>
      </c>
      <c r="K208" t="s">
        <v>1754</v>
      </c>
      <c r="N208" t="s">
        <v>1755</v>
      </c>
      <c r="S208" t="s">
        <v>874</v>
      </c>
      <c r="T208" t="s">
        <v>1783</v>
      </c>
      <c r="U208" t="s">
        <v>1784</v>
      </c>
      <c r="V208" t="s">
        <v>876</v>
      </c>
      <c r="W208">
        <v>35901</v>
      </c>
      <c r="X208">
        <v>27</v>
      </c>
      <c r="Y208" t="s">
        <v>1785</v>
      </c>
      <c r="AA208" t="s">
        <v>842</v>
      </c>
      <c r="AB208" t="s">
        <v>843</v>
      </c>
      <c r="AC208" t="s">
        <v>713</v>
      </c>
      <c r="AD208" t="s">
        <v>1400</v>
      </c>
      <c r="AE208" t="s">
        <v>1786</v>
      </c>
      <c r="AG208" t="s">
        <v>1787</v>
      </c>
      <c r="AH208" t="s">
        <v>971</v>
      </c>
      <c r="AI208" t="s">
        <v>860</v>
      </c>
    </row>
    <row r="209" spans="1:37">
      <c r="A209">
        <v>207</v>
      </c>
      <c r="B209" t="s">
        <v>1788</v>
      </c>
      <c r="C209">
        <v>386</v>
      </c>
      <c r="D209" t="s">
        <v>1310</v>
      </c>
      <c r="E209" t="s">
        <v>713</v>
      </c>
      <c r="F209" t="s">
        <v>1118</v>
      </c>
      <c r="G209" t="s">
        <v>28</v>
      </c>
      <c r="H209" t="s">
        <v>1118</v>
      </c>
      <c r="I209" t="s">
        <v>1752</v>
      </c>
      <c r="J209" t="s">
        <v>1753</v>
      </c>
      <c r="K209" t="s">
        <v>1754</v>
      </c>
      <c r="N209" t="s">
        <v>1755</v>
      </c>
      <c r="S209" t="s">
        <v>788</v>
      </c>
      <c r="T209" t="s">
        <v>289</v>
      </c>
      <c r="U209" t="s">
        <v>1789</v>
      </c>
      <c r="V209" t="s">
        <v>876</v>
      </c>
      <c r="W209">
        <v>34094</v>
      </c>
      <c r="X209">
        <v>32</v>
      </c>
      <c r="Y209" t="s">
        <v>1790</v>
      </c>
      <c r="AA209" t="s">
        <v>793</v>
      </c>
      <c r="AB209" t="s">
        <v>794</v>
      </c>
      <c r="AC209" t="s">
        <v>713</v>
      </c>
      <c r="AD209" t="s">
        <v>713</v>
      </c>
      <c r="AE209" t="s">
        <v>1313</v>
      </c>
    </row>
    <row r="210" spans="1:37">
      <c r="A210">
        <v>208</v>
      </c>
      <c r="B210" t="s">
        <v>1791</v>
      </c>
      <c r="C210">
        <v>388</v>
      </c>
      <c r="D210" t="s">
        <v>1310</v>
      </c>
      <c r="E210" t="s">
        <v>713</v>
      </c>
      <c r="F210" t="s">
        <v>1118</v>
      </c>
      <c r="G210" t="s">
        <v>28</v>
      </c>
      <c r="H210" t="s">
        <v>1118</v>
      </c>
      <c r="I210" t="s">
        <v>1752</v>
      </c>
      <c r="J210" t="s">
        <v>1753</v>
      </c>
      <c r="K210" t="s">
        <v>1754</v>
      </c>
      <c r="N210" t="s">
        <v>1755</v>
      </c>
      <c r="S210" t="s">
        <v>788</v>
      </c>
      <c r="T210" t="s">
        <v>1792</v>
      </c>
      <c r="U210" t="s">
        <v>1793</v>
      </c>
      <c r="V210" t="s">
        <v>876</v>
      </c>
      <c r="W210">
        <v>31881</v>
      </c>
      <c r="X210">
        <v>38</v>
      </c>
      <c r="Y210" t="s">
        <v>1794</v>
      </c>
      <c r="Z210" t="s">
        <v>1795</v>
      </c>
      <c r="AA210" t="s">
        <v>842</v>
      </c>
      <c r="AB210" t="s">
        <v>843</v>
      </c>
      <c r="AC210" t="s">
        <v>1796</v>
      </c>
      <c r="AD210" t="s">
        <v>1797</v>
      </c>
      <c r="AE210" t="s">
        <v>1798</v>
      </c>
      <c r="AH210" t="s">
        <v>971</v>
      </c>
    </row>
    <row r="211" spans="1:37">
      <c r="A211">
        <v>209</v>
      </c>
      <c r="B211" t="s">
        <v>1118</v>
      </c>
      <c r="C211">
        <v>390</v>
      </c>
      <c r="E211" t="s">
        <v>713</v>
      </c>
      <c r="F211" t="s">
        <v>1118</v>
      </c>
      <c r="G211" t="s">
        <v>28</v>
      </c>
      <c r="H211" t="s">
        <v>1118</v>
      </c>
      <c r="I211" t="s">
        <v>1118</v>
      </c>
      <c r="J211" t="s">
        <v>786</v>
      </c>
      <c r="K211" t="s">
        <v>786</v>
      </c>
      <c r="N211" t="s">
        <v>1799</v>
      </c>
      <c r="T211" t="s">
        <v>28</v>
      </c>
      <c r="U211" t="s">
        <v>1119</v>
      </c>
      <c r="V211" t="s">
        <v>876</v>
      </c>
      <c r="W211">
        <v>33065</v>
      </c>
      <c r="X211">
        <v>35</v>
      </c>
      <c r="Y211" t="s">
        <v>1120</v>
      </c>
      <c r="AA211" t="s">
        <v>793</v>
      </c>
      <c r="AB211" t="s">
        <v>794</v>
      </c>
      <c r="AC211" t="s">
        <v>809</v>
      </c>
      <c r="AD211" t="s">
        <v>795</v>
      </c>
      <c r="AE211" t="s">
        <v>804</v>
      </c>
      <c r="AF211" t="s">
        <v>872</v>
      </c>
    </row>
    <row r="212" spans="1:37">
      <c r="A212">
        <v>210</v>
      </c>
      <c r="B212" t="s">
        <v>1800</v>
      </c>
      <c r="C212">
        <v>392</v>
      </c>
      <c r="D212" t="s">
        <v>1310</v>
      </c>
      <c r="E212" t="s">
        <v>713</v>
      </c>
      <c r="F212" t="s">
        <v>1118</v>
      </c>
      <c r="G212" t="s">
        <v>28</v>
      </c>
      <c r="H212" t="s">
        <v>1118</v>
      </c>
      <c r="I212" t="s">
        <v>1118</v>
      </c>
      <c r="J212" t="s">
        <v>786</v>
      </c>
      <c r="K212" t="s">
        <v>786</v>
      </c>
      <c r="N212" t="s">
        <v>1799</v>
      </c>
      <c r="S212" t="s">
        <v>874</v>
      </c>
      <c r="T212" t="s">
        <v>1801</v>
      </c>
      <c r="U212" t="s">
        <v>1802</v>
      </c>
      <c r="V212" t="s">
        <v>876</v>
      </c>
      <c r="W212">
        <v>32134</v>
      </c>
      <c r="X212">
        <v>38</v>
      </c>
      <c r="Y212" t="s">
        <v>1803</v>
      </c>
      <c r="AA212" t="s">
        <v>842</v>
      </c>
      <c r="AB212" t="s">
        <v>843</v>
      </c>
      <c r="AC212" t="s">
        <v>713</v>
      </c>
      <c r="AD212" t="s">
        <v>713</v>
      </c>
      <c r="AG212" t="s">
        <v>1804</v>
      </c>
      <c r="AH212" t="s">
        <v>844</v>
      </c>
      <c r="AI212" t="s">
        <v>1805</v>
      </c>
    </row>
    <row r="213" spans="1:37">
      <c r="A213">
        <v>211</v>
      </c>
      <c r="B213" t="s">
        <v>1806</v>
      </c>
      <c r="C213">
        <v>394</v>
      </c>
      <c r="D213" t="s">
        <v>1310</v>
      </c>
      <c r="E213" t="s">
        <v>713</v>
      </c>
      <c r="F213" t="s">
        <v>1118</v>
      </c>
      <c r="G213" t="s">
        <v>28</v>
      </c>
      <c r="H213" t="s">
        <v>1118</v>
      </c>
      <c r="I213" t="s">
        <v>1118</v>
      </c>
      <c r="J213" t="s">
        <v>786</v>
      </c>
      <c r="K213" t="s">
        <v>786</v>
      </c>
      <c r="N213" t="s">
        <v>1799</v>
      </c>
      <c r="S213" t="s">
        <v>874</v>
      </c>
      <c r="T213" t="s">
        <v>1807</v>
      </c>
      <c r="U213" t="s">
        <v>1808</v>
      </c>
      <c r="V213" t="s">
        <v>876</v>
      </c>
      <c r="W213">
        <v>33526</v>
      </c>
      <c r="X213">
        <v>34</v>
      </c>
      <c r="Y213" t="s">
        <v>1809</v>
      </c>
      <c r="AA213" t="s">
        <v>842</v>
      </c>
      <c r="AB213" t="s">
        <v>843</v>
      </c>
      <c r="AC213" t="s">
        <v>713</v>
      </c>
      <c r="AD213" t="s">
        <v>713</v>
      </c>
      <c r="AE213" t="s">
        <v>1313</v>
      </c>
      <c r="AG213" t="s">
        <v>1810</v>
      </c>
      <c r="AH213" t="s">
        <v>971</v>
      </c>
      <c r="AI213" t="s">
        <v>1805</v>
      </c>
    </row>
    <row r="214" spans="1:37">
      <c r="A214">
        <v>212</v>
      </c>
      <c r="B214" t="s">
        <v>1811</v>
      </c>
      <c r="C214">
        <v>395</v>
      </c>
      <c r="D214" t="s">
        <v>1310</v>
      </c>
      <c r="E214" t="s">
        <v>713</v>
      </c>
      <c r="F214" t="s">
        <v>1118</v>
      </c>
      <c r="G214" t="s">
        <v>28</v>
      </c>
      <c r="H214" t="s">
        <v>1118</v>
      </c>
      <c r="I214" t="s">
        <v>1118</v>
      </c>
      <c r="J214" t="s">
        <v>786</v>
      </c>
      <c r="K214" t="s">
        <v>786</v>
      </c>
      <c r="N214" t="s">
        <v>1799</v>
      </c>
      <c r="S214" t="s">
        <v>788</v>
      </c>
      <c r="T214" t="s">
        <v>1812</v>
      </c>
      <c r="U214" t="s">
        <v>1813</v>
      </c>
      <c r="V214" t="s">
        <v>876</v>
      </c>
      <c r="W214">
        <v>35919</v>
      </c>
      <c r="X214">
        <v>27</v>
      </c>
      <c r="Y214" t="s">
        <v>1814</v>
      </c>
      <c r="AA214" t="s">
        <v>842</v>
      </c>
      <c r="AB214" t="s">
        <v>843</v>
      </c>
      <c r="AC214" t="s">
        <v>713</v>
      </c>
      <c r="AD214" t="s">
        <v>713</v>
      </c>
      <c r="AE214" t="s">
        <v>1229</v>
      </c>
      <c r="AG214" t="s">
        <v>1815</v>
      </c>
      <c r="AH214" t="s">
        <v>971</v>
      </c>
      <c r="AI214" t="s">
        <v>1805</v>
      </c>
    </row>
    <row r="215" spans="1:37">
      <c r="A215">
        <v>213</v>
      </c>
      <c r="B215" t="s">
        <v>1816</v>
      </c>
      <c r="C215">
        <v>397</v>
      </c>
      <c r="D215" t="s">
        <v>811</v>
      </c>
      <c r="E215" t="s">
        <v>713</v>
      </c>
      <c r="F215" t="s">
        <v>1118</v>
      </c>
      <c r="G215" t="s">
        <v>28</v>
      </c>
      <c r="H215" t="s">
        <v>1118</v>
      </c>
      <c r="I215" t="s">
        <v>1118</v>
      </c>
      <c r="J215" t="s">
        <v>786</v>
      </c>
      <c r="K215" t="s">
        <v>786</v>
      </c>
      <c r="N215" t="s">
        <v>1799</v>
      </c>
      <c r="S215" t="s">
        <v>874</v>
      </c>
      <c r="T215" t="s">
        <v>1817</v>
      </c>
      <c r="U215" t="s">
        <v>1818</v>
      </c>
      <c r="V215" t="s">
        <v>876</v>
      </c>
      <c r="W215">
        <v>33182</v>
      </c>
      <c r="X215">
        <v>35</v>
      </c>
      <c r="Y215" t="s">
        <v>1819</v>
      </c>
      <c r="AA215" t="s">
        <v>842</v>
      </c>
      <c r="AB215" t="s">
        <v>843</v>
      </c>
      <c r="AC215" t="s">
        <v>1256</v>
      </c>
      <c r="AD215" t="s">
        <v>1256</v>
      </c>
      <c r="AE215" t="s">
        <v>1820</v>
      </c>
      <c r="AG215" t="s">
        <v>866</v>
      </c>
      <c r="AH215" t="s">
        <v>903</v>
      </c>
    </row>
    <row r="216" spans="1:37">
      <c r="A216">
        <v>214</v>
      </c>
      <c r="B216" t="s">
        <v>1821</v>
      </c>
      <c r="C216">
        <v>399</v>
      </c>
      <c r="D216" t="s">
        <v>1822</v>
      </c>
      <c r="E216" t="s">
        <v>713</v>
      </c>
      <c r="F216" t="s">
        <v>1118</v>
      </c>
      <c r="G216" t="s">
        <v>28</v>
      </c>
      <c r="H216" t="s">
        <v>1118</v>
      </c>
      <c r="I216" t="s">
        <v>1118</v>
      </c>
      <c r="J216" t="s">
        <v>786</v>
      </c>
      <c r="K216" t="s">
        <v>786</v>
      </c>
      <c r="N216" t="s">
        <v>1799</v>
      </c>
      <c r="S216" t="s">
        <v>788</v>
      </c>
      <c r="T216" t="s">
        <v>1823</v>
      </c>
      <c r="U216" t="s">
        <v>1824</v>
      </c>
      <c r="V216" t="s">
        <v>876</v>
      </c>
      <c r="W216">
        <v>36632</v>
      </c>
      <c r="X216">
        <v>25</v>
      </c>
      <c r="Y216" t="s">
        <v>1825</v>
      </c>
      <c r="AA216" t="s">
        <v>842</v>
      </c>
      <c r="AB216" t="s">
        <v>843</v>
      </c>
      <c r="AC216" t="s">
        <v>809</v>
      </c>
      <c r="AD216" t="s">
        <v>809</v>
      </c>
      <c r="AE216" t="s">
        <v>1826</v>
      </c>
      <c r="AG216" t="s">
        <v>1827</v>
      </c>
      <c r="AH216" t="s">
        <v>903</v>
      </c>
      <c r="AI216" t="s">
        <v>1805</v>
      </c>
    </row>
    <row r="217" spans="1:37">
      <c r="A217">
        <v>215</v>
      </c>
      <c r="B217" t="s">
        <v>1828</v>
      </c>
      <c r="C217">
        <v>401</v>
      </c>
      <c r="D217" t="s">
        <v>1310</v>
      </c>
      <c r="E217" t="s">
        <v>713</v>
      </c>
      <c r="F217" t="s">
        <v>1118</v>
      </c>
      <c r="G217" t="s">
        <v>28</v>
      </c>
      <c r="H217" t="s">
        <v>1118</v>
      </c>
      <c r="I217" t="s">
        <v>1118</v>
      </c>
      <c r="J217" t="s">
        <v>786</v>
      </c>
      <c r="K217" t="s">
        <v>786</v>
      </c>
      <c r="N217" t="s">
        <v>1799</v>
      </c>
      <c r="S217" t="s">
        <v>874</v>
      </c>
      <c r="T217" t="s">
        <v>1829</v>
      </c>
      <c r="U217" t="s">
        <v>1830</v>
      </c>
      <c r="V217" t="s">
        <v>876</v>
      </c>
      <c r="W217">
        <v>32089</v>
      </c>
      <c r="X217">
        <v>38</v>
      </c>
      <c r="Y217" t="s">
        <v>1831</v>
      </c>
      <c r="AA217" t="s">
        <v>842</v>
      </c>
      <c r="AB217" t="s">
        <v>843</v>
      </c>
      <c r="AC217" t="s">
        <v>713</v>
      </c>
      <c r="AD217" t="s">
        <v>713</v>
      </c>
      <c r="AE217" t="s">
        <v>1832</v>
      </c>
      <c r="AG217" t="s">
        <v>1804</v>
      </c>
      <c r="AH217" t="s">
        <v>1535</v>
      </c>
      <c r="AI217" t="s">
        <v>1833</v>
      </c>
    </row>
    <row r="218" spans="1:37">
      <c r="A218">
        <v>216</v>
      </c>
      <c r="B218" t="s">
        <v>1510</v>
      </c>
      <c r="C218">
        <v>403</v>
      </c>
      <c r="E218" t="s">
        <v>1834</v>
      </c>
      <c r="F218" t="s">
        <v>1118</v>
      </c>
      <c r="G218" t="s">
        <v>322</v>
      </c>
      <c r="H218" t="s">
        <v>1510</v>
      </c>
      <c r="I218" t="s">
        <v>1510</v>
      </c>
      <c r="J218" t="s">
        <v>1835</v>
      </c>
      <c r="K218" t="s">
        <v>1836</v>
      </c>
      <c r="N218" t="s">
        <v>787</v>
      </c>
      <c r="P218" t="s">
        <v>163</v>
      </c>
      <c r="Q218" t="s">
        <v>500</v>
      </c>
      <c r="T218" t="s">
        <v>322</v>
      </c>
      <c r="U218" t="s">
        <v>1511</v>
      </c>
      <c r="V218" t="s">
        <v>876</v>
      </c>
      <c r="W218">
        <v>36694</v>
      </c>
      <c r="X218">
        <v>25</v>
      </c>
      <c r="Y218" t="s">
        <v>1512</v>
      </c>
      <c r="AA218" t="s">
        <v>793</v>
      </c>
      <c r="AB218" t="s">
        <v>794</v>
      </c>
      <c r="AC218" t="s">
        <v>713</v>
      </c>
      <c r="AD218" t="s">
        <v>713</v>
      </c>
      <c r="AE218" t="s">
        <v>1514</v>
      </c>
      <c r="AF218" t="s">
        <v>872</v>
      </c>
    </row>
    <row r="219" spans="1:37">
      <c r="A219">
        <v>217</v>
      </c>
      <c r="B219" t="s">
        <v>1835</v>
      </c>
      <c r="C219">
        <v>405</v>
      </c>
      <c r="D219" t="s">
        <v>811</v>
      </c>
      <c r="E219" t="s">
        <v>1834</v>
      </c>
      <c r="F219" t="s">
        <v>1118</v>
      </c>
      <c r="G219" t="s">
        <v>322</v>
      </c>
      <c r="H219" t="s">
        <v>1510</v>
      </c>
      <c r="I219" t="s">
        <v>1510</v>
      </c>
      <c r="J219" t="s">
        <v>1835</v>
      </c>
      <c r="K219" t="s">
        <v>1836</v>
      </c>
      <c r="N219" t="s">
        <v>787</v>
      </c>
      <c r="O219" t="s">
        <v>308</v>
      </c>
      <c r="P219" t="s">
        <v>62</v>
      </c>
      <c r="Q219" t="s">
        <v>548</v>
      </c>
      <c r="S219" t="s">
        <v>788</v>
      </c>
      <c r="T219" t="s">
        <v>331</v>
      </c>
      <c r="U219" t="s">
        <v>1837</v>
      </c>
      <c r="V219" t="s">
        <v>876</v>
      </c>
      <c r="W219">
        <v>38170</v>
      </c>
      <c r="X219">
        <v>21</v>
      </c>
      <c r="Y219" t="s">
        <v>1838</v>
      </c>
      <c r="Z219" t="s">
        <v>1839</v>
      </c>
      <c r="AA219" t="s">
        <v>842</v>
      </c>
      <c r="AB219" t="s">
        <v>843</v>
      </c>
      <c r="AC219" t="s">
        <v>713</v>
      </c>
      <c r="AD219" t="s">
        <v>713</v>
      </c>
      <c r="AE219" t="s">
        <v>1597</v>
      </c>
      <c r="AG219" t="s">
        <v>1840</v>
      </c>
      <c r="AH219" t="s">
        <v>1497</v>
      </c>
      <c r="AJ219">
        <v>1010</v>
      </c>
    </row>
    <row r="220" spans="1:37">
      <c r="A220">
        <v>218</v>
      </c>
      <c r="B220" t="s">
        <v>1836</v>
      </c>
      <c r="C220">
        <v>407</v>
      </c>
      <c r="D220" t="s">
        <v>1841</v>
      </c>
      <c r="E220" t="s">
        <v>1834</v>
      </c>
      <c r="F220" t="s">
        <v>1118</v>
      </c>
      <c r="G220" t="s">
        <v>322</v>
      </c>
      <c r="H220" t="s">
        <v>1510</v>
      </c>
      <c r="I220" t="s">
        <v>1510</v>
      </c>
      <c r="J220" t="s">
        <v>1835</v>
      </c>
      <c r="K220" t="s">
        <v>1836</v>
      </c>
      <c r="N220" t="s">
        <v>787</v>
      </c>
      <c r="P220" t="s">
        <v>62</v>
      </c>
      <c r="Q220" t="s">
        <v>548</v>
      </c>
      <c r="S220" t="s">
        <v>788</v>
      </c>
      <c r="T220" t="s">
        <v>1842</v>
      </c>
      <c r="U220" t="s">
        <v>1843</v>
      </c>
      <c r="V220" t="s">
        <v>790</v>
      </c>
      <c r="W220">
        <v>35551</v>
      </c>
      <c r="X220">
        <v>28</v>
      </c>
      <c r="Y220" t="s">
        <v>1844</v>
      </c>
      <c r="Z220" t="s">
        <v>1845</v>
      </c>
      <c r="AA220" t="s">
        <v>842</v>
      </c>
      <c r="AB220" t="s">
        <v>851</v>
      </c>
      <c r="AC220" t="s">
        <v>236</v>
      </c>
      <c r="AD220" t="s">
        <v>236</v>
      </c>
      <c r="AE220" t="s">
        <v>1846</v>
      </c>
      <c r="AH220" t="s">
        <v>971</v>
      </c>
      <c r="AJ220">
        <v>15000</v>
      </c>
      <c r="AK220" t="s">
        <v>4479</v>
      </c>
    </row>
    <row r="221" spans="1:37">
      <c r="A221">
        <v>219</v>
      </c>
      <c r="B221" t="s">
        <v>1847</v>
      </c>
      <c r="C221">
        <v>409</v>
      </c>
      <c r="D221" t="s">
        <v>811</v>
      </c>
      <c r="E221" t="s">
        <v>1834</v>
      </c>
      <c r="F221" t="s">
        <v>1118</v>
      </c>
      <c r="G221" t="s">
        <v>322</v>
      </c>
      <c r="H221" t="s">
        <v>1510</v>
      </c>
      <c r="I221" t="s">
        <v>1510</v>
      </c>
      <c r="J221" t="s">
        <v>1835</v>
      </c>
      <c r="K221" t="s">
        <v>1836</v>
      </c>
      <c r="N221" t="s">
        <v>787</v>
      </c>
      <c r="S221" t="s">
        <v>788</v>
      </c>
      <c r="T221" t="s">
        <v>360</v>
      </c>
      <c r="U221" t="s">
        <v>1848</v>
      </c>
      <c r="V221" t="s">
        <v>876</v>
      </c>
      <c r="W221">
        <v>36437</v>
      </c>
      <c r="X221">
        <v>26</v>
      </c>
      <c r="Y221" t="s">
        <v>1849</v>
      </c>
      <c r="Z221" t="s">
        <v>1850</v>
      </c>
      <c r="AA221" t="s">
        <v>842</v>
      </c>
      <c r="AB221" t="s">
        <v>851</v>
      </c>
      <c r="AC221" t="s">
        <v>1256</v>
      </c>
      <c r="AD221" t="s">
        <v>1256</v>
      </c>
      <c r="AE221" t="s">
        <v>1851</v>
      </c>
      <c r="AH221" t="s">
        <v>1852</v>
      </c>
    </row>
    <row r="222" spans="1:37">
      <c r="A222">
        <v>220</v>
      </c>
      <c r="B222" t="s">
        <v>1853</v>
      </c>
      <c r="C222">
        <v>411</v>
      </c>
      <c r="D222" t="s">
        <v>811</v>
      </c>
      <c r="E222" t="s">
        <v>1834</v>
      </c>
      <c r="F222" t="s">
        <v>1118</v>
      </c>
      <c r="G222" t="s">
        <v>322</v>
      </c>
      <c r="H222" t="s">
        <v>1510</v>
      </c>
      <c r="I222" t="s">
        <v>1510</v>
      </c>
      <c r="J222" t="s">
        <v>1835</v>
      </c>
      <c r="K222" t="s">
        <v>1836</v>
      </c>
      <c r="N222" t="s">
        <v>787</v>
      </c>
      <c r="S222" t="s">
        <v>788</v>
      </c>
      <c r="T222" t="s">
        <v>374</v>
      </c>
      <c r="U222" t="s">
        <v>1854</v>
      </c>
      <c r="V222" t="s">
        <v>876</v>
      </c>
      <c r="W222">
        <v>36516</v>
      </c>
      <c r="X222">
        <v>26</v>
      </c>
      <c r="Y222" t="s">
        <v>1855</v>
      </c>
      <c r="Z222" t="s">
        <v>1856</v>
      </c>
      <c r="AA222" t="s">
        <v>842</v>
      </c>
      <c r="AB222" t="s">
        <v>843</v>
      </c>
      <c r="AC222" t="s">
        <v>1256</v>
      </c>
      <c r="AD222" t="s">
        <v>1256</v>
      </c>
      <c r="AE222" t="s">
        <v>1338</v>
      </c>
      <c r="AH222" t="s">
        <v>1852</v>
      </c>
    </row>
    <row r="223" spans="1:37">
      <c r="A223">
        <v>221</v>
      </c>
      <c r="B223" t="s">
        <v>1857</v>
      </c>
      <c r="C223">
        <v>413</v>
      </c>
      <c r="D223" t="s">
        <v>1822</v>
      </c>
      <c r="E223" t="s">
        <v>1834</v>
      </c>
      <c r="F223" t="s">
        <v>1118</v>
      </c>
      <c r="G223" t="s">
        <v>322</v>
      </c>
      <c r="H223" t="s">
        <v>1510</v>
      </c>
      <c r="I223" t="s">
        <v>1510</v>
      </c>
      <c r="J223" t="s">
        <v>1835</v>
      </c>
      <c r="K223" t="s">
        <v>1836</v>
      </c>
      <c r="N223" t="s">
        <v>787</v>
      </c>
      <c r="S223" t="s">
        <v>788</v>
      </c>
      <c r="T223" t="s">
        <v>387</v>
      </c>
      <c r="U223" t="s">
        <v>1858</v>
      </c>
      <c r="V223" t="s">
        <v>790</v>
      </c>
      <c r="W223">
        <v>33468</v>
      </c>
      <c r="X223">
        <v>34</v>
      </c>
      <c r="Y223" t="s">
        <v>1859</v>
      </c>
      <c r="Z223" t="s">
        <v>1860</v>
      </c>
      <c r="AA223" t="s">
        <v>842</v>
      </c>
      <c r="AB223" t="s">
        <v>843</v>
      </c>
      <c r="AC223" t="s">
        <v>942</v>
      </c>
      <c r="AD223" t="s">
        <v>1861</v>
      </c>
      <c r="AE223" t="s">
        <v>1862</v>
      </c>
      <c r="AH223" t="s">
        <v>1852</v>
      </c>
      <c r="AI223" t="s">
        <v>1863</v>
      </c>
    </row>
    <row r="224" spans="1:37">
      <c r="A224">
        <v>222</v>
      </c>
      <c r="B224" t="s">
        <v>1864</v>
      </c>
      <c r="C224">
        <v>414</v>
      </c>
      <c r="D224" t="s">
        <v>1822</v>
      </c>
      <c r="E224" t="s">
        <v>1834</v>
      </c>
      <c r="F224" t="s">
        <v>1118</v>
      </c>
      <c r="G224" t="s">
        <v>322</v>
      </c>
      <c r="H224" t="s">
        <v>1510</v>
      </c>
      <c r="I224" t="s">
        <v>1510</v>
      </c>
      <c r="J224" t="s">
        <v>1835</v>
      </c>
      <c r="K224" t="s">
        <v>1836</v>
      </c>
      <c r="N224" t="s">
        <v>787</v>
      </c>
      <c r="S224" t="s">
        <v>788</v>
      </c>
      <c r="T224" t="s">
        <v>399</v>
      </c>
      <c r="U224" t="s">
        <v>1865</v>
      </c>
      <c r="V224" t="s">
        <v>876</v>
      </c>
      <c r="W224">
        <v>38335</v>
      </c>
      <c r="X224">
        <v>21</v>
      </c>
      <c r="Y224" t="s">
        <v>1866</v>
      </c>
      <c r="Z224" t="s">
        <v>1867</v>
      </c>
      <c r="AA224" t="s">
        <v>842</v>
      </c>
      <c r="AB224" t="s">
        <v>843</v>
      </c>
      <c r="AC224" t="s">
        <v>1868</v>
      </c>
      <c r="AD224" t="s">
        <v>713</v>
      </c>
      <c r="AE224" t="s">
        <v>1869</v>
      </c>
      <c r="AH224" t="s">
        <v>1852</v>
      </c>
      <c r="AI224" t="s">
        <v>1863</v>
      </c>
    </row>
    <row r="225" spans="1:37">
      <c r="A225">
        <v>223</v>
      </c>
      <c r="B225" t="s">
        <v>1870</v>
      </c>
      <c r="C225">
        <v>416</v>
      </c>
      <c r="D225" t="s">
        <v>811</v>
      </c>
      <c r="E225" t="s">
        <v>1834</v>
      </c>
      <c r="F225" t="s">
        <v>1118</v>
      </c>
      <c r="G225" t="s">
        <v>322</v>
      </c>
      <c r="H225" t="s">
        <v>1510</v>
      </c>
      <c r="I225" t="s">
        <v>1510</v>
      </c>
      <c r="J225" t="s">
        <v>1835</v>
      </c>
      <c r="K225" t="s">
        <v>1836</v>
      </c>
      <c r="N225" t="s">
        <v>787</v>
      </c>
      <c r="O225" t="s">
        <v>308</v>
      </c>
      <c r="S225" t="s">
        <v>788</v>
      </c>
      <c r="T225" t="s">
        <v>1871</v>
      </c>
      <c r="U225" t="s">
        <v>1872</v>
      </c>
      <c r="V225" t="s">
        <v>876</v>
      </c>
      <c r="W225">
        <v>37110</v>
      </c>
      <c r="X225">
        <v>24</v>
      </c>
      <c r="Y225" t="s">
        <v>1873</v>
      </c>
      <c r="Z225" t="s">
        <v>1874</v>
      </c>
      <c r="AA225" t="s">
        <v>842</v>
      </c>
      <c r="AB225" t="s">
        <v>843</v>
      </c>
      <c r="AC225" t="s">
        <v>1256</v>
      </c>
      <c r="AD225" t="s">
        <v>1256</v>
      </c>
      <c r="AE225" t="s">
        <v>1875</v>
      </c>
      <c r="AH225" t="s">
        <v>1438</v>
      </c>
      <c r="AJ225">
        <v>50</v>
      </c>
      <c r="AK225" t="s">
        <v>4475</v>
      </c>
    </row>
    <row r="226" spans="1:37">
      <c r="A226">
        <v>224</v>
      </c>
      <c r="B226" t="s">
        <v>1876</v>
      </c>
      <c r="C226">
        <v>418</v>
      </c>
      <c r="D226" t="s">
        <v>1310</v>
      </c>
      <c r="E226" t="s">
        <v>1834</v>
      </c>
      <c r="F226" t="s">
        <v>1118</v>
      </c>
      <c r="G226" t="s">
        <v>322</v>
      </c>
      <c r="H226" t="s">
        <v>1510</v>
      </c>
      <c r="I226" t="s">
        <v>1510</v>
      </c>
      <c r="J226" t="s">
        <v>1835</v>
      </c>
      <c r="K226" t="s">
        <v>1836</v>
      </c>
      <c r="N226" t="s">
        <v>787</v>
      </c>
      <c r="O226" t="s">
        <v>308</v>
      </c>
      <c r="S226" t="s">
        <v>788</v>
      </c>
      <c r="T226" t="s">
        <v>727</v>
      </c>
      <c r="U226" t="s">
        <v>1877</v>
      </c>
      <c r="V226" t="s">
        <v>876</v>
      </c>
      <c r="W226">
        <v>37577</v>
      </c>
      <c r="X226">
        <v>23</v>
      </c>
      <c r="Y226" t="s">
        <v>1878</v>
      </c>
      <c r="AA226" t="s">
        <v>842</v>
      </c>
      <c r="AB226" t="s">
        <v>843</v>
      </c>
      <c r="AC226" t="s">
        <v>713</v>
      </c>
      <c r="AD226" t="s">
        <v>713</v>
      </c>
      <c r="AE226" t="s">
        <v>1303</v>
      </c>
      <c r="AH226" t="s">
        <v>1295</v>
      </c>
      <c r="AJ226">
        <v>130</v>
      </c>
    </row>
    <row r="227" spans="1:37">
      <c r="A227">
        <v>225</v>
      </c>
      <c r="B227" t="s">
        <v>1879</v>
      </c>
      <c r="C227">
        <v>216</v>
      </c>
      <c r="D227" t="s">
        <v>1310</v>
      </c>
      <c r="E227" t="s">
        <v>1834</v>
      </c>
      <c r="F227" t="s">
        <v>1118</v>
      </c>
      <c r="G227" t="s">
        <v>322</v>
      </c>
      <c r="H227" t="s">
        <v>1510</v>
      </c>
      <c r="I227" t="s">
        <v>1510</v>
      </c>
      <c r="J227" t="s">
        <v>1835</v>
      </c>
      <c r="K227" t="s">
        <v>1836</v>
      </c>
      <c r="N227" t="s">
        <v>787</v>
      </c>
      <c r="O227" t="s">
        <v>308</v>
      </c>
      <c r="S227" t="s">
        <v>788</v>
      </c>
      <c r="T227" t="s">
        <v>729</v>
      </c>
      <c r="U227" t="s">
        <v>1880</v>
      </c>
      <c r="V227" t="s">
        <v>876</v>
      </c>
      <c r="W227">
        <v>38508</v>
      </c>
      <c r="X227">
        <v>20</v>
      </c>
      <c r="Y227" t="s">
        <v>1881</v>
      </c>
      <c r="AA227" t="s">
        <v>842</v>
      </c>
      <c r="AB227" t="s">
        <v>843</v>
      </c>
      <c r="AC227" t="s">
        <v>713</v>
      </c>
      <c r="AD227" t="s">
        <v>713</v>
      </c>
      <c r="AE227" t="s">
        <v>1882</v>
      </c>
      <c r="AH227" t="s">
        <v>1295</v>
      </c>
    </row>
    <row r="228" spans="1:37">
      <c r="A228">
        <v>226</v>
      </c>
      <c r="B228" t="s">
        <v>1515</v>
      </c>
      <c r="C228">
        <v>406</v>
      </c>
      <c r="E228" t="s">
        <v>1834</v>
      </c>
      <c r="F228" t="s">
        <v>1118</v>
      </c>
      <c r="G228" t="s">
        <v>322</v>
      </c>
      <c r="H228" t="s">
        <v>1510</v>
      </c>
      <c r="I228" t="s">
        <v>1515</v>
      </c>
      <c r="J228" t="s">
        <v>1883</v>
      </c>
      <c r="K228" t="s">
        <v>1884</v>
      </c>
      <c r="N228" t="s">
        <v>828</v>
      </c>
      <c r="P228" t="s">
        <v>49</v>
      </c>
      <c r="Q228" t="s">
        <v>168</v>
      </c>
      <c r="T228" t="s">
        <v>246</v>
      </c>
      <c r="U228" t="s">
        <v>1516</v>
      </c>
      <c r="V228" t="s">
        <v>876</v>
      </c>
      <c r="W228">
        <v>35604</v>
      </c>
      <c r="X228">
        <v>28</v>
      </c>
      <c r="Y228" t="s">
        <v>1517</v>
      </c>
      <c r="AA228" t="s">
        <v>793</v>
      </c>
      <c r="AB228" t="s">
        <v>794</v>
      </c>
      <c r="AC228" t="s">
        <v>713</v>
      </c>
      <c r="AD228" t="s">
        <v>713</v>
      </c>
      <c r="AE228" t="s">
        <v>1514</v>
      </c>
      <c r="AF228" t="s">
        <v>872</v>
      </c>
    </row>
    <row r="229" spans="1:37">
      <c r="A229">
        <v>227</v>
      </c>
      <c r="B229" t="s">
        <v>1883</v>
      </c>
      <c r="C229">
        <v>408</v>
      </c>
      <c r="D229" t="s">
        <v>1310</v>
      </c>
      <c r="E229" t="s">
        <v>1834</v>
      </c>
      <c r="F229" t="s">
        <v>1118</v>
      </c>
      <c r="G229" t="s">
        <v>322</v>
      </c>
      <c r="H229" t="s">
        <v>1510</v>
      </c>
      <c r="I229" t="s">
        <v>1515</v>
      </c>
      <c r="J229" t="s">
        <v>1883</v>
      </c>
      <c r="K229" t="s">
        <v>1884</v>
      </c>
      <c r="N229" t="s">
        <v>828</v>
      </c>
      <c r="Q229" t="s">
        <v>1885</v>
      </c>
      <c r="S229" t="s">
        <v>1886</v>
      </c>
      <c r="T229" t="s">
        <v>1887</v>
      </c>
      <c r="U229" t="s">
        <v>1888</v>
      </c>
      <c r="V229" t="s">
        <v>876</v>
      </c>
      <c r="W229">
        <v>39593</v>
      </c>
      <c r="X229">
        <v>17</v>
      </c>
      <c r="Y229" t="s">
        <v>1889</v>
      </c>
      <c r="Z229" t="s">
        <v>1890</v>
      </c>
      <c r="AA229" t="s">
        <v>842</v>
      </c>
      <c r="AB229" t="s">
        <v>794</v>
      </c>
      <c r="AC229" t="s">
        <v>1256</v>
      </c>
      <c r="AD229" t="s">
        <v>1256</v>
      </c>
      <c r="AH229" t="s">
        <v>903</v>
      </c>
      <c r="AJ229">
        <v>30</v>
      </c>
      <c r="AK229" t="s">
        <v>4480</v>
      </c>
    </row>
    <row r="230" spans="1:37">
      <c r="A230">
        <v>228</v>
      </c>
      <c r="B230" t="s">
        <v>1884</v>
      </c>
      <c r="C230">
        <v>410</v>
      </c>
      <c r="D230" t="s">
        <v>811</v>
      </c>
      <c r="E230" t="s">
        <v>1834</v>
      </c>
      <c r="F230" t="s">
        <v>1118</v>
      </c>
      <c r="G230" t="s">
        <v>322</v>
      </c>
      <c r="H230" t="s">
        <v>1510</v>
      </c>
      <c r="I230" t="s">
        <v>1515</v>
      </c>
      <c r="J230" t="s">
        <v>1883</v>
      </c>
      <c r="K230" t="s">
        <v>1884</v>
      </c>
      <c r="N230" t="s">
        <v>828</v>
      </c>
      <c r="O230" t="s">
        <v>308</v>
      </c>
      <c r="P230" t="s">
        <v>62</v>
      </c>
      <c r="Q230" t="s">
        <v>548</v>
      </c>
      <c r="S230" t="s">
        <v>788</v>
      </c>
      <c r="T230" t="s">
        <v>417</v>
      </c>
      <c r="U230" t="s">
        <v>1891</v>
      </c>
      <c r="V230" t="s">
        <v>876</v>
      </c>
      <c r="W230">
        <v>36581</v>
      </c>
      <c r="X230">
        <v>25</v>
      </c>
      <c r="Y230" t="s">
        <v>1892</v>
      </c>
      <c r="Z230" t="s">
        <v>1893</v>
      </c>
      <c r="AA230" t="s">
        <v>842</v>
      </c>
      <c r="AB230" t="s">
        <v>843</v>
      </c>
      <c r="AC230" t="s">
        <v>713</v>
      </c>
      <c r="AD230" t="s">
        <v>713</v>
      </c>
      <c r="AE230" t="s">
        <v>1894</v>
      </c>
      <c r="AH230" t="s">
        <v>1224</v>
      </c>
    </row>
    <row r="231" spans="1:37">
      <c r="A231">
        <v>229</v>
      </c>
      <c r="B231" t="s">
        <v>1895</v>
      </c>
      <c r="C231">
        <v>412</v>
      </c>
      <c r="D231" t="s">
        <v>811</v>
      </c>
      <c r="E231" t="s">
        <v>1834</v>
      </c>
      <c r="F231" t="s">
        <v>1118</v>
      </c>
      <c r="G231" t="s">
        <v>322</v>
      </c>
      <c r="H231" t="s">
        <v>1510</v>
      </c>
      <c r="I231" t="s">
        <v>1515</v>
      </c>
      <c r="J231" t="s">
        <v>1883</v>
      </c>
      <c r="K231" t="s">
        <v>1884</v>
      </c>
      <c r="N231" t="s">
        <v>828</v>
      </c>
      <c r="S231" t="s">
        <v>788</v>
      </c>
      <c r="T231" t="s">
        <v>1896</v>
      </c>
      <c r="U231" t="s">
        <v>1897</v>
      </c>
      <c r="V231" t="s">
        <v>876</v>
      </c>
      <c r="W231">
        <v>36350</v>
      </c>
      <c r="X231">
        <v>26</v>
      </c>
      <c r="Y231" t="s">
        <v>1898</v>
      </c>
      <c r="Z231" t="s">
        <v>1899</v>
      </c>
      <c r="AA231" t="s">
        <v>842</v>
      </c>
      <c r="AB231" t="s">
        <v>851</v>
      </c>
      <c r="AC231" t="s">
        <v>713</v>
      </c>
      <c r="AD231" t="s">
        <v>713</v>
      </c>
      <c r="AE231" t="s">
        <v>1900</v>
      </c>
      <c r="AH231" t="s">
        <v>903</v>
      </c>
    </row>
    <row r="232" spans="1:37">
      <c r="A232">
        <v>230</v>
      </c>
      <c r="B232" t="s">
        <v>1901</v>
      </c>
      <c r="C232">
        <v>414</v>
      </c>
      <c r="D232" t="s">
        <v>811</v>
      </c>
      <c r="E232" t="s">
        <v>1834</v>
      </c>
      <c r="F232" t="s">
        <v>1118</v>
      </c>
      <c r="G232" t="s">
        <v>322</v>
      </c>
      <c r="H232" t="s">
        <v>1510</v>
      </c>
      <c r="I232" t="s">
        <v>1515</v>
      </c>
      <c r="J232" t="s">
        <v>1883</v>
      </c>
      <c r="K232" t="s">
        <v>1884</v>
      </c>
      <c r="N232" t="s">
        <v>828</v>
      </c>
      <c r="S232" t="s">
        <v>788</v>
      </c>
      <c r="T232" t="s">
        <v>1902</v>
      </c>
      <c r="U232" t="s">
        <v>1903</v>
      </c>
      <c r="V232" t="s">
        <v>790</v>
      </c>
      <c r="W232">
        <v>36950</v>
      </c>
      <c r="X232">
        <v>24</v>
      </c>
      <c r="Y232" t="s">
        <v>1904</v>
      </c>
      <c r="Z232" t="s">
        <v>1905</v>
      </c>
      <c r="AA232" t="s">
        <v>842</v>
      </c>
      <c r="AB232" t="s">
        <v>843</v>
      </c>
      <c r="AC232" t="s">
        <v>713</v>
      </c>
      <c r="AD232" t="s">
        <v>713</v>
      </c>
      <c r="AE232" t="s">
        <v>1906</v>
      </c>
      <c r="AH232" t="s">
        <v>903</v>
      </c>
    </row>
    <row r="233" spans="1:37">
      <c r="A233">
        <v>231</v>
      </c>
      <c r="B233" t="s">
        <v>1907</v>
      </c>
      <c r="C233">
        <v>416</v>
      </c>
      <c r="D233" t="s">
        <v>811</v>
      </c>
      <c r="E233" t="s">
        <v>1834</v>
      </c>
      <c r="F233" t="s">
        <v>1118</v>
      </c>
      <c r="G233" t="s">
        <v>322</v>
      </c>
      <c r="H233" t="s">
        <v>1510</v>
      </c>
      <c r="I233" t="s">
        <v>1515</v>
      </c>
      <c r="J233" t="s">
        <v>1883</v>
      </c>
      <c r="K233" t="s">
        <v>1884</v>
      </c>
      <c r="N233" t="s">
        <v>828</v>
      </c>
      <c r="S233" t="s">
        <v>788</v>
      </c>
      <c r="T233" t="s">
        <v>1908</v>
      </c>
      <c r="U233" t="s">
        <v>1909</v>
      </c>
      <c r="V233" t="s">
        <v>790</v>
      </c>
      <c r="W233">
        <v>37497</v>
      </c>
      <c r="X233">
        <v>23</v>
      </c>
      <c r="Y233" t="s">
        <v>1910</v>
      </c>
      <c r="Z233" t="s">
        <v>1911</v>
      </c>
      <c r="AA233" t="s">
        <v>842</v>
      </c>
      <c r="AB233" t="s">
        <v>843</v>
      </c>
      <c r="AC233" t="s">
        <v>713</v>
      </c>
      <c r="AD233" t="s">
        <v>1163</v>
      </c>
      <c r="AE233" t="s">
        <v>1912</v>
      </c>
      <c r="AH233" t="s">
        <v>903</v>
      </c>
    </row>
    <row r="234" spans="1:37">
      <c r="A234">
        <v>232</v>
      </c>
      <c r="B234" t="s">
        <v>1913</v>
      </c>
      <c r="C234">
        <v>418</v>
      </c>
      <c r="D234" t="s">
        <v>811</v>
      </c>
      <c r="E234" t="s">
        <v>1834</v>
      </c>
      <c r="F234" t="s">
        <v>1118</v>
      </c>
      <c r="G234" t="s">
        <v>322</v>
      </c>
      <c r="H234" t="s">
        <v>1510</v>
      </c>
      <c r="I234" t="s">
        <v>1515</v>
      </c>
      <c r="J234" t="s">
        <v>1883</v>
      </c>
      <c r="K234" t="s">
        <v>1884</v>
      </c>
      <c r="N234" t="s">
        <v>828</v>
      </c>
      <c r="O234" t="s">
        <v>308</v>
      </c>
      <c r="S234" t="s">
        <v>874</v>
      </c>
      <c r="T234" t="s">
        <v>388</v>
      </c>
      <c r="U234" t="s">
        <v>1914</v>
      </c>
      <c r="V234" t="s">
        <v>876</v>
      </c>
      <c r="W234">
        <v>36538</v>
      </c>
      <c r="X234">
        <v>26</v>
      </c>
      <c r="Y234" t="s">
        <v>1915</v>
      </c>
      <c r="Z234" t="s">
        <v>1916</v>
      </c>
      <c r="AA234" t="s">
        <v>842</v>
      </c>
      <c r="AB234" t="s">
        <v>843</v>
      </c>
      <c r="AC234" t="s">
        <v>713</v>
      </c>
      <c r="AD234" t="s">
        <v>713</v>
      </c>
      <c r="AE234" t="s">
        <v>1229</v>
      </c>
      <c r="AH234" t="s">
        <v>1604</v>
      </c>
      <c r="AJ234">
        <v>2450</v>
      </c>
    </row>
    <row r="235" spans="1:37">
      <c r="A235">
        <v>233</v>
      </c>
      <c r="B235" t="s">
        <v>1917</v>
      </c>
      <c r="C235">
        <v>420</v>
      </c>
      <c r="D235" t="s">
        <v>811</v>
      </c>
      <c r="E235" t="s">
        <v>1834</v>
      </c>
      <c r="F235" t="s">
        <v>1118</v>
      </c>
      <c r="G235" t="s">
        <v>322</v>
      </c>
      <c r="H235" t="s">
        <v>1510</v>
      </c>
      <c r="I235" t="s">
        <v>1515</v>
      </c>
      <c r="J235" t="s">
        <v>1883</v>
      </c>
      <c r="K235" t="s">
        <v>1884</v>
      </c>
      <c r="N235" t="s">
        <v>828</v>
      </c>
      <c r="O235" t="s">
        <v>308</v>
      </c>
      <c r="S235" t="s">
        <v>788</v>
      </c>
      <c r="T235" t="s">
        <v>400</v>
      </c>
      <c r="U235" t="s">
        <v>1918</v>
      </c>
      <c r="V235" t="s">
        <v>876</v>
      </c>
      <c r="W235">
        <v>38233</v>
      </c>
      <c r="X235">
        <v>21</v>
      </c>
      <c r="Y235" t="s">
        <v>1919</v>
      </c>
      <c r="Z235" t="s">
        <v>1920</v>
      </c>
      <c r="AA235" t="s">
        <v>842</v>
      </c>
      <c r="AB235" t="s">
        <v>843</v>
      </c>
      <c r="AC235" t="s">
        <v>713</v>
      </c>
      <c r="AD235" t="s">
        <v>713</v>
      </c>
      <c r="AE235" t="s">
        <v>1921</v>
      </c>
      <c r="AH235" t="s">
        <v>1604</v>
      </c>
    </row>
    <row r="236" spans="1:37">
      <c r="A236">
        <v>234</v>
      </c>
      <c r="B236" t="s">
        <v>1922</v>
      </c>
      <c r="C236">
        <v>422</v>
      </c>
      <c r="D236" t="s">
        <v>811</v>
      </c>
      <c r="E236" t="s">
        <v>1834</v>
      </c>
      <c r="F236" t="s">
        <v>1118</v>
      </c>
      <c r="G236" t="s">
        <v>322</v>
      </c>
      <c r="H236" t="s">
        <v>1510</v>
      </c>
      <c r="I236" t="s">
        <v>1515</v>
      </c>
      <c r="J236" t="s">
        <v>1883</v>
      </c>
      <c r="K236" t="s">
        <v>1884</v>
      </c>
      <c r="N236" t="s">
        <v>828</v>
      </c>
      <c r="O236" t="s">
        <v>308</v>
      </c>
      <c r="S236" t="s">
        <v>788</v>
      </c>
      <c r="T236" t="s">
        <v>1923</v>
      </c>
      <c r="U236" t="s">
        <v>1924</v>
      </c>
      <c r="V236" t="s">
        <v>876</v>
      </c>
      <c r="W236">
        <v>36315</v>
      </c>
      <c r="X236">
        <v>26</v>
      </c>
      <c r="Y236" t="s">
        <v>1925</v>
      </c>
      <c r="Z236" t="s">
        <v>1926</v>
      </c>
      <c r="AA236" t="s">
        <v>842</v>
      </c>
      <c r="AB236" t="s">
        <v>843</v>
      </c>
      <c r="AC236" t="s">
        <v>713</v>
      </c>
      <c r="AD236" t="s">
        <v>713</v>
      </c>
      <c r="AE236" t="s">
        <v>1229</v>
      </c>
      <c r="AF236" t="s">
        <v>1571</v>
      </c>
      <c r="AG236" t="s">
        <v>1927</v>
      </c>
      <c r="AH236" t="s">
        <v>1224</v>
      </c>
    </row>
    <row r="237" spans="1:37">
      <c r="A237">
        <v>235</v>
      </c>
      <c r="B237" t="s">
        <v>1928</v>
      </c>
      <c r="C237">
        <v>424</v>
      </c>
      <c r="D237" t="s">
        <v>811</v>
      </c>
      <c r="E237" t="s">
        <v>1834</v>
      </c>
      <c r="F237" t="s">
        <v>1118</v>
      </c>
      <c r="G237" t="s">
        <v>322</v>
      </c>
      <c r="H237" t="s">
        <v>1510</v>
      </c>
      <c r="I237" t="s">
        <v>1515</v>
      </c>
      <c r="J237" t="s">
        <v>1883</v>
      </c>
      <c r="K237" t="s">
        <v>1884</v>
      </c>
      <c r="N237" t="s">
        <v>828</v>
      </c>
      <c r="S237" t="s">
        <v>788</v>
      </c>
      <c r="T237" t="s">
        <v>426</v>
      </c>
      <c r="U237" t="s">
        <v>1929</v>
      </c>
      <c r="V237" t="s">
        <v>876</v>
      </c>
      <c r="W237">
        <v>37693</v>
      </c>
      <c r="X237">
        <v>22</v>
      </c>
      <c r="Y237" t="s">
        <v>1930</v>
      </c>
      <c r="AA237" t="s">
        <v>842</v>
      </c>
      <c r="AB237" t="s">
        <v>843</v>
      </c>
      <c r="AC237" t="s">
        <v>713</v>
      </c>
      <c r="AD237" t="s">
        <v>1163</v>
      </c>
      <c r="AE237" t="s">
        <v>1250</v>
      </c>
      <c r="AG237" t="s">
        <v>866</v>
      </c>
      <c r="AH237" t="s">
        <v>903</v>
      </c>
    </row>
    <row r="238" spans="1:37">
      <c r="A238">
        <v>236</v>
      </c>
      <c r="B238" t="s">
        <v>1931</v>
      </c>
      <c r="C238">
        <v>426</v>
      </c>
      <c r="D238" t="s">
        <v>1310</v>
      </c>
      <c r="E238" t="s">
        <v>1834</v>
      </c>
      <c r="F238" t="s">
        <v>1118</v>
      </c>
      <c r="G238" t="s">
        <v>322</v>
      </c>
      <c r="H238" t="s">
        <v>1510</v>
      </c>
      <c r="I238" t="s">
        <v>1515</v>
      </c>
      <c r="J238" t="s">
        <v>1883</v>
      </c>
      <c r="K238" t="s">
        <v>1884</v>
      </c>
      <c r="N238" t="s">
        <v>828</v>
      </c>
      <c r="S238" t="s">
        <v>1886</v>
      </c>
      <c r="T238" t="s">
        <v>1932</v>
      </c>
      <c r="U238" t="s">
        <v>1933</v>
      </c>
      <c r="V238" t="s">
        <v>876</v>
      </c>
      <c r="W238">
        <v>39312</v>
      </c>
      <c r="X238">
        <v>18</v>
      </c>
      <c r="Y238" t="s">
        <v>1934</v>
      </c>
      <c r="Z238" t="s">
        <v>1935</v>
      </c>
      <c r="AA238" t="s">
        <v>842</v>
      </c>
      <c r="AB238" t="s">
        <v>843</v>
      </c>
      <c r="AC238" t="s">
        <v>1735</v>
      </c>
      <c r="AD238" t="s">
        <v>1735</v>
      </c>
      <c r="AG238" t="s">
        <v>1936</v>
      </c>
      <c r="AH238" t="s">
        <v>903</v>
      </c>
      <c r="AI238" t="s">
        <v>1805</v>
      </c>
    </row>
    <row r="239" spans="1:37">
      <c r="A239">
        <v>237</v>
      </c>
      <c r="B239" t="s">
        <v>1664</v>
      </c>
      <c r="C239">
        <v>427</v>
      </c>
      <c r="E239" t="s">
        <v>1834</v>
      </c>
      <c r="F239" t="s">
        <v>1118</v>
      </c>
      <c r="G239" t="s">
        <v>322</v>
      </c>
      <c r="H239" t="s">
        <v>1510</v>
      </c>
      <c r="I239" t="s">
        <v>1664</v>
      </c>
      <c r="J239" t="s">
        <v>1937</v>
      </c>
      <c r="N239" t="s">
        <v>938</v>
      </c>
      <c r="P239" t="s">
        <v>49</v>
      </c>
      <c r="Q239" t="s">
        <v>168</v>
      </c>
      <c r="T239" t="s">
        <v>323</v>
      </c>
      <c r="U239" t="s">
        <v>1938</v>
      </c>
      <c r="V239" t="s">
        <v>876</v>
      </c>
      <c r="W239">
        <v>30593</v>
      </c>
      <c r="X239">
        <v>42</v>
      </c>
      <c r="Y239" t="s">
        <v>1666</v>
      </c>
      <c r="Z239" t="s">
        <v>1667</v>
      </c>
      <c r="AA239" t="s">
        <v>802</v>
      </c>
      <c r="AB239" t="s">
        <v>794</v>
      </c>
      <c r="AC239" t="s">
        <v>713</v>
      </c>
      <c r="AD239" t="s">
        <v>713</v>
      </c>
      <c r="AF239" t="s">
        <v>872</v>
      </c>
    </row>
    <row r="240" spans="1:37">
      <c r="A240">
        <v>238</v>
      </c>
      <c r="B240" t="s">
        <v>1937</v>
      </c>
      <c r="C240">
        <v>429</v>
      </c>
      <c r="D240" t="s">
        <v>811</v>
      </c>
      <c r="E240" t="s">
        <v>1834</v>
      </c>
      <c r="F240" t="s">
        <v>1118</v>
      </c>
      <c r="G240" t="s">
        <v>322</v>
      </c>
      <c r="H240" t="s">
        <v>1510</v>
      </c>
      <c r="I240" t="s">
        <v>1664</v>
      </c>
      <c r="J240" t="s">
        <v>1937</v>
      </c>
      <c r="N240" t="s">
        <v>938</v>
      </c>
      <c r="P240" t="s">
        <v>62</v>
      </c>
      <c r="Q240" t="s">
        <v>62</v>
      </c>
      <c r="S240" t="s">
        <v>874</v>
      </c>
      <c r="T240" t="s">
        <v>347</v>
      </c>
      <c r="U240" t="s">
        <v>1939</v>
      </c>
      <c r="V240" t="s">
        <v>876</v>
      </c>
      <c r="W240">
        <v>30325</v>
      </c>
      <c r="X240">
        <v>43</v>
      </c>
      <c r="Y240" t="s">
        <v>1940</v>
      </c>
      <c r="Z240" t="s">
        <v>1941</v>
      </c>
      <c r="AA240" t="s">
        <v>842</v>
      </c>
      <c r="AB240" t="s">
        <v>843</v>
      </c>
      <c r="AC240" t="s">
        <v>713</v>
      </c>
      <c r="AD240" t="s">
        <v>713</v>
      </c>
      <c r="AE240" t="s">
        <v>1391</v>
      </c>
      <c r="AH240" t="s">
        <v>1497</v>
      </c>
      <c r="AJ240">
        <v>1500</v>
      </c>
    </row>
    <row r="241" spans="1:37">
      <c r="A241">
        <v>239</v>
      </c>
      <c r="B241" t="s">
        <v>1942</v>
      </c>
      <c r="C241">
        <v>431</v>
      </c>
      <c r="D241" t="s">
        <v>811</v>
      </c>
      <c r="E241" t="s">
        <v>1834</v>
      </c>
      <c r="F241" t="s">
        <v>1118</v>
      </c>
      <c r="G241" t="s">
        <v>322</v>
      </c>
      <c r="H241" t="s">
        <v>1510</v>
      </c>
      <c r="I241" t="s">
        <v>1664</v>
      </c>
      <c r="J241" t="s">
        <v>1937</v>
      </c>
      <c r="N241" t="s">
        <v>938</v>
      </c>
      <c r="S241" t="s">
        <v>874</v>
      </c>
      <c r="T241" t="s">
        <v>332</v>
      </c>
      <c r="U241" t="s">
        <v>1943</v>
      </c>
      <c r="V241" t="s">
        <v>876</v>
      </c>
      <c r="W241">
        <v>27988</v>
      </c>
      <c r="X241">
        <v>49</v>
      </c>
      <c r="Y241" t="s">
        <v>1944</v>
      </c>
      <c r="Z241" t="s">
        <v>1945</v>
      </c>
      <c r="AA241" t="s">
        <v>842</v>
      </c>
      <c r="AB241" t="s">
        <v>843</v>
      </c>
      <c r="AC241" t="s">
        <v>713</v>
      </c>
      <c r="AD241" t="s">
        <v>713</v>
      </c>
      <c r="AE241" t="s">
        <v>1427</v>
      </c>
      <c r="AH241" t="s">
        <v>1497</v>
      </c>
      <c r="AJ241">
        <v>4000</v>
      </c>
    </row>
    <row r="242" spans="1:37">
      <c r="A242">
        <v>240</v>
      </c>
      <c r="B242" t="s">
        <v>1946</v>
      </c>
      <c r="C242">
        <v>433</v>
      </c>
      <c r="D242" t="s">
        <v>1157</v>
      </c>
      <c r="E242" t="s">
        <v>1834</v>
      </c>
      <c r="F242" t="s">
        <v>1118</v>
      </c>
      <c r="G242" t="s">
        <v>322</v>
      </c>
      <c r="H242" t="s">
        <v>1510</v>
      </c>
      <c r="I242" t="s">
        <v>1664</v>
      </c>
      <c r="J242" t="s">
        <v>1937</v>
      </c>
      <c r="N242" t="s">
        <v>938</v>
      </c>
      <c r="O242" t="s">
        <v>308</v>
      </c>
      <c r="S242" t="s">
        <v>788</v>
      </c>
      <c r="T242" t="s">
        <v>361</v>
      </c>
      <c r="U242" t="s">
        <v>1947</v>
      </c>
      <c r="V242" t="s">
        <v>876</v>
      </c>
      <c r="W242">
        <v>33178</v>
      </c>
      <c r="X242">
        <v>35</v>
      </c>
      <c r="Y242" t="s">
        <v>1948</v>
      </c>
      <c r="Z242" t="s">
        <v>1949</v>
      </c>
      <c r="AA242" t="s">
        <v>842</v>
      </c>
      <c r="AB242" t="s">
        <v>843</v>
      </c>
      <c r="AC242" t="s">
        <v>713</v>
      </c>
      <c r="AD242" t="s">
        <v>713</v>
      </c>
      <c r="AE242" t="s">
        <v>1229</v>
      </c>
      <c r="AH242" t="s">
        <v>1950</v>
      </c>
      <c r="AJ242">
        <v>500</v>
      </c>
    </row>
    <row r="243" spans="1:37">
      <c r="A243">
        <v>241</v>
      </c>
      <c r="B243" t="s">
        <v>1951</v>
      </c>
      <c r="C243">
        <v>435</v>
      </c>
      <c r="D243" t="s">
        <v>811</v>
      </c>
      <c r="E243" t="s">
        <v>1834</v>
      </c>
      <c r="F243" t="s">
        <v>1118</v>
      </c>
      <c r="G243" t="s">
        <v>322</v>
      </c>
      <c r="H243" t="s">
        <v>1510</v>
      </c>
      <c r="I243" t="s">
        <v>1951</v>
      </c>
      <c r="J243" t="s">
        <v>1952</v>
      </c>
      <c r="K243" t="s">
        <v>1953</v>
      </c>
      <c r="L243" t="s">
        <v>1954</v>
      </c>
      <c r="M243" t="s">
        <v>1955</v>
      </c>
      <c r="N243" t="s">
        <v>978</v>
      </c>
      <c r="P243" t="s">
        <v>62</v>
      </c>
      <c r="Q243" t="s">
        <v>548</v>
      </c>
      <c r="S243" t="s">
        <v>874</v>
      </c>
      <c r="T243" t="s">
        <v>1956</v>
      </c>
      <c r="U243" t="s">
        <v>1957</v>
      </c>
      <c r="V243" t="s">
        <v>876</v>
      </c>
      <c r="W243">
        <v>34308</v>
      </c>
      <c r="X243">
        <v>32</v>
      </c>
      <c r="Y243" t="s">
        <v>1958</v>
      </c>
      <c r="Z243" t="s">
        <v>1959</v>
      </c>
      <c r="AA243" t="s">
        <v>842</v>
      </c>
      <c r="AB243" t="s">
        <v>851</v>
      </c>
      <c r="AC243" t="s">
        <v>713</v>
      </c>
      <c r="AD243" t="s">
        <v>713</v>
      </c>
      <c r="AE243" t="s">
        <v>1449</v>
      </c>
      <c r="AH243" t="s">
        <v>903</v>
      </c>
      <c r="AJ243">
        <v>10000</v>
      </c>
    </row>
    <row r="244" spans="1:37">
      <c r="A244">
        <v>242</v>
      </c>
      <c r="B244" t="s">
        <v>1952</v>
      </c>
      <c r="C244">
        <v>437</v>
      </c>
      <c r="D244" t="s">
        <v>811</v>
      </c>
      <c r="E244" t="s">
        <v>1834</v>
      </c>
      <c r="F244" t="s">
        <v>1118</v>
      </c>
      <c r="G244" t="s">
        <v>322</v>
      </c>
      <c r="H244" t="s">
        <v>1510</v>
      </c>
      <c r="I244" t="s">
        <v>1951</v>
      </c>
      <c r="J244" t="s">
        <v>1952</v>
      </c>
      <c r="K244" t="s">
        <v>1953</v>
      </c>
      <c r="L244" t="s">
        <v>1954</v>
      </c>
      <c r="M244" t="s">
        <v>1955</v>
      </c>
      <c r="N244" t="s">
        <v>978</v>
      </c>
      <c r="P244" t="s">
        <v>62</v>
      </c>
      <c r="Q244" t="s">
        <v>548</v>
      </c>
      <c r="S244" t="s">
        <v>874</v>
      </c>
      <c r="T244" t="s">
        <v>348</v>
      </c>
      <c r="U244" t="s">
        <v>1960</v>
      </c>
      <c r="V244" t="s">
        <v>876</v>
      </c>
      <c r="W244">
        <v>34385</v>
      </c>
      <c r="X244">
        <v>31</v>
      </c>
      <c r="Y244" t="s">
        <v>1961</v>
      </c>
      <c r="Z244" t="s">
        <v>1962</v>
      </c>
      <c r="AA244" t="s">
        <v>842</v>
      </c>
      <c r="AB244" t="s">
        <v>851</v>
      </c>
      <c r="AC244" t="s">
        <v>713</v>
      </c>
      <c r="AD244" t="s">
        <v>1400</v>
      </c>
      <c r="AE244" t="s">
        <v>1963</v>
      </c>
      <c r="AH244" t="s">
        <v>1852</v>
      </c>
      <c r="AJ244">
        <v>50</v>
      </c>
      <c r="AK244" t="s">
        <v>4476</v>
      </c>
    </row>
    <row r="245" spans="1:37">
      <c r="A245">
        <v>243</v>
      </c>
      <c r="B245" t="s">
        <v>1953</v>
      </c>
      <c r="C245">
        <v>439</v>
      </c>
      <c r="D245" t="s">
        <v>811</v>
      </c>
      <c r="E245" t="s">
        <v>1834</v>
      </c>
      <c r="F245" t="s">
        <v>1118</v>
      </c>
      <c r="G245" t="s">
        <v>322</v>
      </c>
      <c r="H245" t="s">
        <v>1510</v>
      </c>
      <c r="I245" t="s">
        <v>1951</v>
      </c>
      <c r="J245" t="s">
        <v>1952</v>
      </c>
      <c r="K245" t="s">
        <v>1953</v>
      </c>
      <c r="L245" t="s">
        <v>1954</v>
      </c>
      <c r="M245" t="s">
        <v>1955</v>
      </c>
      <c r="N245" t="s">
        <v>978</v>
      </c>
      <c r="P245" t="s">
        <v>62</v>
      </c>
      <c r="Q245" t="s">
        <v>548</v>
      </c>
      <c r="S245" t="s">
        <v>874</v>
      </c>
      <c r="T245" t="s">
        <v>375</v>
      </c>
      <c r="U245" t="s">
        <v>1964</v>
      </c>
      <c r="V245" t="s">
        <v>876</v>
      </c>
      <c r="W245">
        <v>30447</v>
      </c>
      <c r="X245">
        <v>42</v>
      </c>
      <c r="Y245" t="s">
        <v>1965</v>
      </c>
      <c r="Z245" t="s">
        <v>1966</v>
      </c>
      <c r="AA245" t="s">
        <v>842</v>
      </c>
      <c r="AB245" t="s">
        <v>843</v>
      </c>
      <c r="AC245" t="s">
        <v>713</v>
      </c>
      <c r="AD245" t="s">
        <v>713</v>
      </c>
      <c r="AE245" t="s">
        <v>1094</v>
      </c>
      <c r="AH245" t="s">
        <v>1497</v>
      </c>
    </row>
    <row r="246" spans="1:37">
      <c r="A246">
        <v>244</v>
      </c>
      <c r="B246" t="s">
        <v>1954</v>
      </c>
      <c r="C246">
        <v>441</v>
      </c>
      <c r="D246" t="s">
        <v>811</v>
      </c>
      <c r="E246" t="s">
        <v>1834</v>
      </c>
      <c r="F246" t="s">
        <v>1118</v>
      </c>
      <c r="G246" t="s">
        <v>322</v>
      </c>
      <c r="H246" t="s">
        <v>1510</v>
      </c>
      <c r="I246" t="s">
        <v>1951</v>
      </c>
      <c r="J246" t="s">
        <v>1952</v>
      </c>
      <c r="K246" t="s">
        <v>1953</v>
      </c>
      <c r="L246" t="s">
        <v>1954</v>
      </c>
      <c r="M246" t="s">
        <v>1955</v>
      </c>
      <c r="N246" t="s">
        <v>978</v>
      </c>
      <c r="P246" t="s">
        <v>62</v>
      </c>
      <c r="Q246" t="s">
        <v>548</v>
      </c>
      <c r="S246" t="s">
        <v>874</v>
      </c>
      <c r="T246" t="s">
        <v>333</v>
      </c>
      <c r="U246" t="s">
        <v>1967</v>
      </c>
      <c r="V246" t="s">
        <v>876</v>
      </c>
      <c r="W246">
        <v>30826</v>
      </c>
      <c r="X246">
        <v>41</v>
      </c>
      <c r="Y246" t="s">
        <v>1968</v>
      </c>
      <c r="Z246" t="s">
        <v>1969</v>
      </c>
      <c r="AA246" t="s">
        <v>842</v>
      </c>
      <c r="AB246" t="s">
        <v>843</v>
      </c>
      <c r="AC246" t="s">
        <v>713</v>
      </c>
      <c r="AD246" t="s">
        <v>713</v>
      </c>
      <c r="AE246" t="s">
        <v>1313</v>
      </c>
      <c r="AH246" t="s">
        <v>1497</v>
      </c>
      <c r="AJ246">
        <v>1000</v>
      </c>
    </row>
    <row r="247" spans="1:37">
      <c r="A247">
        <v>245</v>
      </c>
      <c r="B247" t="s">
        <v>1955</v>
      </c>
      <c r="C247">
        <v>443</v>
      </c>
      <c r="D247" t="s">
        <v>811</v>
      </c>
      <c r="E247" t="s">
        <v>1834</v>
      </c>
      <c r="F247" t="s">
        <v>1118</v>
      </c>
      <c r="G247" t="s">
        <v>322</v>
      </c>
      <c r="H247" t="s">
        <v>1510</v>
      </c>
      <c r="I247" t="s">
        <v>1951</v>
      </c>
      <c r="J247" t="s">
        <v>1952</v>
      </c>
      <c r="K247" t="s">
        <v>1953</v>
      </c>
      <c r="L247" t="s">
        <v>1954</v>
      </c>
      <c r="M247" t="s">
        <v>1955</v>
      </c>
      <c r="N247" t="s">
        <v>978</v>
      </c>
      <c r="O247" t="s">
        <v>308</v>
      </c>
      <c r="P247" t="s">
        <v>62</v>
      </c>
      <c r="Q247" t="s">
        <v>548</v>
      </c>
      <c r="S247" t="s">
        <v>874</v>
      </c>
      <c r="T247" t="s">
        <v>389</v>
      </c>
      <c r="U247" t="s">
        <v>1970</v>
      </c>
      <c r="V247" t="s">
        <v>876</v>
      </c>
      <c r="W247">
        <v>31415</v>
      </c>
      <c r="X247">
        <v>40</v>
      </c>
      <c r="Y247" t="s">
        <v>1971</v>
      </c>
      <c r="Z247" t="s">
        <v>1972</v>
      </c>
      <c r="AA247" t="s">
        <v>842</v>
      </c>
      <c r="AB247" t="s">
        <v>843</v>
      </c>
      <c r="AC247" t="s">
        <v>713</v>
      </c>
      <c r="AD247" t="s">
        <v>713</v>
      </c>
      <c r="AE247" t="s">
        <v>1973</v>
      </c>
      <c r="AH247" t="s">
        <v>1604</v>
      </c>
      <c r="AJ247">
        <v>1000</v>
      </c>
    </row>
    <row r="248" spans="1:37">
      <c r="A248">
        <v>246</v>
      </c>
      <c r="B248" t="s">
        <v>1974</v>
      </c>
      <c r="C248">
        <v>445</v>
      </c>
      <c r="D248" t="s">
        <v>1001</v>
      </c>
      <c r="E248" t="s">
        <v>1834</v>
      </c>
      <c r="F248" t="s">
        <v>1118</v>
      </c>
      <c r="G248" t="s">
        <v>322</v>
      </c>
      <c r="H248" t="s">
        <v>1510</v>
      </c>
      <c r="I248" t="s">
        <v>1951</v>
      </c>
      <c r="J248" t="s">
        <v>1952</v>
      </c>
      <c r="K248" t="s">
        <v>1953</v>
      </c>
      <c r="L248" t="s">
        <v>1954</v>
      </c>
      <c r="M248" t="s">
        <v>1955</v>
      </c>
      <c r="N248" t="s">
        <v>978</v>
      </c>
      <c r="S248" t="s">
        <v>874</v>
      </c>
      <c r="T248" t="s">
        <v>362</v>
      </c>
      <c r="U248" t="s">
        <v>1975</v>
      </c>
      <c r="V248" t="s">
        <v>876</v>
      </c>
      <c r="W248">
        <v>33658</v>
      </c>
      <c r="X248">
        <v>33</v>
      </c>
      <c r="Y248" t="s">
        <v>1976</v>
      </c>
      <c r="Z248" t="s">
        <v>1977</v>
      </c>
      <c r="AA248" t="s">
        <v>842</v>
      </c>
      <c r="AB248" t="s">
        <v>843</v>
      </c>
      <c r="AC248" t="s">
        <v>236</v>
      </c>
      <c r="AD248" t="s">
        <v>236</v>
      </c>
      <c r="AE248" t="s">
        <v>1978</v>
      </c>
      <c r="AH248" t="s">
        <v>1497</v>
      </c>
      <c r="AJ248">
        <v>66500</v>
      </c>
      <c r="AK248" t="s">
        <v>4479</v>
      </c>
    </row>
    <row r="249" spans="1:37">
      <c r="A249">
        <v>247</v>
      </c>
      <c r="B249" t="s">
        <v>1979</v>
      </c>
      <c r="C249">
        <v>447</v>
      </c>
      <c r="D249" t="s">
        <v>1310</v>
      </c>
      <c r="E249" t="s">
        <v>1834</v>
      </c>
      <c r="F249" t="s">
        <v>1118</v>
      </c>
      <c r="G249" t="s">
        <v>322</v>
      </c>
      <c r="H249" t="s">
        <v>1510</v>
      </c>
      <c r="I249" t="s">
        <v>1951</v>
      </c>
      <c r="J249" t="s">
        <v>1952</v>
      </c>
      <c r="K249" t="s">
        <v>1953</v>
      </c>
      <c r="L249" t="s">
        <v>1954</v>
      </c>
      <c r="M249" t="s">
        <v>1955</v>
      </c>
      <c r="N249" t="s">
        <v>978</v>
      </c>
      <c r="O249" t="s">
        <v>308</v>
      </c>
      <c r="S249" t="s">
        <v>788</v>
      </c>
      <c r="T249" t="s">
        <v>724</v>
      </c>
      <c r="U249" t="s">
        <v>1980</v>
      </c>
      <c r="V249" t="s">
        <v>876</v>
      </c>
      <c r="W249">
        <v>35821</v>
      </c>
      <c r="X249">
        <v>28</v>
      </c>
      <c r="Y249" t="s">
        <v>1981</v>
      </c>
      <c r="AA249" t="s">
        <v>842</v>
      </c>
      <c r="AB249" t="s">
        <v>843</v>
      </c>
      <c r="AC249" t="s">
        <v>713</v>
      </c>
      <c r="AD249" t="s">
        <v>713</v>
      </c>
      <c r="AE249" t="s">
        <v>1597</v>
      </c>
      <c r="AH249" t="s">
        <v>1295</v>
      </c>
      <c r="AJ249">
        <v>500</v>
      </c>
    </row>
    <row r="250" spans="1:37">
      <c r="A250">
        <v>248</v>
      </c>
      <c r="B250" t="s">
        <v>1982</v>
      </c>
      <c r="C250">
        <v>449</v>
      </c>
      <c r="D250" t="s">
        <v>1310</v>
      </c>
      <c r="E250" t="s">
        <v>1834</v>
      </c>
      <c r="F250" t="s">
        <v>1118</v>
      </c>
      <c r="G250" t="s">
        <v>322</v>
      </c>
      <c r="H250" t="s">
        <v>1510</v>
      </c>
      <c r="I250" t="s">
        <v>1951</v>
      </c>
      <c r="J250" t="s">
        <v>1952</v>
      </c>
      <c r="K250" t="s">
        <v>1953</v>
      </c>
      <c r="L250" t="s">
        <v>1954</v>
      </c>
      <c r="M250" t="s">
        <v>1955</v>
      </c>
      <c r="N250" t="s">
        <v>978</v>
      </c>
      <c r="O250" t="s">
        <v>308</v>
      </c>
      <c r="S250" t="s">
        <v>788</v>
      </c>
      <c r="T250" t="s">
        <v>725</v>
      </c>
      <c r="U250" t="s">
        <v>1983</v>
      </c>
      <c r="V250" t="s">
        <v>876</v>
      </c>
      <c r="W250">
        <v>35931</v>
      </c>
      <c r="X250">
        <v>27</v>
      </c>
      <c r="Y250" t="s">
        <v>1984</v>
      </c>
      <c r="AA250" t="s">
        <v>842</v>
      </c>
      <c r="AB250" t="s">
        <v>843</v>
      </c>
      <c r="AC250" t="s">
        <v>713</v>
      </c>
      <c r="AD250" t="s">
        <v>713</v>
      </c>
      <c r="AE250" t="s">
        <v>1973</v>
      </c>
      <c r="AH250" t="s">
        <v>1295</v>
      </c>
      <c r="AJ250">
        <v>500</v>
      </c>
    </row>
    <row r="251" spans="1:37">
      <c r="A251">
        <v>249</v>
      </c>
      <c r="B251" t="s">
        <v>1985</v>
      </c>
      <c r="C251">
        <v>451</v>
      </c>
      <c r="D251" t="s">
        <v>1310</v>
      </c>
      <c r="E251" t="s">
        <v>1834</v>
      </c>
      <c r="F251" t="s">
        <v>1118</v>
      </c>
      <c r="G251" t="s">
        <v>322</v>
      </c>
      <c r="H251" t="s">
        <v>1510</v>
      </c>
      <c r="I251" t="s">
        <v>1985</v>
      </c>
      <c r="J251" t="s">
        <v>1986</v>
      </c>
      <c r="K251" t="s">
        <v>1987</v>
      </c>
      <c r="L251" t="s">
        <v>1988</v>
      </c>
      <c r="N251" t="s">
        <v>314</v>
      </c>
      <c r="P251" t="s">
        <v>49</v>
      </c>
      <c r="Q251" t="s">
        <v>168</v>
      </c>
      <c r="S251" t="s">
        <v>1886</v>
      </c>
      <c r="T251" t="s">
        <v>324</v>
      </c>
      <c r="U251" t="s">
        <v>1989</v>
      </c>
      <c r="V251" t="s">
        <v>876</v>
      </c>
      <c r="W251">
        <v>39305</v>
      </c>
      <c r="X251">
        <v>18</v>
      </c>
      <c r="Y251" t="s">
        <v>1990</v>
      </c>
      <c r="Z251" t="s">
        <v>1991</v>
      </c>
      <c r="AA251" t="s">
        <v>842</v>
      </c>
      <c r="AB251" t="s">
        <v>794</v>
      </c>
      <c r="AC251" t="s">
        <v>236</v>
      </c>
      <c r="AD251" t="s">
        <v>236</v>
      </c>
      <c r="AE251" t="s">
        <v>865</v>
      </c>
      <c r="AH251" t="s">
        <v>844</v>
      </c>
    </row>
    <row r="252" spans="1:37">
      <c r="A252">
        <v>250</v>
      </c>
      <c r="B252" t="s">
        <v>1986</v>
      </c>
      <c r="C252">
        <v>453</v>
      </c>
      <c r="D252" t="s">
        <v>1310</v>
      </c>
      <c r="E252" t="s">
        <v>1834</v>
      </c>
      <c r="F252" t="s">
        <v>1118</v>
      </c>
      <c r="G252" t="s">
        <v>322</v>
      </c>
      <c r="H252" t="s">
        <v>1510</v>
      </c>
      <c r="I252" t="s">
        <v>1985</v>
      </c>
      <c r="J252" t="s">
        <v>1986</v>
      </c>
      <c r="K252" t="s">
        <v>1987</v>
      </c>
      <c r="L252" t="s">
        <v>1988</v>
      </c>
      <c r="N252" t="s">
        <v>314</v>
      </c>
      <c r="O252" t="s">
        <v>308</v>
      </c>
      <c r="Q252" t="s">
        <v>1885</v>
      </c>
      <c r="S252" t="s">
        <v>1886</v>
      </c>
      <c r="T252" t="s">
        <v>349</v>
      </c>
      <c r="U252" t="s">
        <v>1992</v>
      </c>
      <c r="V252" t="s">
        <v>876</v>
      </c>
      <c r="W252">
        <v>39342</v>
      </c>
      <c r="X252">
        <v>18</v>
      </c>
      <c r="Y252" t="s">
        <v>1993</v>
      </c>
      <c r="Z252" t="s">
        <v>1994</v>
      </c>
      <c r="AA252" t="s">
        <v>842</v>
      </c>
      <c r="AB252" t="s">
        <v>843</v>
      </c>
      <c r="AC252" t="s">
        <v>815</v>
      </c>
      <c r="AD252" t="s">
        <v>815</v>
      </c>
      <c r="AE252" t="s">
        <v>1995</v>
      </c>
      <c r="AH252" t="s">
        <v>971</v>
      </c>
      <c r="AJ252">
        <v>1272.5</v>
      </c>
      <c r="AK252" t="s">
        <v>4481</v>
      </c>
    </row>
    <row r="253" spans="1:37">
      <c r="A253">
        <v>251</v>
      </c>
      <c r="B253" t="s">
        <v>1987</v>
      </c>
      <c r="C253">
        <v>455</v>
      </c>
      <c r="D253" t="s">
        <v>1310</v>
      </c>
      <c r="E253" t="s">
        <v>1834</v>
      </c>
      <c r="F253" t="s">
        <v>1118</v>
      </c>
      <c r="G253" t="s">
        <v>322</v>
      </c>
      <c r="H253" t="s">
        <v>1510</v>
      </c>
      <c r="I253" t="s">
        <v>1985</v>
      </c>
      <c r="J253" t="s">
        <v>1986</v>
      </c>
      <c r="K253" t="s">
        <v>1987</v>
      </c>
      <c r="L253" t="s">
        <v>1988</v>
      </c>
      <c r="N253" t="s">
        <v>314</v>
      </c>
      <c r="O253" t="s">
        <v>308</v>
      </c>
      <c r="Q253" t="s">
        <v>1885</v>
      </c>
      <c r="S253" t="s">
        <v>1886</v>
      </c>
      <c r="T253" t="s">
        <v>401</v>
      </c>
      <c r="U253" t="s">
        <v>1996</v>
      </c>
      <c r="V253" t="s">
        <v>790</v>
      </c>
      <c r="W253">
        <v>39486</v>
      </c>
      <c r="X253">
        <v>17</v>
      </c>
      <c r="Y253" t="s">
        <v>1997</v>
      </c>
      <c r="Z253" t="s">
        <v>1998</v>
      </c>
      <c r="AA253" t="s">
        <v>842</v>
      </c>
      <c r="AB253" t="s">
        <v>843</v>
      </c>
      <c r="AC253" t="s">
        <v>815</v>
      </c>
      <c r="AD253" t="s">
        <v>1999</v>
      </c>
      <c r="AE253" t="s">
        <v>2000</v>
      </c>
      <c r="AH253" t="s">
        <v>971</v>
      </c>
    </row>
    <row r="254" spans="1:37">
      <c r="A254">
        <v>252</v>
      </c>
      <c r="B254" t="s">
        <v>1988</v>
      </c>
      <c r="C254">
        <v>457</v>
      </c>
      <c r="D254" t="s">
        <v>1310</v>
      </c>
      <c r="E254" t="s">
        <v>1834</v>
      </c>
      <c r="F254" t="s">
        <v>1118</v>
      </c>
      <c r="G254" t="s">
        <v>322</v>
      </c>
      <c r="H254" t="s">
        <v>1510</v>
      </c>
      <c r="I254" t="s">
        <v>1985</v>
      </c>
      <c r="J254" t="s">
        <v>1986</v>
      </c>
      <c r="K254" t="s">
        <v>1987</v>
      </c>
      <c r="L254" t="s">
        <v>1988</v>
      </c>
      <c r="N254" t="s">
        <v>314</v>
      </c>
      <c r="O254" t="s">
        <v>308</v>
      </c>
      <c r="Q254" t="s">
        <v>1885</v>
      </c>
      <c r="S254" t="s">
        <v>1886</v>
      </c>
      <c r="T254" t="s">
        <v>412</v>
      </c>
      <c r="U254" t="s">
        <v>2001</v>
      </c>
      <c r="V254" t="s">
        <v>876</v>
      </c>
      <c r="W254">
        <v>40060</v>
      </c>
      <c r="X254">
        <v>16</v>
      </c>
      <c r="Y254" t="s">
        <v>2002</v>
      </c>
      <c r="Z254" t="s">
        <v>2003</v>
      </c>
      <c r="AA254" t="s">
        <v>842</v>
      </c>
      <c r="AB254" t="s">
        <v>843</v>
      </c>
      <c r="AC254" t="s">
        <v>815</v>
      </c>
      <c r="AD254" t="s">
        <v>815</v>
      </c>
      <c r="AE254" t="s">
        <v>2004</v>
      </c>
      <c r="AH254" t="s">
        <v>971</v>
      </c>
    </row>
    <row r="255" spans="1:37">
      <c r="A255">
        <v>253</v>
      </c>
      <c r="B255" t="s">
        <v>2005</v>
      </c>
      <c r="C255">
        <v>459</v>
      </c>
      <c r="D255" t="s">
        <v>1822</v>
      </c>
      <c r="E255" t="s">
        <v>1834</v>
      </c>
      <c r="F255" t="s">
        <v>1118</v>
      </c>
      <c r="G255" t="s">
        <v>322</v>
      </c>
      <c r="H255" t="s">
        <v>1510</v>
      </c>
      <c r="I255" t="s">
        <v>1985</v>
      </c>
      <c r="J255" t="s">
        <v>1986</v>
      </c>
      <c r="K255" t="s">
        <v>1987</v>
      </c>
      <c r="L255" t="s">
        <v>1988</v>
      </c>
      <c r="N255" t="s">
        <v>314</v>
      </c>
      <c r="S255" t="s">
        <v>788</v>
      </c>
      <c r="T255" t="s">
        <v>334</v>
      </c>
      <c r="U255" t="s">
        <v>2006</v>
      </c>
      <c r="V255" t="s">
        <v>790</v>
      </c>
      <c r="W255">
        <v>38566</v>
      </c>
      <c r="X255">
        <v>20</v>
      </c>
      <c r="Y255" t="s">
        <v>2007</v>
      </c>
      <c r="Z255" t="s">
        <v>2008</v>
      </c>
      <c r="AA255" t="s">
        <v>842</v>
      </c>
      <c r="AB255" t="s">
        <v>843</v>
      </c>
      <c r="AC255" t="s">
        <v>942</v>
      </c>
      <c r="AD255" t="s">
        <v>942</v>
      </c>
      <c r="AH255" t="s">
        <v>1535</v>
      </c>
      <c r="AI255" t="s">
        <v>1863</v>
      </c>
      <c r="AJ255">
        <v>4950</v>
      </c>
    </row>
    <row r="256" spans="1:37">
      <c r="A256">
        <v>254</v>
      </c>
      <c r="B256" t="s">
        <v>2009</v>
      </c>
      <c r="C256">
        <v>461</v>
      </c>
      <c r="D256" t="s">
        <v>1822</v>
      </c>
      <c r="E256" t="s">
        <v>1834</v>
      </c>
      <c r="F256" t="s">
        <v>1118</v>
      </c>
      <c r="G256" t="s">
        <v>322</v>
      </c>
      <c r="H256" t="s">
        <v>1510</v>
      </c>
      <c r="I256" t="s">
        <v>1985</v>
      </c>
      <c r="J256" t="s">
        <v>1986</v>
      </c>
      <c r="K256" t="s">
        <v>1987</v>
      </c>
      <c r="L256" t="s">
        <v>1988</v>
      </c>
      <c r="N256" t="s">
        <v>314</v>
      </c>
      <c r="S256" t="s">
        <v>1886</v>
      </c>
      <c r="T256" t="s">
        <v>363</v>
      </c>
      <c r="U256" t="s">
        <v>2010</v>
      </c>
      <c r="V256" t="s">
        <v>876</v>
      </c>
      <c r="W256" t="s">
        <v>2011</v>
      </c>
      <c r="X256">
        <v>17</v>
      </c>
      <c r="Y256" t="s">
        <v>2012</v>
      </c>
      <c r="AA256" t="s">
        <v>842</v>
      </c>
      <c r="AB256" t="s">
        <v>794</v>
      </c>
      <c r="AC256" t="s">
        <v>942</v>
      </c>
      <c r="AD256" t="s">
        <v>942</v>
      </c>
      <c r="AE256" t="s">
        <v>2013</v>
      </c>
      <c r="AH256" t="s">
        <v>976</v>
      </c>
      <c r="AI256" t="s">
        <v>1863</v>
      </c>
    </row>
    <row r="257" spans="1:37">
      <c r="A257">
        <v>255</v>
      </c>
      <c r="B257" t="s">
        <v>2014</v>
      </c>
      <c r="C257">
        <v>463</v>
      </c>
      <c r="D257" t="s">
        <v>1310</v>
      </c>
      <c r="E257" t="s">
        <v>1834</v>
      </c>
      <c r="F257" t="s">
        <v>1118</v>
      </c>
      <c r="G257" t="s">
        <v>322</v>
      </c>
      <c r="H257" t="s">
        <v>1510</v>
      </c>
      <c r="I257" t="s">
        <v>1985</v>
      </c>
      <c r="J257" t="s">
        <v>1986</v>
      </c>
      <c r="K257" t="s">
        <v>1987</v>
      </c>
      <c r="L257" t="s">
        <v>1988</v>
      </c>
      <c r="N257" t="s">
        <v>314</v>
      </c>
      <c r="S257" t="s">
        <v>788</v>
      </c>
      <c r="T257" t="s">
        <v>376</v>
      </c>
      <c r="U257" t="s">
        <v>2015</v>
      </c>
      <c r="V257" t="s">
        <v>790</v>
      </c>
      <c r="W257">
        <v>38811</v>
      </c>
      <c r="X257">
        <v>19</v>
      </c>
      <c r="Y257" t="s">
        <v>2016</v>
      </c>
      <c r="Z257" t="s">
        <v>2017</v>
      </c>
      <c r="AA257" t="s">
        <v>842</v>
      </c>
      <c r="AB257" t="s">
        <v>794</v>
      </c>
      <c r="AC257" t="s">
        <v>815</v>
      </c>
      <c r="AD257" t="s">
        <v>815</v>
      </c>
      <c r="AF257" t="s">
        <v>1571</v>
      </c>
      <c r="AG257" t="s">
        <v>2018</v>
      </c>
      <c r="AH257" t="s">
        <v>867</v>
      </c>
    </row>
    <row r="258" spans="1:37">
      <c r="A258">
        <v>256</v>
      </c>
      <c r="B258" t="s">
        <v>2019</v>
      </c>
      <c r="C258">
        <v>465</v>
      </c>
      <c r="D258" t="s">
        <v>1310</v>
      </c>
      <c r="E258" t="s">
        <v>1834</v>
      </c>
      <c r="F258" t="s">
        <v>1118</v>
      </c>
      <c r="G258" t="s">
        <v>322</v>
      </c>
      <c r="H258" t="s">
        <v>1510</v>
      </c>
      <c r="I258" t="s">
        <v>1985</v>
      </c>
      <c r="J258" t="s">
        <v>1986</v>
      </c>
      <c r="K258" t="s">
        <v>1987</v>
      </c>
      <c r="L258" t="s">
        <v>1988</v>
      </c>
      <c r="N258" t="s">
        <v>314</v>
      </c>
      <c r="S258" t="s">
        <v>1886</v>
      </c>
      <c r="T258" t="s">
        <v>390</v>
      </c>
      <c r="U258" t="s">
        <v>2020</v>
      </c>
      <c r="V258" t="s">
        <v>790</v>
      </c>
      <c r="W258">
        <v>39236</v>
      </c>
      <c r="X258">
        <v>18</v>
      </c>
      <c r="Y258" t="s">
        <v>2021</v>
      </c>
      <c r="Z258" t="s">
        <v>2022</v>
      </c>
      <c r="AA258" t="s">
        <v>842</v>
      </c>
      <c r="AB258" t="s">
        <v>794</v>
      </c>
      <c r="AC258" t="s">
        <v>713</v>
      </c>
      <c r="AD258" t="s">
        <v>713</v>
      </c>
      <c r="AH258" t="s">
        <v>867</v>
      </c>
    </row>
    <row r="259" spans="1:37">
      <c r="A259">
        <v>257</v>
      </c>
      <c r="B259" t="s">
        <v>2023</v>
      </c>
      <c r="C259">
        <v>467</v>
      </c>
      <c r="D259" t="s">
        <v>1310</v>
      </c>
      <c r="E259" t="s">
        <v>1834</v>
      </c>
      <c r="F259" t="s">
        <v>1118</v>
      </c>
      <c r="G259" t="s">
        <v>322</v>
      </c>
      <c r="H259" t="s">
        <v>1510</v>
      </c>
      <c r="I259" t="s">
        <v>1985</v>
      </c>
      <c r="J259" t="s">
        <v>1986</v>
      </c>
      <c r="K259" t="s">
        <v>1987</v>
      </c>
      <c r="L259" t="s">
        <v>1988</v>
      </c>
      <c r="N259" t="s">
        <v>314</v>
      </c>
      <c r="O259" t="s">
        <v>308</v>
      </c>
      <c r="S259" t="s">
        <v>1886</v>
      </c>
      <c r="T259" t="s">
        <v>418</v>
      </c>
      <c r="U259" t="s">
        <v>2024</v>
      </c>
      <c r="V259" t="s">
        <v>876</v>
      </c>
      <c r="W259">
        <v>40531</v>
      </c>
      <c r="X259">
        <v>15</v>
      </c>
      <c r="Y259" t="s">
        <v>2025</v>
      </c>
      <c r="AA259" t="s">
        <v>842</v>
      </c>
      <c r="AB259" t="s">
        <v>843</v>
      </c>
      <c r="AC259" t="s">
        <v>236</v>
      </c>
      <c r="AD259" t="s">
        <v>236</v>
      </c>
      <c r="AE259" t="s">
        <v>744</v>
      </c>
      <c r="AH259" t="s">
        <v>1087</v>
      </c>
      <c r="AI259" t="s">
        <v>2026</v>
      </c>
    </row>
    <row r="260" spans="1:37">
      <c r="A260">
        <v>258</v>
      </c>
      <c r="B260" t="s">
        <v>2028</v>
      </c>
      <c r="C260">
        <v>468</v>
      </c>
      <c r="E260" t="s">
        <v>1834</v>
      </c>
      <c r="F260" t="s">
        <v>1118</v>
      </c>
      <c r="G260" t="s">
        <v>322</v>
      </c>
      <c r="H260" t="s">
        <v>1510</v>
      </c>
      <c r="I260" t="s">
        <v>1985</v>
      </c>
      <c r="J260" t="s">
        <v>1986</v>
      </c>
      <c r="K260" t="s">
        <v>1987</v>
      </c>
      <c r="L260" t="s">
        <v>1988</v>
      </c>
      <c r="N260" t="s">
        <v>314</v>
      </c>
      <c r="T260" t="s">
        <v>728</v>
      </c>
      <c r="AH260" t="s">
        <v>971</v>
      </c>
      <c r="AI260" t="s">
        <v>2029</v>
      </c>
    </row>
    <row r="261" spans="1:37">
      <c r="A261">
        <v>259</v>
      </c>
      <c r="B261" t="s">
        <v>1510</v>
      </c>
      <c r="C261">
        <v>469</v>
      </c>
      <c r="E261" t="s">
        <v>1834</v>
      </c>
      <c r="F261" t="s">
        <v>1118</v>
      </c>
      <c r="G261" t="s">
        <v>322</v>
      </c>
      <c r="H261" t="s">
        <v>1510</v>
      </c>
      <c r="I261" t="s">
        <v>1510</v>
      </c>
      <c r="J261" t="s">
        <v>2030</v>
      </c>
      <c r="K261" t="s">
        <v>2031</v>
      </c>
      <c r="N261" t="s">
        <v>315</v>
      </c>
      <c r="P261" t="s">
        <v>163</v>
      </c>
      <c r="Q261" t="s">
        <v>500</v>
      </c>
      <c r="T261" t="s">
        <v>322</v>
      </c>
      <c r="U261" t="s">
        <v>1511</v>
      </c>
      <c r="V261" t="s">
        <v>876</v>
      </c>
      <c r="W261">
        <v>36694</v>
      </c>
      <c r="X261">
        <v>25</v>
      </c>
      <c r="Y261" t="s">
        <v>1512</v>
      </c>
      <c r="AA261" t="s">
        <v>793</v>
      </c>
      <c r="AB261" t="s">
        <v>794</v>
      </c>
      <c r="AC261" t="s">
        <v>713</v>
      </c>
      <c r="AD261" t="s">
        <v>713</v>
      </c>
      <c r="AE261" t="s">
        <v>1514</v>
      </c>
      <c r="AF261" t="s">
        <v>872</v>
      </c>
    </row>
    <row r="262" spans="1:37">
      <c r="A262">
        <v>260</v>
      </c>
      <c r="B262" t="s">
        <v>2030</v>
      </c>
      <c r="C262">
        <v>471</v>
      </c>
      <c r="D262" t="s">
        <v>1310</v>
      </c>
      <c r="E262" t="s">
        <v>1834</v>
      </c>
      <c r="F262" t="s">
        <v>1118</v>
      </c>
      <c r="G262" t="s">
        <v>322</v>
      </c>
      <c r="H262" t="s">
        <v>1510</v>
      </c>
      <c r="I262" t="s">
        <v>1510</v>
      </c>
      <c r="J262" t="s">
        <v>2030</v>
      </c>
      <c r="K262" t="s">
        <v>2031</v>
      </c>
      <c r="N262" t="s">
        <v>315</v>
      </c>
      <c r="Q262" t="s">
        <v>1885</v>
      </c>
      <c r="S262" t="s">
        <v>1886</v>
      </c>
      <c r="T262" t="s">
        <v>336</v>
      </c>
      <c r="U262" t="s">
        <v>2032</v>
      </c>
      <c r="V262" t="s">
        <v>876</v>
      </c>
      <c r="W262">
        <v>39497</v>
      </c>
      <c r="X262">
        <v>17</v>
      </c>
      <c r="Y262" t="s">
        <v>2033</v>
      </c>
      <c r="Z262" t="s">
        <v>2034</v>
      </c>
      <c r="AA262" t="s">
        <v>842</v>
      </c>
      <c r="AB262" t="s">
        <v>851</v>
      </c>
      <c r="AC262" t="s">
        <v>713</v>
      </c>
      <c r="AD262" t="s">
        <v>1400</v>
      </c>
      <c r="AE262" t="s">
        <v>2035</v>
      </c>
      <c r="AH262" t="s">
        <v>1852</v>
      </c>
      <c r="AJ262">
        <v>70</v>
      </c>
      <c r="AK262" t="s">
        <v>4476</v>
      </c>
    </row>
    <row r="263" spans="1:37">
      <c r="A263">
        <v>261</v>
      </c>
      <c r="B263" t="s">
        <v>2031</v>
      </c>
      <c r="C263">
        <v>473</v>
      </c>
      <c r="D263" t="s">
        <v>1310</v>
      </c>
      <c r="E263" t="s">
        <v>1834</v>
      </c>
      <c r="F263" t="s">
        <v>1118</v>
      </c>
      <c r="G263" t="s">
        <v>322</v>
      </c>
      <c r="H263" t="s">
        <v>1510</v>
      </c>
      <c r="I263" t="s">
        <v>1510</v>
      </c>
      <c r="J263" t="s">
        <v>2030</v>
      </c>
      <c r="K263" t="s">
        <v>2031</v>
      </c>
      <c r="N263" t="s">
        <v>315</v>
      </c>
      <c r="O263" t="s">
        <v>308</v>
      </c>
      <c r="Q263" t="s">
        <v>1885</v>
      </c>
      <c r="S263" t="s">
        <v>1886</v>
      </c>
      <c r="T263" t="s">
        <v>413</v>
      </c>
      <c r="U263" t="s">
        <v>2036</v>
      </c>
      <c r="V263" t="s">
        <v>790</v>
      </c>
      <c r="W263">
        <v>40125</v>
      </c>
      <c r="X263">
        <v>16</v>
      </c>
      <c r="Y263" t="s">
        <v>2037</v>
      </c>
      <c r="Z263" t="s">
        <v>2038</v>
      </c>
      <c r="AA263" t="s">
        <v>842</v>
      </c>
      <c r="AB263" t="s">
        <v>843</v>
      </c>
      <c r="AC263" t="s">
        <v>2039</v>
      </c>
      <c r="AD263" t="s">
        <v>713</v>
      </c>
      <c r="AE263" t="s">
        <v>1229</v>
      </c>
      <c r="AH263" t="s">
        <v>1224</v>
      </c>
    </row>
    <row r="264" spans="1:37">
      <c r="A264">
        <v>262</v>
      </c>
      <c r="B264" t="s">
        <v>2040</v>
      </c>
      <c r="C264">
        <v>475</v>
      </c>
      <c r="D264" t="s">
        <v>1310</v>
      </c>
      <c r="E264" t="s">
        <v>1834</v>
      </c>
      <c r="F264" t="s">
        <v>1118</v>
      </c>
      <c r="G264" t="s">
        <v>322</v>
      </c>
      <c r="H264" t="s">
        <v>1510</v>
      </c>
      <c r="I264" t="s">
        <v>1510</v>
      </c>
      <c r="J264" t="s">
        <v>2030</v>
      </c>
      <c r="K264" t="s">
        <v>2031</v>
      </c>
      <c r="N264" t="s">
        <v>315</v>
      </c>
      <c r="S264" t="s">
        <v>1886</v>
      </c>
      <c r="T264" t="s">
        <v>350</v>
      </c>
      <c r="U264" t="s">
        <v>2041</v>
      </c>
      <c r="V264" t="s">
        <v>876</v>
      </c>
      <c r="W264">
        <v>39425</v>
      </c>
      <c r="X264">
        <v>18</v>
      </c>
      <c r="Y264" t="s">
        <v>2042</v>
      </c>
      <c r="Z264" t="s">
        <v>2043</v>
      </c>
      <c r="AA264" t="s">
        <v>842</v>
      </c>
      <c r="AB264" t="s">
        <v>851</v>
      </c>
      <c r="AC264" t="s">
        <v>1735</v>
      </c>
      <c r="AD264" t="s">
        <v>1735</v>
      </c>
      <c r="AE264" t="s">
        <v>2044</v>
      </c>
      <c r="AH264" t="s">
        <v>1852</v>
      </c>
    </row>
    <row r="265" spans="1:37">
      <c r="A265">
        <v>263</v>
      </c>
      <c r="B265" t="s">
        <v>2045</v>
      </c>
      <c r="C265">
        <v>477</v>
      </c>
      <c r="D265" t="s">
        <v>1310</v>
      </c>
      <c r="E265" t="s">
        <v>1834</v>
      </c>
      <c r="F265" t="s">
        <v>1118</v>
      </c>
      <c r="G265" t="s">
        <v>322</v>
      </c>
      <c r="H265" t="s">
        <v>1510</v>
      </c>
      <c r="I265" t="s">
        <v>1510</v>
      </c>
      <c r="J265" t="s">
        <v>2030</v>
      </c>
      <c r="K265" t="s">
        <v>2031</v>
      </c>
      <c r="N265" t="s">
        <v>315</v>
      </c>
      <c r="S265" t="s">
        <v>1886</v>
      </c>
      <c r="T265" t="s">
        <v>364</v>
      </c>
      <c r="U265" t="s">
        <v>2046</v>
      </c>
      <c r="V265" t="s">
        <v>876</v>
      </c>
      <c r="W265">
        <v>39833</v>
      </c>
      <c r="X265">
        <v>17</v>
      </c>
      <c r="Y265" t="s">
        <v>2047</v>
      </c>
      <c r="Z265" t="s">
        <v>2048</v>
      </c>
      <c r="AA265" t="s">
        <v>842</v>
      </c>
      <c r="AB265" t="s">
        <v>851</v>
      </c>
      <c r="AC265" t="s">
        <v>713</v>
      </c>
      <c r="AD265" t="s">
        <v>713</v>
      </c>
      <c r="AE265" t="s">
        <v>2049</v>
      </c>
      <c r="AH265" t="s">
        <v>1852</v>
      </c>
    </row>
    <row r="266" spans="1:37">
      <c r="A266">
        <v>264</v>
      </c>
      <c r="B266" t="s">
        <v>2050</v>
      </c>
      <c r="C266">
        <v>479</v>
      </c>
      <c r="D266" t="s">
        <v>1310</v>
      </c>
      <c r="E266" t="s">
        <v>1834</v>
      </c>
      <c r="F266" t="s">
        <v>1118</v>
      </c>
      <c r="G266" t="s">
        <v>322</v>
      </c>
      <c r="H266" t="s">
        <v>1510</v>
      </c>
      <c r="I266" t="s">
        <v>1510</v>
      </c>
      <c r="J266" t="s">
        <v>2030</v>
      </c>
      <c r="K266" t="s">
        <v>2031</v>
      </c>
      <c r="N266" t="s">
        <v>315</v>
      </c>
      <c r="S266" t="s">
        <v>1886</v>
      </c>
      <c r="T266" t="s">
        <v>377</v>
      </c>
      <c r="U266" t="s">
        <v>2051</v>
      </c>
      <c r="V266" t="s">
        <v>876</v>
      </c>
      <c r="W266">
        <v>40449</v>
      </c>
      <c r="X266">
        <v>15</v>
      </c>
      <c r="Y266" t="s">
        <v>2052</v>
      </c>
      <c r="Z266" t="s">
        <v>2053</v>
      </c>
      <c r="AA266" t="s">
        <v>842</v>
      </c>
      <c r="AB266" t="s">
        <v>851</v>
      </c>
      <c r="AC266" t="s">
        <v>815</v>
      </c>
      <c r="AD266" t="s">
        <v>1267</v>
      </c>
      <c r="AE266" t="s">
        <v>2054</v>
      </c>
      <c r="AH266" t="s">
        <v>1852</v>
      </c>
    </row>
    <row r="267" spans="1:37">
      <c r="A267">
        <v>265</v>
      </c>
      <c r="B267" t="s">
        <v>2055</v>
      </c>
      <c r="C267">
        <v>481</v>
      </c>
      <c r="D267" t="s">
        <v>1310</v>
      </c>
      <c r="E267" t="s">
        <v>1834</v>
      </c>
      <c r="F267" t="s">
        <v>1118</v>
      </c>
      <c r="G267" t="s">
        <v>322</v>
      </c>
      <c r="H267" t="s">
        <v>1510</v>
      </c>
      <c r="I267" t="s">
        <v>1510</v>
      </c>
      <c r="J267" t="s">
        <v>2030</v>
      </c>
      <c r="K267" t="s">
        <v>2031</v>
      </c>
      <c r="N267" t="s">
        <v>315</v>
      </c>
      <c r="S267" t="s">
        <v>788</v>
      </c>
      <c r="T267" t="s">
        <v>391</v>
      </c>
      <c r="U267" t="s">
        <v>2056</v>
      </c>
      <c r="V267" t="s">
        <v>790</v>
      </c>
      <c r="W267">
        <v>39065</v>
      </c>
      <c r="X267">
        <v>19</v>
      </c>
      <c r="Y267" t="s">
        <v>2057</v>
      </c>
      <c r="Z267" t="s">
        <v>2058</v>
      </c>
      <c r="AA267" t="s">
        <v>842</v>
      </c>
      <c r="AB267" t="s">
        <v>843</v>
      </c>
      <c r="AC267" t="s">
        <v>713</v>
      </c>
      <c r="AD267" t="s">
        <v>713</v>
      </c>
      <c r="AE267" t="s">
        <v>1229</v>
      </c>
      <c r="AH267" t="s">
        <v>1497</v>
      </c>
    </row>
    <row r="268" spans="1:37">
      <c r="A268">
        <v>266</v>
      </c>
      <c r="B268" t="s">
        <v>2059</v>
      </c>
      <c r="C268">
        <v>483</v>
      </c>
      <c r="D268" t="s">
        <v>1310</v>
      </c>
      <c r="E268" t="s">
        <v>1834</v>
      </c>
      <c r="F268" t="s">
        <v>1118</v>
      </c>
      <c r="G268" t="s">
        <v>322</v>
      </c>
      <c r="H268" t="s">
        <v>1510</v>
      </c>
      <c r="I268" t="s">
        <v>1510</v>
      </c>
      <c r="J268" t="s">
        <v>2030</v>
      </c>
      <c r="K268" t="s">
        <v>2031</v>
      </c>
      <c r="N268" t="s">
        <v>315</v>
      </c>
      <c r="O268" t="s">
        <v>308</v>
      </c>
      <c r="S268" t="s">
        <v>1886</v>
      </c>
      <c r="T268" t="s">
        <v>402</v>
      </c>
      <c r="U268" t="s">
        <v>2060</v>
      </c>
      <c r="V268" t="s">
        <v>876</v>
      </c>
      <c r="W268">
        <v>39343</v>
      </c>
      <c r="X268">
        <v>18</v>
      </c>
      <c r="Y268" t="s">
        <v>2061</v>
      </c>
      <c r="Z268" t="s">
        <v>2062</v>
      </c>
      <c r="AA268" t="s">
        <v>842</v>
      </c>
      <c r="AB268" t="s">
        <v>843</v>
      </c>
      <c r="AC268" t="s">
        <v>713</v>
      </c>
      <c r="AD268" t="s">
        <v>713</v>
      </c>
      <c r="AE268" t="s">
        <v>1229</v>
      </c>
      <c r="AH268" t="s">
        <v>1224</v>
      </c>
    </row>
    <row r="269" spans="1:37">
      <c r="A269">
        <v>267</v>
      </c>
      <c r="B269" t="s">
        <v>2063</v>
      </c>
      <c r="C269">
        <v>485</v>
      </c>
      <c r="D269" t="s">
        <v>1310</v>
      </c>
      <c r="E269" t="s">
        <v>1834</v>
      </c>
      <c r="F269" t="s">
        <v>1118</v>
      </c>
      <c r="G269" t="s">
        <v>322</v>
      </c>
      <c r="H269" t="s">
        <v>1510</v>
      </c>
      <c r="I269" t="s">
        <v>1510</v>
      </c>
      <c r="J269" t="s">
        <v>2030</v>
      </c>
      <c r="K269" t="s">
        <v>2031</v>
      </c>
      <c r="N269" t="s">
        <v>315</v>
      </c>
      <c r="O269" t="s">
        <v>308</v>
      </c>
      <c r="S269" t="s">
        <v>1886</v>
      </c>
      <c r="T269" t="s">
        <v>419</v>
      </c>
      <c r="U269" t="s">
        <v>2064</v>
      </c>
      <c r="V269" t="s">
        <v>790</v>
      </c>
      <c r="W269">
        <v>39893</v>
      </c>
      <c r="X269">
        <v>16</v>
      </c>
      <c r="Y269" t="s">
        <v>2065</v>
      </c>
      <c r="Z269" t="s">
        <v>2066</v>
      </c>
      <c r="AA269" t="s">
        <v>842</v>
      </c>
      <c r="AB269" t="s">
        <v>843</v>
      </c>
      <c r="AC269" t="s">
        <v>1400</v>
      </c>
      <c r="AD269" t="s">
        <v>1400</v>
      </c>
      <c r="AE269" t="s">
        <v>2067</v>
      </c>
      <c r="AH269" t="s">
        <v>1438</v>
      </c>
    </row>
    <row r="270" spans="1:37">
      <c r="A270">
        <v>268</v>
      </c>
      <c r="B270" t="s">
        <v>2068</v>
      </c>
      <c r="C270">
        <v>487</v>
      </c>
      <c r="D270" t="s">
        <v>1310</v>
      </c>
      <c r="E270" t="s">
        <v>1834</v>
      </c>
      <c r="F270" t="s">
        <v>1118</v>
      </c>
      <c r="G270" t="s">
        <v>322</v>
      </c>
      <c r="H270" t="s">
        <v>1510</v>
      </c>
      <c r="I270" t="s">
        <v>1510</v>
      </c>
      <c r="J270" t="s">
        <v>2030</v>
      </c>
      <c r="K270" t="s">
        <v>2031</v>
      </c>
      <c r="N270" t="s">
        <v>315</v>
      </c>
      <c r="O270" t="s">
        <v>308</v>
      </c>
      <c r="S270" t="s">
        <v>1886</v>
      </c>
      <c r="T270" t="s">
        <v>427</v>
      </c>
      <c r="U270" t="s">
        <v>2069</v>
      </c>
      <c r="V270" t="s">
        <v>876</v>
      </c>
      <c r="W270">
        <v>40254</v>
      </c>
      <c r="X270">
        <v>15</v>
      </c>
      <c r="Y270" t="s">
        <v>2070</v>
      </c>
      <c r="Z270" t="s">
        <v>2071</v>
      </c>
      <c r="AA270" t="s">
        <v>842</v>
      </c>
      <c r="AB270" t="s">
        <v>843</v>
      </c>
      <c r="AC270" t="s">
        <v>713</v>
      </c>
      <c r="AD270" t="s">
        <v>713</v>
      </c>
      <c r="AE270" t="s">
        <v>2072</v>
      </c>
      <c r="AH270" t="s">
        <v>1438</v>
      </c>
    </row>
    <row r="271" spans="1:37">
      <c r="A271">
        <v>269</v>
      </c>
      <c r="B271" t="s">
        <v>2073</v>
      </c>
      <c r="C271">
        <v>489</v>
      </c>
      <c r="D271" t="s">
        <v>1310</v>
      </c>
      <c r="E271" t="s">
        <v>1834</v>
      </c>
      <c r="F271" t="s">
        <v>1118</v>
      </c>
      <c r="G271" t="s">
        <v>322</v>
      </c>
      <c r="H271" t="s">
        <v>1510</v>
      </c>
      <c r="I271" t="s">
        <v>1510</v>
      </c>
      <c r="J271" t="s">
        <v>2030</v>
      </c>
      <c r="K271" t="s">
        <v>2031</v>
      </c>
      <c r="N271" t="s">
        <v>315</v>
      </c>
      <c r="O271" t="s">
        <v>308</v>
      </c>
      <c r="S271" t="s">
        <v>1886</v>
      </c>
      <c r="T271" t="s">
        <v>730</v>
      </c>
      <c r="U271" t="s">
        <v>2074</v>
      </c>
      <c r="V271" t="s">
        <v>790</v>
      </c>
      <c r="W271">
        <v>39617</v>
      </c>
      <c r="X271">
        <v>17</v>
      </c>
      <c r="Y271" t="s">
        <v>2075</v>
      </c>
      <c r="AA271" t="s">
        <v>842</v>
      </c>
      <c r="AB271" t="s">
        <v>843</v>
      </c>
      <c r="AC271" t="s">
        <v>713</v>
      </c>
      <c r="AD271" t="s">
        <v>713</v>
      </c>
      <c r="AE271" t="s">
        <v>2076</v>
      </c>
      <c r="AH271" t="s">
        <v>1295</v>
      </c>
    </row>
    <row r="272" spans="1:37">
      <c r="A272">
        <v>270</v>
      </c>
      <c r="B272" t="s">
        <v>2077</v>
      </c>
      <c r="C272">
        <v>491</v>
      </c>
      <c r="D272" t="s">
        <v>1310</v>
      </c>
      <c r="E272" t="s">
        <v>1834</v>
      </c>
      <c r="F272" t="s">
        <v>1118</v>
      </c>
      <c r="G272" t="s">
        <v>322</v>
      </c>
      <c r="H272" t="s">
        <v>1510</v>
      </c>
      <c r="I272" t="s">
        <v>1510</v>
      </c>
      <c r="J272" t="s">
        <v>2030</v>
      </c>
      <c r="K272" t="s">
        <v>2031</v>
      </c>
      <c r="N272" t="s">
        <v>315</v>
      </c>
      <c r="O272" t="s">
        <v>308</v>
      </c>
      <c r="S272" t="s">
        <v>1886</v>
      </c>
      <c r="T272" t="s">
        <v>731</v>
      </c>
      <c r="U272" t="s">
        <v>2078</v>
      </c>
      <c r="V272" t="s">
        <v>790</v>
      </c>
      <c r="W272">
        <v>39891</v>
      </c>
      <c r="X272">
        <v>16</v>
      </c>
      <c r="Y272" t="s">
        <v>2079</v>
      </c>
      <c r="AA272" t="s">
        <v>842</v>
      </c>
      <c r="AB272" t="s">
        <v>843</v>
      </c>
      <c r="AC272" t="s">
        <v>713</v>
      </c>
      <c r="AD272" t="s">
        <v>713</v>
      </c>
      <c r="AE272" t="s">
        <v>2080</v>
      </c>
      <c r="AH272" t="s">
        <v>1295</v>
      </c>
    </row>
    <row r="273" spans="1:35">
      <c r="A273">
        <v>271</v>
      </c>
      <c r="B273" t="s">
        <v>2081</v>
      </c>
      <c r="C273">
        <v>493</v>
      </c>
      <c r="D273" t="s">
        <v>1822</v>
      </c>
      <c r="E273" t="s">
        <v>809</v>
      </c>
      <c r="F273" t="s">
        <v>2081</v>
      </c>
      <c r="G273" t="s">
        <v>173</v>
      </c>
      <c r="H273" t="s">
        <v>2081</v>
      </c>
      <c r="I273" t="s">
        <v>2081</v>
      </c>
      <c r="N273" t="s">
        <v>787</v>
      </c>
      <c r="P273" t="s">
        <v>982</v>
      </c>
      <c r="Q273" t="s">
        <v>163</v>
      </c>
      <c r="S273" t="s">
        <v>898</v>
      </c>
      <c r="T273" t="s">
        <v>173</v>
      </c>
      <c r="U273" t="s">
        <v>2082</v>
      </c>
      <c r="V273" t="s">
        <v>876</v>
      </c>
      <c r="W273">
        <v>19177</v>
      </c>
      <c r="X273">
        <v>73</v>
      </c>
      <c r="Y273" t="s">
        <v>2083</v>
      </c>
      <c r="Z273" t="s">
        <v>2084</v>
      </c>
      <c r="AA273" t="s">
        <v>802</v>
      </c>
      <c r="AB273" t="s">
        <v>794</v>
      </c>
      <c r="AC273" t="s">
        <v>809</v>
      </c>
      <c r="AD273" t="s">
        <v>809</v>
      </c>
      <c r="AE273" t="s">
        <v>2085</v>
      </c>
      <c r="AI273" t="s">
        <v>1863</v>
      </c>
    </row>
    <row r="274" spans="1:35">
      <c r="A274">
        <v>272</v>
      </c>
      <c r="B274" t="s">
        <v>2086</v>
      </c>
      <c r="C274">
        <v>495</v>
      </c>
      <c r="D274" t="s">
        <v>1822</v>
      </c>
      <c r="E274" t="s">
        <v>809</v>
      </c>
      <c r="F274" t="s">
        <v>2081</v>
      </c>
      <c r="G274" t="s">
        <v>173</v>
      </c>
      <c r="H274" t="s">
        <v>2081</v>
      </c>
      <c r="I274" t="s">
        <v>2081</v>
      </c>
      <c r="N274" t="s">
        <v>787</v>
      </c>
      <c r="P274" t="s">
        <v>163</v>
      </c>
      <c r="Q274" t="s">
        <v>500</v>
      </c>
      <c r="R274" t="s">
        <v>49</v>
      </c>
      <c r="S274" t="s">
        <v>874</v>
      </c>
      <c r="T274" t="s">
        <v>193</v>
      </c>
      <c r="U274" t="s">
        <v>2087</v>
      </c>
      <c r="V274" t="s">
        <v>876</v>
      </c>
      <c r="W274">
        <v>20911</v>
      </c>
      <c r="X274">
        <v>68</v>
      </c>
      <c r="Y274" t="s">
        <v>2088</v>
      </c>
      <c r="Z274" t="s">
        <v>2089</v>
      </c>
      <c r="AA274" t="s">
        <v>802</v>
      </c>
      <c r="AB274" t="s">
        <v>794</v>
      </c>
      <c r="AC274" t="s">
        <v>809</v>
      </c>
      <c r="AD274" t="s">
        <v>809</v>
      </c>
      <c r="AE274" t="s">
        <v>2085</v>
      </c>
      <c r="AI274" t="s">
        <v>1863</v>
      </c>
    </row>
    <row r="275" spans="1:35">
      <c r="A275">
        <v>273</v>
      </c>
      <c r="B275" t="s">
        <v>2090</v>
      </c>
      <c r="C275">
        <v>497</v>
      </c>
      <c r="D275" t="s">
        <v>1822</v>
      </c>
      <c r="E275" t="s">
        <v>809</v>
      </c>
      <c r="F275" t="s">
        <v>2081</v>
      </c>
      <c r="G275" t="s">
        <v>173</v>
      </c>
      <c r="H275" t="s">
        <v>2081</v>
      </c>
      <c r="I275" t="s">
        <v>2081</v>
      </c>
      <c r="N275" t="s">
        <v>787</v>
      </c>
      <c r="P275" t="s">
        <v>49</v>
      </c>
      <c r="Q275" t="s">
        <v>168</v>
      </c>
      <c r="S275" t="s">
        <v>874</v>
      </c>
      <c r="T275" t="s">
        <v>212</v>
      </c>
      <c r="U275" t="s">
        <v>2091</v>
      </c>
      <c r="V275" t="s">
        <v>876</v>
      </c>
      <c r="W275">
        <v>21600</v>
      </c>
      <c r="X275">
        <v>66</v>
      </c>
      <c r="Y275" t="s">
        <v>2092</v>
      </c>
      <c r="Z275" t="s">
        <v>2093</v>
      </c>
      <c r="AA275" t="s">
        <v>802</v>
      </c>
      <c r="AB275" t="s">
        <v>794</v>
      </c>
      <c r="AC275" t="s">
        <v>809</v>
      </c>
      <c r="AD275" t="s">
        <v>809</v>
      </c>
      <c r="AE275" t="s">
        <v>2085</v>
      </c>
      <c r="AI275" t="s">
        <v>1863</v>
      </c>
    </row>
    <row r="276" spans="1:35">
      <c r="A276">
        <v>274</v>
      </c>
      <c r="B276" t="s">
        <v>2094</v>
      </c>
      <c r="C276">
        <v>499</v>
      </c>
      <c r="D276" t="s">
        <v>1822</v>
      </c>
      <c r="E276" t="s">
        <v>809</v>
      </c>
      <c r="F276" t="s">
        <v>2081</v>
      </c>
      <c r="G276" t="s">
        <v>173</v>
      </c>
      <c r="H276" t="s">
        <v>2081</v>
      </c>
      <c r="I276" t="s">
        <v>2081</v>
      </c>
      <c r="N276" t="s">
        <v>787</v>
      </c>
      <c r="P276" t="s">
        <v>49</v>
      </c>
      <c r="Q276" t="s">
        <v>168</v>
      </c>
      <c r="S276" t="s">
        <v>874</v>
      </c>
      <c r="T276" t="s">
        <v>231</v>
      </c>
      <c r="U276" t="s">
        <v>2095</v>
      </c>
      <c r="V276" t="s">
        <v>876</v>
      </c>
      <c r="W276">
        <v>25211</v>
      </c>
      <c r="X276">
        <v>57</v>
      </c>
      <c r="Y276" t="s">
        <v>2096</v>
      </c>
      <c r="Z276" t="s">
        <v>2097</v>
      </c>
      <c r="AA276" t="s">
        <v>802</v>
      </c>
      <c r="AB276" t="s">
        <v>794</v>
      </c>
      <c r="AC276" t="s">
        <v>809</v>
      </c>
      <c r="AD276" t="s">
        <v>809</v>
      </c>
      <c r="AE276" t="s">
        <v>2085</v>
      </c>
      <c r="AI276" t="s">
        <v>1863</v>
      </c>
    </row>
    <row r="277" spans="1:35">
      <c r="A277">
        <v>275</v>
      </c>
      <c r="B277" t="s">
        <v>2098</v>
      </c>
      <c r="C277">
        <v>501</v>
      </c>
      <c r="D277" t="s">
        <v>1822</v>
      </c>
      <c r="E277" t="s">
        <v>809</v>
      </c>
      <c r="F277" t="s">
        <v>2081</v>
      </c>
      <c r="G277" t="s">
        <v>173</v>
      </c>
      <c r="H277" t="s">
        <v>2081</v>
      </c>
      <c r="I277" t="s">
        <v>2081</v>
      </c>
      <c r="J277" t="s">
        <v>2098</v>
      </c>
      <c r="N277" t="s">
        <v>828</v>
      </c>
      <c r="P277" t="s">
        <v>62</v>
      </c>
      <c r="Q277" t="s">
        <v>62</v>
      </c>
      <c r="S277" t="s">
        <v>898</v>
      </c>
      <c r="T277" t="s">
        <v>194</v>
      </c>
      <c r="U277" t="s">
        <v>2099</v>
      </c>
      <c r="V277" t="s">
        <v>876</v>
      </c>
      <c r="W277">
        <v>17993</v>
      </c>
      <c r="X277">
        <v>76</v>
      </c>
      <c r="Y277" t="s">
        <v>2100</v>
      </c>
      <c r="Z277" t="s">
        <v>2101</v>
      </c>
      <c r="AA277" t="s">
        <v>802</v>
      </c>
      <c r="AB277" t="s">
        <v>794</v>
      </c>
      <c r="AC277" t="s">
        <v>809</v>
      </c>
      <c r="AD277" t="s">
        <v>809</v>
      </c>
      <c r="AE277" t="s">
        <v>2085</v>
      </c>
      <c r="AI277" t="s">
        <v>1863</v>
      </c>
    </row>
    <row r="278" spans="1:35">
      <c r="A278">
        <v>276</v>
      </c>
      <c r="B278" t="s">
        <v>2102</v>
      </c>
      <c r="C278">
        <v>503</v>
      </c>
      <c r="D278" t="s">
        <v>1822</v>
      </c>
      <c r="E278" t="s">
        <v>809</v>
      </c>
      <c r="F278" t="s">
        <v>2081</v>
      </c>
      <c r="G278" t="s">
        <v>173</v>
      </c>
      <c r="H278" t="s">
        <v>2081</v>
      </c>
      <c r="I278" t="s">
        <v>2081</v>
      </c>
      <c r="J278" t="s">
        <v>2098</v>
      </c>
      <c r="N278" t="s">
        <v>828</v>
      </c>
      <c r="S278" t="s">
        <v>788</v>
      </c>
      <c r="T278" t="s">
        <v>280</v>
      </c>
      <c r="U278" t="s">
        <v>2103</v>
      </c>
      <c r="V278" t="s">
        <v>876</v>
      </c>
      <c r="W278">
        <v>32972</v>
      </c>
      <c r="X278">
        <v>35</v>
      </c>
      <c r="Y278" t="s">
        <v>2104</v>
      </c>
      <c r="Z278" t="s">
        <v>2105</v>
      </c>
      <c r="AA278" t="s">
        <v>842</v>
      </c>
      <c r="AB278" t="s">
        <v>851</v>
      </c>
      <c r="AC278" t="s">
        <v>809</v>
      </c>
      <c r="AD278" t="s">
        <v>809</v>
      </c>
      <c r="AE278" t="s">
        <v>2085</v>
      </c>
      <c r="AI278" t="s">
        <v>1863</v>
      </c>
    </row>
    <row r="279" spans="1:35">
      <c r="A279">
        <v>277</v>
      </c>
      <c r="B279" t="s">
        <v>2106</v>
      </c>
      <c r="C279">
        <v>505</v>
      </c>
      <c r="D279" t="s">
        <v>1822</v>
      </c>
      <c r="E279" t="s">
        <v>809</v>
      </c>
      <c r="F279" t="s">
        <v>2081</v>
      </c>
      <c r="G279" t="s">
        <v>173</v>
      </c>
      <c r="H279" t="s">
        <v>2081</v>
      </c>
      <c r="I279" t="s">
        <v>2081</v>
      </c>
      <c r="J279" t="s">
        <v>2098</v>
      </c>
      <c r="N279" t="s">
        <v>828</v>
      </c>
      <c r="S279" t="s">
        <v>898</v>
      </c>
      <c r="T279" t="s">
        <v>213</v>
      </c>
      <c r="U279" t="s">
        <v>2107</v>
      </c>
      <c r="V279" t="s">
        <v>790</v>
      </c>
      <c r="W279">
        <v>19696</v>
      </c>
      <c r="X279">
        <v>72</v>
      </c>
      <c r="Y279" t="s">
        <v>2108</v>
      </c>
      <c r="Z279" t="s">
        <v>2109</v>
      </c>
      <c r="AA279" t="s">
        <v>802</v>
      </c>
      <c r="AB279" t="s">
        <v>794</v>
      </c>
      <c r="AC279" t="s">
        <v>809</v>
      </c>
      <c r="AD279" t="s">
        <v>809</v>
      </c>
      <c r="AE279" t="s">
        <v>2085</v>
      </c>
      <c r="AI279" t="s">
        <v>1863</v>
      </c>
    </row>
    <row r="280" spans="1:35">
      <c r="A280">
        <v>278</v>
      </c>
      <c r="B280" t="s">
        <v>2110</v>
      </c>
      <c r="C280">
        <v>507</v>
      </c>
      <c r="D280" t="s">
        <v>1822</v>
      </c>
      <c r="E280" t="s">
        <v>809</v>
      </c>
      <c r="F280" t="s">
        <v>2081</v>
      </c>
      <c r="G280" t="s">
        <v>173</v>
      </c>
      <c r="H280" t="s">
        <v>2081</v>
      </c>
      <c r="I280" t="s">
        <v>2081</v>
      </c>
      <c r="J280" t="s">
        <v>2098</v>
      </c>
      <c r="N280" t="s">
        <v>828</v>
      </c>
      <c r="S280" t="s">
        <v>898</v>
      </c>
      <c r="T280" t="s">
        <v>232</v>
      </c>
      <c r="U280" t="s">
        <v>2111</v>
      </c>
      <c r="V280" t="s">
        <v>876</v>
      </c>
      <c r="W280">
        <v>19049</v>
      </c>
      <c r="X280">
        <v>73</v>
      </c>
      <c r="Y280" t="s">
        <v>2112</v>
      </c>
      <c r="Z280" t="s">
        <v>2113</v>
      </c>
      <c r="AA280" t="s">
        <v>802</v>
      </c>
      <c r="AB280" t="s">
        <v>794</v>
      </c>
      <c r="AC280" t="s">
        <v>809</v>
      </c>
      <c r="AD280" t="s">
        <v>809</v>
      </c>
      <c r="AE280" t="s">
        <v>2085</v>
      </c>
      <c r="AI280" t="s">
        <v>1863</v>
      </c>
    </row>
    <row r="281" spans="1:35">
      <c r="A281">
        <v>279</v>
      </c>
      <c r="B281" t="s">
        <v>2114</v>
      </c>
      <c r="C281">
        <v>509</v>
      </c>
      <c r="D281" t="s">
        <v>1822</v>
      </c>
      <c r="E281" t="s">
        <v>809</v>
      </c>
      <c r="F281" t="s">
        <v>2081</v>
      </c>
      <c r="G281" t="s">
        <v>173</v>
      </c>
      <c r="H281" t="s">
        <v>2081</v>
      </c>
      <c r="I281" t="s">
        <v>2081</v>
      </c>
      <c r="J281" t="s">
        <v>2098</v>
      </c>
      <c r="N281" t="s">
        <v>828</v>
      </c>
      <c r="S281" t="s">
        <v>799</v>
      </c>
      <c r="T281" t="s">
        <v>251</v>
      </c>
      <c r="U281" t="s">
        <v>2115</v>
      </c>
      <c r="V281" t="s">
        <v>790</v>
      </c>
      <c r="W281">
        <v>29738</v>
      </c>
      <c r="X281">
        <v>44</v>
      </c>
      <c r="Y281" t="s">
        <v>2116</v>
      </c>
      <c r="Z281" t="s">
        <v>2117</v>
      </c>
      <c r="AA281" t="s">
        <v>842</v>
      </c>
      <c r="AB281" t="s">
        <v>851</v>
      </c>
      <c r="AC281" t="s">
        <v>809</v>
      </c>
      <c r="AD281" t="s">
        <v>809</v>
      </c>
      <c r="AE281" t="s">
        <v>1826</v>
      </c>
      <c r="AI281" t="s">
        <v>1863</v>
      </c>
    </row>
    <row r="282" spans="1:35">
      <c r="A282">
        <v>280</v>
      </c>
      <c r="B282" t="s">
        <v>2118</v>
      </c>
      <c r="C282">
        <v>511</v>
      </c>
      <c r="D282" t="s">
        <v>1822</v>
      </c>
      <c r="E282" t="s">
        <v>809</v>
      </c>
      <c r="F282" t="s">
        <v>2081</v>
      </c>
      <c r="G282" t="s">
        <v>173</v>
      </c>
      <c r="H282" t="s">
        <v>2081</v>
      </c>
      <c r="I282" t="s">
        <v>2081</v>
      </c>
      <c r="J282" t="s">
        <v>2098</v>
      </c>
      <c r="N282" t="s">
        <v>828</v>
      </c>
      <c r="S282" t="s">
        <v>874</v>
      </c>
      <c r="T282" t="s">
        <v>268</v>
      </c>
      <c r="U282" t="s">
        <v>2119</v>
      </c>
      <c r="V282" t="s">
        <v>876</v>
      </c>
      <c r="W282">
        <v>21258</v>
      </c>
      <c r="X282">
        <v>67</v>
      </c>
      <c r="Y282" t="s">
        <v>2120</v>
      </c>
      <c r="Z282" t="s">
        <v>2121</v>
      </c>
      <c r="AA282" t="s">
        <v>802</v>
      </c>
      <c r="AB282" t="s">
        <v>794</v>
      </c>
      <c r="AC282" t="s">
        <v>809</v>
      </c>
      <c r="AD282" t="s">
        <v>809</v>
      </c>
      <c r="AE282" t="s">
        <v>1826</v>
      </c>
      <c r="AI282" t="s">
        <v>1863</v>
      </c>
    </row>
    <row r="283" spans="1:35">
      <c r="A283">
        <v>281</v>
      </c>
      <c r="B283" t="s">
        <v>2122</v>
      </c>
      <c r="C283">
        <v>513</v>
      </c>
      <c r="D283" t="s">
        <v>1822</v>
      </c>
      <c r="E283" t="s">
        <v>809</v>
      </c>
      <c r="F283" t="s">
        <v>2081</v>
      </c>
      <c r="G283" t="s">
        <v>173</v>
      </c>
      <c r="H283" t="s">
        <v>2081</v>
      </c>
      <c r="I283" t="s">
        <v>2081</v>
      </c>
      <c r="J283" t="s">
        <v>2122</v>
      </c>
      <c r="N283" t="s">
        <v>938</v>
      </c>
      <c r="P283" t="s">
        <v>62</v>
      </c>
      <c r="Q283" t="s">
        <v>548</v>
      </c>
      <c r="S283" t="s">
        <v>874</v>
      </c>
      <c r="T283" t="s">
        <v>2123</v>
      </c>
      <c r="U283" t="s">
        <v>2124</v>
      </c>
      <c r="V283" t="s">
        <v>876</v>
      </c>
      <c r="W283">
        <v>20540</v>
      </c>
      <c r="X283">
        <v>69</v>
      </c>
      <c r="Y283" t="s">
        <v>2125</v>
      </c>
      <c r="Z283" t="s">
        <v>2126</v>
      </c>
      <c r="AA283" t="s">
        <v>842</v>
      </c>
      <c r="AB283" t="s">
        <v>851</v>
      </c>
      <c r="AC283" t="s">
        <v>809</v>
      </c>
      <c r="AD283" t="s">
        <v>809</v>
      </c>
      <c r="AE283" t="s">
        <v>2085</v>
      </c>
      <c r="AH283" t="s">
        <v>832</v>
      </c>
      <c r="AI283" t="s">
        <v>1863</v>
      </c>
    </row>
    <row r="284" spans="1:35">
      <c r="A284">
        <v>282</v>
      </c>
      <c r="B284" t="s">
        <v>2127</v>
      </c>
      <c r="C284">
        <v>515</v>
      </c>
      <c r="D284" t="s">
        <v>1822</v>
      </c>
      <c r="E284" t="s">
        <v>809</v>
      </c>
      <c r="F284" t="s">
        <v>2081</v>
      </c>
      <c r="G284" t="s">
        <v>173</v>
      </c>
      <c r="H284" t="s">
        <v>2081</v>
      </c>
      <c r="I284" t="s">
        <v>2081</v>
      </c>
      <c r="J284" t="s">
        <v>2122</v>
      </c>
      <c r="N284" t="s">
        <v>938</v>
      </c>
      <c r="S284" t="s">
        <v>898</v>
      </c>
      <c r="T284" t="s">
        <v>214</v>
      </c>
      <c r="U284" t="s">
        <v>2128</v>
      </c>
      <c r="V284" t="s">
        <v>876</v>
      </c>
      <c r="W284">
        <v>19980</v>
      </c>
      <c r="X284">
        <v>71</v>
      </c>
      <c r="Y284" t="s">
        <v>2129</v>
      </c>
      <c r="Z284" t="s">
        <v>2130</v>
      </c>
      <c r="AA284" t="s">
        <v>842</v>
      </c>
      <c r="AB284" t="s">
        <v>843</v>
      </c>
      <c r="AC284" t="s">
        <v>809</v>
      </c>
      <c r="AD284" t="s">
        <v>809</v>
      </c>
      <c r="AE284" t="s">
        <v>2085</v>
      </c>
      <c r="AH284" t="s">
        <v>867</v>
      </c>
      <c r="AI284" t="s">
        <v>1863</v>
      </c>
    </row>
    <row r="285" spans="1:35">
      <c r="A285">
        <v>283</v>
      </c>
      <c r="B285" t="s">
        <v>2131</v>
      </c>
      <c r="C285">
        <v>517</v>
      </c>
      <c r="D285" t="s">
        <v>1822</v>
      </c>
      <c r="E285" t="s">
        <v>809</v>
      </c>
      <c r="F285" t="s">
        <v>2081</v>
      </c>
      <c r="G285" t="s">
        <v>173</v>
      </c>
      <c r="H285" t="s">
        <v>2081</v>
      </c>
      <c r="I285" t="s">
        <v>2081</v>
      </c>
      <c r="J285" t="s">
        <v>2122</v>
      </c>
      <c r="N285" t="s">
        <v>938</v>
      </c>
      <c r="S285" t="s">
        <v>898</v>
      </c>
      <c r="T285" t="s">
        <v>233</v>
      </c>
      <c r="U285" t="s">
        <v>2132</v>
      </c>
      <c r="V285" t="s">
        <v>876</v>
      </c>
      <c r="W285">
        <v>19444</v>
      </c>
      <c r="X285">
        <v>72</v>
      </c>
      <c r="Y285" t="s">
        <v>2133</v>
      </c>
      <c r="AA285" t="s">
        <v>842</v>
      </c>
      <c r="AB285" t="s">
        <v>843</v>
      </c>
      <c r="AC285" t="s">
        <v>809</v>
      </c>
      <c r="AD285" t="s">
        <v>809</v>
      </c>
      <c r="AE285" t="s">
        <v>2085</v>
      </c>
      <c r="AH285" t="s">
        <v>971</v>
      </c>
    </row>
    <row r="286" spans="1:35">
      <c r="A286">
        <v>284</v>
      </c>
      <c r="B286" t="s">
        <v>2134</v>
      </c>
      <c r="C286">
        <v>519</v>
      </c>
      <c r="D286" t="s">
        <v>1822</v>
      </c>
      <c r="E286" t="s">
        <v>809</v>
      </c>
      <c r="F286" t="s">
        <v>2081</v>
      </c>
      <c r="G286" t="s">
        <v>173</v>
      </c>
      <c r="H286" t="s">
        <v>2081</v>
      </c>
      <c r="I286" t="s">
        <v>2081</v>
      </c>
      <c r="J286" t="s">
        <v>2122</v>
      </c>
      <c r="N286" t="s">
        <v>938</v>
      </c>
      <c r="S286" t="s">
        <v>898</v>
      </c>
      <c r="T286" t="s">
        <v>2135</v>
      </c>
      <c r="U286" t="s">
        <v>2136</v>
      </c>
      <c r="V286" t="s">
        <v>876</v>
      </c>
      <c r="W286">
        <v>19511</v>
      </c>
      <c r="X286">
        <v>72</v>
      </c>
      <c r="Y286" t="s">
        <v>2137</v>
      </c>
      <c r="AA286" t="s">
        <v>842</v>
      </c>
      <c r="AB286" t="s">
        <v>843</v>
      </c>
      <c r="AC286" t="s">
        <v>809</v>
      </c>
      <c r="AD286" t="s">
        <v>809</v>
      </c>
      <c r="AE286" t="s">
        <v>2085</v>
      </c>
      <c r="AF286" t="s">
        <v>1571</v>
      </c>
      <c r="AG286" t="s">
        <v>2138</v>
      </c>
      <c r="AH286" t="s">
        <v>867</v>
      </c>
    </row>
    <row r="287" spans="1:35">
      <c r="A287">
        <v>285</v>
      </c>
      <c r="B287" t="s">
        <v>2139</v>
      </c>
      <c r="C287">
        <v>521</v>
      </c>
      <c r="D287" t="s">
        <v>1822</v>
      </c>
      <c r="E287" t="s">
        <v>809</v>
      </c>
      <c r="F287" t="s">
        <v>2081</v>
      </c>
      <c r="G287" t="s">
        <v>173</v>
      </c>
      <c r="H287" t="s">
        <v>2081</v>
      </c>
      <c r="I287" t="s">
        <v>2081</v>
      </c>
      <c r="J287" t="s">
        <v>2122</v>
      </c>
      <c r="N287" t="s">
        <v>938</v>
      </c>
      <c r="S287" t="s">
        <v>898</v>
      </c>
      <c r="T287" t="s">
        <v>2140</v>
      </c>
      <c r="U287" t="s">
        <v>2141</v>
      </c>
      <c r="V287" t="s">
        <v>876</v>
      </c>
      <c r="W287">
        <v>12079</v>
      </c>
      <c r="X287">
        <v>93</v>
      </c>
      <c r="Y287" t="s">
        <v>2142</v>
      </c>
      <c r="AA287" t="s">
        <v>842</v>
      </c>
      <c r="AB287" t="s">
        <v>851</v>
      </c>
      <c r="AC287" t="s">
        <v>809</v>
      </c>
      <c r="AD287" t="s">
        <v>809</v>
      </c>
      <c r="AE287" t="s">
        <v>2085</v>
      </c>
      <c r="AG287" t="s">
        <v>2143</v>
      </c>
      <c r="AH287" t="s">
        <v>832</v>
      </c>
      <c r="AI287" t="s">
        <v>2144</v>
      </c>
    </row>
    <row r="288" spans="1:35">
      <c r="A288">
        <v>286</v>
      </c>
      <c r="B288" t="s">
        <v>2145</v>
      </c>
      <c r="C288">
        <v>523</v>
      </c>
      <c r="D288" t="s">
        <v>1822</v>
      </c>
      <c r="E288" t="s">
        <v>809</v>
      </c>
      <c r="F288" t="s">
        <v>2081</v>
      </c>
      <c r="G288" t="s">
        <v>173</v>
      </c>
      <c r="H288" t="s">
        <v>2081</v>
      </c>
      <c r="I288" t="s">
        <v>2081</v>
      </c>
      <c r="J288" t="s">
        <v>2122</v>
      </c>
      <c r="N288" t="s">
        <v>938</v>
      </c>
      <c r="S288" t="s">
        <v>874</v>
      </c>
      <c r="T288" t="s">
        <v>2146</v>
      </c>
      <c r="U288" t="s">
        <v>2147</v>
      </c>
      <c r="V288" t="s">
        <v>876</v>
      </c>
      <c r="W288">
        <v>23752</v>
      </c>
      <c r="X288">
        <v>61</v>
      </c>
      <c r="Y288" t="s">
        <v>2142</v>
      </c>
      <c r="AA288" t="s">
        <v>842</v>
      </c>
      <c r="AB288" t="s">
        <v>843</v>
      </c>
      <c r="AC288" t="s">
        <v>809</v>
      </c>
      <c r="AD288" t="s">
        <v>809</v>
      </c>
      <c r="AE288" t="s">
        <v>2085</v>
      </c>
      <c r="AG288" t="s">
        <v>2148</v>
      </c>
      <c r="AH288" t="s">
        <v>832</v>
      </c>
      <c r="AI288" t="s">
        <v>2144</v>
      </c>
    </row>
    <row r="289" spans="1:35">
      <c r="A289">
        <v>287</v>
      </c>
      <c r="B289" t="s">
        <v>2149</v>
      </c>
      <c r="C289">
        <v>524</v>
      </c>
      <c r="E289" t="s">
        <v>809</v>
      </c>
      <c r="F289" t="s">
        <v>2081</v>
      </c>
      <c r="G289" t="s">
        <v>173</v>
      </c>
      <c r="H289" t="s">
        <v>2081</v>
      </c>
      <c r="I289" t="s">
        <v>2149</v>
      </c>
      <c r="J289" t="s">
        <v>2150</v>
      </c>
      <c r="N289" t="s">
        <v>978</v>
      </c>
      <c r="P289" t="s">
        <v>49</v>
      </c>
      <c r="Q289" t="s">
        <v>168</v>
      </c>
      <c r="T289" t="s">
        <v>174</v>
      </c>
      <c r="U289" t="s">
        <v>2151</v>
      </c>
      <c r="V289" t="s">
        <v>876</v>
      </c>
      <c r="W289">
        <v>36505</v>
      </c>
      <c r="X289">
        <v>26</v>
      </c>
      <c r="Y289" t="s">
        <v>2152</v>
      </c>
      <c r="AA289" t="s">
        <v>842</v>
      </c>
      <c r="AB289" t="s">
        <v>794</v>
      </c>
      <c r="AC289" t="s">
        <v>236</v>
      </c>
      <c r="AD289" t="s">
        <v>795</v>
      </c>
      <c r="AE289" t="s">
        <v>804</v>
      </c>
      <c r="AF289" t="s">
        <v>872</v>
      </c>
    </row>
    <row r="290" spans="1:35">
      <c r="A290">
        <v>288</v>
      </c>
      <c r="B290" t="s">
        <v>2150</v>
      </c>
      <c r="C290">
        <v>526</v>
      </c>
      <c r="D290" t="s">
        <v>1822</v>
      </c>
      <c r="E290" t="s">
        <v>809</v>
      </c>
      <c r="F290" t="s">
        <v>2081</v>
      </c>
      <c r="G290" t="s">
        <v>173</v>
      </c>
      <c r="H290" t="s">
        <v>2081</v>
      </c>
      <c r="I290" t="s">
        <v>2149</v>
      </c>
      <c r="J290" t="s">
        <v>2150</v>
      </c>
      <c r="N290" t="s">
        <v>978</v>
      </c>
      <c r="P290" t="s">
        <v>62</v>
      </c>
      <c r="Q290" t="s">
        <v>548</v>
      </c>
      <c r="S290" t="s">
        <v>874</v>
      </c>
      <c r="T290" t="s">
        <v>195</v>
      </c>
      <c r="U290" t="s">
        <v>2153</v>
      </c>
      <c r="V290" t="s">
        <v>876</v>
      </c>
      <c r="W290">
        <v>34934</v>
      </c>
      <c r="X290">
        <v>30</v>
      </c>
      <c r="Y290" t="s">
        <v>2154</v>
      </c>
      <c r="Z290" t="s">
        <v>2155</v>
      </c>
      <c r="AA290" t="s">
        <v>842</v>
      </c>
      <c r="AB290" t="s">
        <v>843</v>
      </c>
      <c r="AC290" t="s">
        <v>809</v>
      </c>
      <c r="AD290" t="s">
        <v>809</v>
      </c>
      <c r="AE290" t="s">
        <v>2156</v>
      </c>
      <c r="AH290" t="s">
        <v>1852</v>
      </c>
      <c r="AI290" t="s">
        <v>1863</v>
      </c>
    </row>
    <row r="291" spans="1:35">
      <c r="A291">
        <v>289</v>
      </c>
      <c r="B291" t="s">
        <v>2157</v>
      </c>
      <c r="C291">
        <v>528</v>
      </c>
      <c r="D291" t="s">
        <v>1822</v>
      </c>
      <c r="E291" t="s">
        <v>809</v>
      </c>
      <c r="F291" t="s">
        <v>2081</v>
      </c>
      <c r="G291" t="s">
        <v>173</v>
      </c>
      <c r="H291" t="s">
        <v>2081</v>
      </c>
      <c r="I291" t="s">
        <v>2149</v>
      </c>
      <c r="J291" t="s">
        <v>2150</v>
      </c>
      <c r="N291" t="s">
        <v>978</v>
      </c>
      <c r="S291" t="s">
        <v>788</v>
      </c>
      <c r="T291" t="s">
        <v>215</v>
      </c>
      <c r="U291" t="s">
        <v>2158</v>
      </c>
      <c r="V291" t="s">
        <v>876</v>
      </c>
      <c r="W291">
        <v>34898</v>
      </c>
      <c r="X291">
        <v>30</v>
      </c>
      <c r="Y291" t="s">
        <v>2159</v>
      </c>
      <c r="Z291" t="s">
        <v>2160</v>
      </c>
      <c r="AA291" t="s">
        <v>842</v>
      </c>
      <c r="AB291" t="s">
        <v>843</v>
      </c>
      <c r="AC291" t="s">
        <v>809</v>
      </c>
      <c r="AD291" t="s">
        <v>809</v>
      </c>
      <c r="AE291" t="s">
        <v>2156</v>
      </c>
      <c r="AH291" t="s">
        <v>1852</v>
      </c>
      <c r="AI291" t="s">
        <v>1863</v>
      </c>
    </row>
    <row r="292" spans="1:35">
      <c r="A292">
        <v>290</v>
      </c>
      <c r="B292" t="s">
        <v>2161</v>
      </c>
      <c r="C292">
        <v>530</v>
      </c>
      <c r="D292" t="s">
        <v>1822</v>
      </c>
      <c r="E292" t="s">
        <v>809</v>
      </c>
      <c r="F292" t="s">
        <v>2081</v>
      </c>
      <c r="G292" t="s">
        <v>173</v>
      </c>
      <c r="H292" t="s">
        <v>2081</v>
      </c>
      <c r="I292" t="s">
        <v>2149</v>
      </c>
      <c r="J292" t="s">
        <v>2150</v>
      </c>
      <c r="N292" t="s">
        <v>978</v>
      </c>
      <c r="S292" t="s">
        <v>788</v>
      </c>
      <c r="T292" t="s">
        <v>234</v>
      </c>
      <c r="U292" t="s">
        <v>2162</v>
      </c>
      <c r="V292" t="s">
        <v>876</v>
      </c>
      <c r="W292">
        <v>38176</v>
      </c>
      <c r="X292">
        <v>21</v>
      </c>
      <c r="Y292" t="s">
        <v>2163</v>
      </c>
      <c r="Z292" t="s">
        <v>2164</v>
      </c>
      <c r="AA292" t="s">
        <v>842</v>
      </c>
      <c r="AB292" t="s">
        <v>843</v>
      </c>
      <c r="AC292" t="s">
        <v>809</v>
      </c>
      <c r="AD292" t="s">
        <v>809</v>
      </c>
      <c r="AE292" t="s">
        <v>2165</v>
      </c>
      <c r="AH292" t="s">
        <v>1852</v>
      </c>
      <c r="AI292" t="s">
        <v>1863</v>
      </c>
    </row>
    <row r="293" spans="1:35">
      <c r="A293">
        <v>291</v>
      </c>
      <c r="B293" t="s">
        <v>2166</v>
      </c>
      <c r="C293">
        <v>532</v>
      </c>
      <c r="D293" t="s">
        <v>1001</v>
      </c>
      <c r="E293" t="s">
        <v>809</v>
      </c>
      <c r="F293" t="s">
        <v>2081</v>
      </c>
      <c r="G293" t="s">
        <v>173</v>
      </c>
      <c r="H293" t="s">
        <v>2081</v>
      </c>
      <c r="I293" t="s">
        <v>2149</v>
      </c>
      <c r="J293" t="s">
        <v>2150</v>
      </c>
      <c r="N293" t="s">
        <v>978</v>
      </c>
      <c r="O293" t="s">
        <v>308</v>
      </c>
      <c r="S293" t="s">
        <v>788</v>
      </c>
      <c r="T293" t="s">
        <v>269</v>
      </c>
      <c r="U293" t="s">
        <v>2167</v>
      </c>
      <c r="V293" t="s">
        <v>876</v>
      </c>
      <c r="W293">
        <v>38937</v>
      </c>
      <c r="X293">
        <v>19</v>
      </c>
      <c r="Y293" t="s">
        <v>2168</v>
      </c>
      <c r="Z293" t="s">
        <v>2169</v>
      </c>
      <c r="AA293" t="s">
        <v>842</v>
      </c>
      <c r="AB293" t="s">
        <v>843</v>
      </c>
      <c r="AC293" t="s">
        <v>236</v>
      </c>
      <c r="AD293" t="s">
        <v>236</v>
      </c>
      <c r="AE293" t="s">
        <v>865</v>
      </c>
      <c r="AH293" t="s">
        <v>1950</v>
      </c>
    </row>
    <row r="294" spans="1:35">
      <c r="A294">
        <v>292</v>
      </c>
      <c r="B294" t="s">
        <v>2170</v>
      </c>
      <c r="C294">
        <v>534</v>
      </c>
      <c r="D294" t="s">
        <v>1822</v>
      </c>
      <c r="E294" t="s">
        <v>809</v>
      </c>
      <c r="F294" t="s">
        <v>2081</v>
      </c>
      <c r="G294" t="s">
        <v>173</v>
      </c>
      <c r="H294" t="s">
        <v>2081</v>
      </c>
      <c r="I294" t="s">
        <v>2149</v>
      </c>
      <c r="J294" t="s">
        <v>2150</v>
      </c>
      <c r="N294" t="s">
        <v>978</v>
      </c>
      <c r="S294" t="s">
        <v>874</v>
      </c>
      <c r="T294" t="s">
        <v>2171</v>
      </c>
      <c r="U294" t="s">
        <v>2172</v>
      </c>
      <c r="V294" t="s">
        <v>876</v>
      </c>
      <c r="W294">
        <v>33443</v>
      </c>
      <c r="X294">
        <v>34</v>
      </c>
      <c r="Y294" t="s">
        <v>2173</v>
      </c>
      <c r="AA294" t="s">
        <v>842</v>
      </c>
      <c r="AB294" t="s">
        <v>843</v>
      </c>
      <c r="AC294" t="s">
        <v>809</v>
      </c>
      <c r="AD294" t="s">
        <v>809</v>
      </c>
      <c r="AE294" t="s">
        <v>2174</v>
      </c>
      <c r="AG294" t="s">
        <v>2175</v>
      </c>
      <c r="AH294" t="s">
        <v>1852</v>
      </c>
      <c r="AI294" t="s">
        <v>1805</v>
      </c>
    </row>
    <row r="295" spans="1:35">
      <c r="A295">
        <v>293</v>
      </c>
      <c r="B295" t="s">
        <v>2176</v>
      </c>
      <c r="C295">
        <v>536</v>
      </c>
      <c r="D295" t="s">
        <v>811</v>
      </c>
      <c r="E295" t="s">
        <v>809</v>
      </c>
      <c r="F295" t="s">
        <v>2081</v>
      </c>
      <c r="G295" t="s">
        <v>173</v>
      </c>
      <c r="H295" t="s">
        <v>2081</v>
      </c>
      <c r="I295" t="s">
        <v>2149</v>
      </c>
      <c r="J295" t="s">
        <v>2150</v>
      </c>
      <c r="N295" t="s">
        <v>978</v>
      </c>
      <c r="O295" t="s">
        <v>308</v>
      </c>
      <c r="S295" t="s">
        <v>788</v>
      </c>
      <c r="T295" t="s">
        <v>719</v>
      </c>
      <c r="U295" t="s">
        <v>2177</v>
      </c>
      <c r="V295" t="s">
        <v>876</v>
      </c>
      <c r="W295">
        <v>38591</v>
      </c>
      <c r="X295">
        <v>20</v>
      </c>
      <c r="Y295" t="s">
        <v>2178</v>
      </c>
      <c r="AA295" t="s">
        <v>842</v>
      </c>
      <c r="AB295" t="s">
        <v>843</v>
      </c>
      <c r="AC295" t="s">
        <v>942</v>
      </c>
      <c r="AD295" t="s">
        <v>942</v>
      </c>
      <c r="AE295" t="s">
        <v>2179</v>
      </c>
      <c r="AH295" t="s">
        <v>1295</v>
      </c>
    </row>
    <row r="296" spans="1:35">
      <c r="A296">
        <v>294</v>
      </c>
      <c r="B296" t="s">
        <v>2086</v>
      </c>
      <c r="C296">
        <v>537</v>
      </c>
      <c r="E296" t="s">
        <v>2180</v>
      </c>
      <c r="F296" t="s">
        <v>2081</v>
      </c>
      <c r="H296" t="s">
        <v>1106</v>
      </c>
      <c r="N296" t="s">
        <v>787</v>
      </c>
      <c r="P296" t="s">
        <v>163</v>
      </c>
      <c r="Q296" t="s">
        <v>500</v>
      </c>
      <c r="R296" t="s">
        <v>49</v>
      </c>
      <c r="T296" t="s">
        <v>193</v>
      </c>
      <c r="U296" t="s">
        <v>2087</v>
      </c>
      <c r="V296" t="s">
        <v>876</v>
      </c>
      <c r="W296">
        <v>20911</v>
      </c>
      <c r="X296">
        <v>68</v>
      </c>
      <c r="Y296" t="s">
        <v>2088</v>
      </c>
      <c r="AA296" t="s">
        <v>802</v>
      </c>
      <c r="AB296" t="s">
        <v>794</v>
      </c>
      <c r="AC296" t="s">
        <v>809</v>
      </c>
      <c r="AD296" t="s">
        <v>809</v>
      </c>
      <c r="AE296" t="s">
        <v>2085</v>
      </c>
      <c r="AF296" t="s">
        <v>872</v>
      </c>
    </row>
    <row r="297" spans="1:35">
      <c r="A297">
        <v>295</v>
      </c>
      <c r="B297" t="s">
        <v>2181</v>
      </c>
      <c r="C297">
        <v>539</v>
      </c>
      <c r="D297" t="s">
        <v>811</v>
      </c>
      <c r="E297" t="s">
        <v>2180</v>
      </c>
      <c r="F297" t="s">
        <v>2081</v>
      </c>
      <c r="G297" t="s">
        <v>193</v>
      </c>
      <c r="H297" t="s">
        <v>2086</v>
      </c>
      <c r="I297" t="s">
        <v>2086</v>
      </c>
      <c r="J297" t="s">
        <v>2181</v>
      </c>
      <c r="K297" t="s">
        <v>2182</v>
      </c>
      <c r="N297" t="s">
        <v>787</v>
      </c>
      <c r="O297" t="s">
        <v>308</v>
      </c>
      <c r="P297" t="s">
        <v>62</v>
      </c>
      <c r="Q297" t="s">
        <v>548</v>
      </c>
      <c r="S297" t="s">
        <v>874</v>
      </c>
      <c r="T297" t="s">
        <v>337</v>
      </c>
      <c r="U297" t="s">
        <v>2183</v>
      </c>
      <c r="V297" t="s">
        <v>876</v>
      </c>
      <c r="W297">
        <v>22722</v>
      </c>
      <c r="X297">
        <v>63</v>
      </c>
      <c r="Y297" t="s">
        <v>2184</v>
      </c>
      <c r="Z297" t="s">
        <v>2185</v>
      </c>
      <c r="AA297" t="s">
        <v>842</v>
      </c>
      <c r="AB297" t="s">
        <v>843</v>
      </c>
      <c r="AC297" t="s">
        <v>942</v>
      </c>
      <c r="AD297" t="s">
        <v>942</v>
      </c>
      <c r="AE297" t="s">
        <v>2186</v>
      </c>
      <c r="AH297" t="s">
        <v>1497</v>
      </c>
    </row>
    <row r="298" spans="1:35">
      <c r="A298">
        <v>296</v>
      </c>
      <c r="B298" t="s">
        <v>2182</v>
      </c>
      <c r="C298">
        <v>541</v>
      </c>
      <c r="D298" t="s">
        <v>1822</v>
      </c>
      <c r="E298" t="s">
        <v>2180</v>
      </c>
      <c r="F298" t="s">
        <v>2081</v>
      </c>
      <c r="G298" t="s">
        <v>193</v>
      </c>
      <c r="H298" t="s">
        <v>2086</v>
      </c>
      <c r="I298" t="s">
        <v>2086</v>
      </c>
      <c r="J298" t="s">
        <v>2181</v>
      </c>
      <c r="K298" t="s">
        <v>2182</v>
      </c>
      <c r="N298" t="s">
        <v>787</v>
      </c>
      <c r="O298" t="s">
        <v>308</v>
      </c>
      <c r="P298" t="s">
        <v>62</v>
      </c>
      <c r="Q298" t="s">
        <v>548</v>
      </c>
      <c r="S298" t="s">
        <v>874</v>
      </c>
      <c r="T298" t="s">
        <v>2187</v>
      </c>
      <c r="U298" t="s">
        <v>2188</v>
      </c>
      <c r="V298" t="s">
        <v>876</v>
      </c>
      <c r="W298">
        <v>21722</v>
      </c>
      <c r="X298">
        <v>66</v>
      </c>
      <c r="Y298" t="s">
        <v>2189</v>
      </c>
      <c r="Z298" t="s">
        <v>2190</v>
      </c>
      <c r="AA298" t="s">
        <v>842</v>
      </c>
      <c r="AB298" t="s">
        <v>843</v>
      </c>
      <c r="AC298" t="s">
        <v>942</v>
      </c>
      <c r="AD298" t="s">
        <v>942</v>
      </c>
      <c r="AE298" t="s">
        <v>2191</v>
      </c>
      <c r="AH298" t="s">
        <v>971</v>
      </c>
      <c r="AI298" t="s">
        <v>1863</v>
      </c>
    </row>
    <row r="299" spans="1:35">
      <c r="A299">
        <v>297</v>
      </c>
      <c r="B299" t="s">
        <v>2192</v>
      </c>
      <c r="C299">
        <v>543</v>
      </c>
      <c r="D299" t="s">
        <v>1822</v>
      </c>
      <c r="E299" t="s">
        <v>2180</v>
      </c>
      <c r="F299" t="s">
        <v>2081</v>
      </c>
      <c r="G299" t="s">
        <v>193</v>
      </c>
      <c r="H299" t="s">
        <v>2086</v>
      </c>
      <c r="I299" t="s">
        <v>2086</v>
      </c>
      <c r="J299" t="s">
        <v>2181</v>
      </c>
      <c r="K299" t="s">
        <v>2182</v>
      </c>
      <c r="N299" t="s">
        <v>787</v>
      </c>
      <c r="O299" t="s">
        <v>308</v>
      </c>
      <c r="S299" t="s">
        <v>874</v>
      </c>
      <c r="T299" t="s">
        <v>2193</v>
      </c>
      <c r="U299" t="s">
        <v>2194</v>
      </c>
      <c r="V299" t="s">
        <v>876</v>
      </c>
      <c r="W299">
        <v>22447</v>
      </c>
      <c r="X299">
        <v>64</v>
      </c>
      <c r="Y299" t="s">
        <v>2195</v>
      </c>
      <c r="Z299" t="s">
        <v>2196</v>
      </c>
      <c r="AA299" t="s">
        <v>842</v>
      </c>
      <c r="AB299" t="s">
        <v>843</v>
      </c>
      <c r="AC299" t="s">
        <v>942</v>
      </c>
      <c r="AD299" t="s">
        <v>942</v>
      </c>
      <c r="AE299" t="s">
        <v>2191</v>
      </c>
      <c r="AH299" t="s">
        <v>971</v>
      </c>
      <c r="AI299" t="s">
        <v>1863</v>
      </c>
    </row>
    <row r="300" spans="1:35">
      <c r="A300">
        <v>298</v>
      </c>
      <c r="B300" t="s">
        <v>2197</v>
      </c>
      <c r="C300">
        <v>545</v>
      </c>
      <c r="D300" t="s">
        <v>1822</v>
      </c>
      <c r="E300" t="s">
        <v>2180</v>
      </c>
      <c r="F300" t="s">
        <v>2081</v>
      </c>
      <c r="G300" t="s">
        <v>193</v>
      </c>
      <c r="H300" t="s">
        <v>2086</v>
      </c>
      <c r="I300" t="s">
        <v>2086</v>
      </c>
      <c r="J300" t="s">
        <v>2181</v>
      </c>
      <c r="K300" t="s">
        <v>2182</v>
      </c>
      <c r="N300" t="s">
        <v>787</v>
      </c>
      <c r="O300" t="s">
        <v>308</v>
      </c>
      <c r="S300" t="s">
        <v>874</v>
      </c>
      <c r="T300" t="s">
        <v>378</v>
      </c>
      <c r="U300" t="s">
        <v>2198</v>
      </c>
      <c r="V300" t="s">
        <v>876</v>
      </c>
      <c r="W300">
        <v>28584</v>
      </c>
      <c r="X300">
        <v>47</v>
      </c>
      <c r="Y300" t="s">
        <v>2199</v>
      </c>
      <c r="Z300" t="s">
        <v>2200</v>
      </c>
      <c r="AA300" t="s">
        <v>842</v>
      </c>
      <c r="AB300" t="s">
        <v>843</v>
      </c>
      <c r="AC300" t="s">
        <v>942</v>
      </c>
      <c r="AD300" t="s">
        <v>942</v>
      </c>
      <c r="AE300" t="s">
        <v>2179</v>
      </c>
      <c r="AH300" t="s">
        <v>971</v>
      </c>
      <c r="AI300" t="s">
        <v>1863</v>
      </c>
    </row>
    <row r="301" spans="1:35">
      <c r="A301">
        <v>299</v>
      </c>
      <c r="B301" t="s">
        <v>2201</v>
      </c>
      <c r="C301">
        <v>547</v>
      </c>
      <c r="D301" t="s">
        <v>811</v>
      </c>
      <c r="E301" t="s">
        <v>2180</v>
      </c>
      <c r="F301" t="s">
        <v>2081</v>
      </c>
      <c r="G301" t="s">
        <v>193</v>
      </c>
      <c r="H301" t="s">
        <v>2086</v>
      </c>
      <c r="I301" t="s">
        <v>2086</v>
      </c>
      <c r="J301" t="s">
        <v>2181</v>
      </c>
      <c r="K301" t="s">
        <v>2182</v>
      </c>
      <c r="N301" t="s">
        <v>787</v>
      </c>
      <c r="O301" t="s">
        <v>308</v>
      </c>
      <c r="S301" t="s">
        <v>874</v>
      </c>
      <c r="T301" t="s">
        <v>403</v>
      </c>
      <c r="U301" t="s">
        <v>2202</v>
      </c>
      <c r="V301" t="s">
        <v>876</v>
      </c>
      <c r="W301">
        <v>26312</v>
      </c>
      <c r="X301">
        <v>54</v>
      </c>
      <c r="Y301" t="s">
        <v>2203</v>
      </c>
      <c r="Z301" t="s">
        <v>2204</v>
      </c>
      <c r="AA301" t="s">
        <v>842</v>
      </c>
      <c r="AB301" t="s">
        <v>843</v>
      </c>
      <c r="AC301" t="s">
        <v>942</v>
      </c>
      <c r="AD301" t="s">
        <v>942</v>
      </c>
      <c r="AE301" t="s">
        <v>2179</v>
      </c>
      <c r="AH301" t="s">
        <v>1497</v>
      </c>
    </row>
    <row r="302" spans="1:35">
      <c r="A302">
        <v>300</v>
      </c>
      <c r="B302" t="s">
        <v>2205</v>
      </c>
      <c r="C302">
        <v>549</v>
      </c>
      <c r="D302" t="s">
        <v>811</v>
      </c>
      <c r="E302" t="s">
        <v>2180</v>
      </c>
      <c r="F302" t="s">
        <v>2081</v>
      </c>
      <c r="G302" t="s">
        <v>193</v>
      </c>
      <c r="H302" t="s">
        <v>2086</v>
      </c>
      <c r="I302" t="s">
        <v>2086</v>
      </c>
      <c r="J302" t="s">
        <v>2181</v>
      </c>
      <c r="K302" t="s">
        <v>2182</v>
      </c>
      <c r="N302" t="s">
        <v>787</v>
      </c>
      <c r="O302" t="s">
        <v>308</v>
      </c>
      <c r="S302" t="s">
        <v>874</v>
      </c>
      <c r="T302" t="s">
        <v>392</v>
      </c>
      <c r="U302" t="s">
        <v>2206</v>
      </c>
      <c r="V302" t="s">
        <v>876</v>
      </c>
      <c r="W302">
        <v>21826</v>
      </c>
      <c r="X302">
        <v>66</v>
      </c>
      <c r="Y302" t="s">
        <v>2207</v>
      </c>
      <c r="AA302" t="s">
        <v>842</v>
      </c>
      <c r="AB302" t="s">
        <v>843</v>
      </c>
      <c r="AC302" t="s">
        <v>2208</v>
      </c>
      <c r="AD302" t="s">
        <v>2208</v>
      </c>
      <c r="AE302" t="s">
        <v>2209</v>
      </c>
      <c r="AG302" t="s">
        <v>866</v>
      </c>
      <c r="AH302" t="s">
        <v>1497</v>
      </c>
    </row>
    <row r="303" spans="1:35">
      <c r="A303">
        <v>301</v>
      </c>
      <c r="B303" t="s">
        <v>2210</v>
      </c>
      <c r="C303">
        <v>551</v>
      </c>
      <c r="D303" t="s">
        <v>811</v>
      </c>
      <c r="E303" t="s">
        <v>2180</v>
      </c>
      <c r="F303" t="s">
        <v>2081</v>
      </c>
      <c r="G303" t="s">
        <v>193</v>
      </c>
      <c r="H303" t="s">
        <v>2086</v>
      </c>
      <c r="I303" t="s">
        <v>2086</v>
      </c>
      <c r="J303" t="s">
        <v>2181</v>
      </c>
      <c r="K303" t="s">
        <v>2182</v>
      </c>
      <c r="N303" t="s">
        <v>787</v>
      </c>
      <c r="O303" t="s">
        <v>308</v>
      </c>
      <c r="S303" t="s">
        <v>874</v>
      </c>
      <c r="T303" t="s">
        <v>726</v>
      </c>
      <c r="U303" t="s">
        <v>2211</v>
      </c>
      <c r="V303" t="s">
        <v>876</v>
      </c>
      <c r="W303">
        <v>24520</v>
      </c>
      <c r="X303">
        <v>58</v>
      </c>
      <c r="Y303" t="s">
        <v>2212</v>
      </c>
      <c r="AA303" t="s">
        <v>842</v>
      </c>
      <c r="AB303" t="s">
        <v>843</v>
      </c>
      <c r="AC303" t="s">
        <v>942</v>
      </c>
      <c r="AD303" t="s">
        <v>942</v>
      </c>
      <c r="AE303" t="s">
        <v>2179</v>
      </c>
      <c r="AH303" t="s">
        <v>1295</v>
      </c>
    </row>
    <row r="304" spans="1:35">
      <c r="A304">
        <v>302</v>
      </c>
      <c r="B304" t="s">
        <v>2094</v>
      </c>
      <c r="C304">
        <v>552</v>
      </c>
      <c r="E304" t="s">
        <v>2180</v>
      </c>
      <c r="F304" t="s">
        <v>2081</v>
      </c>
      <c r="G304" t="s">
        <v>193</v>
      </c>
      <c r="H304" t="s">
        <v>2086</v>
      </c>
      <c r="I304" t="s">
        <v>2094</v>
      </c>
      <c r="N304" t="s">
        <v>828</v>
      </c>
      <c r="P304" t="s">
        <v>49</v>
      </c>
      <c r="Q304" t="s">
        <v>168</v>
      </c>
      <c r="T304" t="s">
        <v>231</v>
      </c>
      <c r="U304" t="s">
        <v>2095</v>
      </c>
      <c r="V304" t="s">
        <v>876</v>
      </c>
      <c r="W304">
        <v>25211</v>
      </c>
      <c r="X304">
        <v>57</v>
      </c>
      <c r="Y304" t="s">
        <v>2096</v>
      </c>
      <c r="AA304" t="s">
        <v>802</v>
      </c>
      <c r="AB304" t="s">
        <v>794</v>
      </c>
      <c r="AC304" t="s">
        <v>809</v>
      </c>
      <c r="AD304" t="s">
        <v>809</v>
      </c>
      <c r="AE304" t="s">
        <v>2085</v>
      </c>
      <c r="AF304" t="s">
        <v>872</v>
      </c>
    </row>
    <row r="305" spans="1:35">
      <c r="A305">
        <v>303</v>
      </c>
      <c r="B305" t="s">
        <v>2213</v>
      </c>
      <c r="C305">
        <v>554</v>
      </c>
      <c r="D305" t="s">
        <v>1822</v>
      </c>
      <c r="E305" t="s">
        <v>2180</v>
      </c>
      <c r="F305" t="s">
        <v>2081</v>
      </c>
      <c r="G305" t="s">
        <v>193</v>
      </c>
      <c r="H305" t="s">
        <v>2086</v>
      </c>
      <c r="I305" t="s">
        <v>2094</v>
      </c>
      <c r="J305" t="s">
        <v>2213</v>
      </c>
      <c r="N305" t="s">
        <v>828</v>
      </c>
      <c r="P305" t="s">
        <v>62</v>
      </c>
      <c r="Q305" t="s">
        <v>548</v>
      </c>
      <c r="S305" t="s">
        <v>788</v>
      </c>
      <c r="T305" t="s">
        <v>2214</v>
      </c>
      <c r="U305" t="s">
        <v>2215</v>
      </c>
      <c r="V305" t="s">
        <v>876</v>
      </c>
      <c r="W305">
        <v>34119</v>
      </c>
      <c r="X305">
        <v>32</v>
      </c>
      <c r="Y305" t="s">
        <v>2216</v>
      </c>
      <c r="Z305" t="s">
        <v>2217</v>
      </c>
      <c r="AA305" t="s">
        <v>842</v>
      </c>
      <c r="AB305" t="s">
        <v>843</v>
      </c>
      <c r="AC305" t="s">
        <v>809</v>
      </c>
      <c r="AD305" t="s">
        <v>809</v>
      </c>
      <c r="AE305" t="s">
        <v>2218</v>
      </c>
      <c r="AH305" t="s">
        <v>976</v>
      </c>
      <c r="AI305" t="s">
        <v>1863</v>
      </c>
    </row>
    <row r="306" spans="1:35">
      <c r="A306">
        <v>304</v>
      </c>
      <c r="B306" t="s">
        <v>2219</v>
      </c>
      <c r="C306">
        <v>556</v>
      </c>
      <c r="D306" t="s">
        <v>1822</v>
      </c>
      <c r="E306" t="s">
        <v>2180</v>
      </c>
      <c r="F306" t="s">
        <v>2081</v>
      </c>
      <c r="G306" t="s">
        <v>193</v>
      </c>
      <c r="H306" t="s">
        <v>2086</v>
      </c>
      <c r="I306" t="s">
        <v>2094</v>
      </c>
      <c r="J306" t="s">
        <v>2213</v>
      </c>
      <c r="N306" t="s">
        <v>828</v>
      </c>
      <c r="S306" t="s">
        <v>874</v>
      </c>
      <c r="T306" t="s">
        <v>2220</v>
      </c>
      <c r="U306" t="s">
        <v>2221</v>
      </c>
      <c r="V306" t="s">
        <v>876</v>
      </c>
      <c r="W306">
        <v>33793</v>
      </c>
      <c r="X306">
        <v>33</v>
      </c>
      <c r="Y306" t="s">
        <v>2222</v>
      </c>
      <c r="AA306" t="s">
        <v>842</v>
      </c>
      <c r="AB306" t="s">
        <v>843</v>
      </c>
      <c r="AC306" t="s">
        <v>942</v>
      </c>
      <c r="AD306" t="s">
        <v>942</v>
      </c>
      <c r="AE306" t="s">
        <v>2223</v>
      </c>
      <c r="AH306" t="s">
        <v>976</v>
      </c>
      <c r="AI306" t="s">
        <v>1863</v>
      </c>
    </row>
    <row r="307" spans="1:35">
      <c r="A307">
        <v>305</v>
      </c>
      <c r="B307" t="s">
        <v>2224</v>
      </c>
      <c r="C307">
        <v>558</v>
      </c>
      <c r="D307" t="s">
        <v>1822</v>
      </c>
      <c r="E307" t="s">
        <v>2180</v>
      </c>
      <c r="F307" t="s">
        <v>2081</v>
      </c>
      <c r="G307" t="s">
        <v>193</v>
      </c>
      <c r="H307" t="s">
        <v>2086</v>
      </c>
      <c r="I307" t="s">
        <v>2094</v>
      </c>
      <c r="J307" t="s">
        <v>2213</v>
      </c>
      <c r="N307" t="s">
        <v>828</v>
      </c>
      <c r="S307" t="s">
        <v>874</v>
      </c>
      <c r="T307" t="s">
        <v>2225</v>
      </c>
      <c r="U307" t="s">
        <v>2226</v>
      </c>
      <c r="V307" t="s">
        <v>876</v>
      </c>
      <c r="W307">
        <v>34240</v>
      </c>
      <c r="X307">
        <v>32</v>
      </c>
      <c r="Y307" t="s">
        <v>2227</v>
      </c>
      <c r="Z307" t="s">
        <v>2228</v>
      </c>
      <c r="AA307" t="s">
        <v>842</v>
      </c>
      <c r="AB307" t="s">
        <v>843</v>
      </c>
      <c r="AC307" t="s">
        <v>942</v>
      </c>
      <c r="AD307" t="s">
        <v>942</v>
      </c>
      <c r="AE307" t="s">
        <v>2223</v>
      </c>
      <c r="AH307" t="s">
        <v>976</v>
      </c>
      <c r="AI307" t="s">
        <v>1863</v>
      </c>
    </row>
    <row r="308" spans="1:35">
      <c r="A308">
        <v>306</v>
      </c>
      <c r="B308" t="s">
        <v>2229</v>
      </c>
      <c r="C308">
        <v>560</v>
      </c>
      <c r="D308" t="s">
        <v>1822</v>
      </c>
      <c r="E308" t="s">
        <v>2180</v>
      </c>
      <c r="F308" t="s">
        <v>2081</v>
      </c>
      <c r="G308" t="s">
        <v>193</v>
      </c>
      <c r="H308" t="s">
        <v>2086</v>
      </c>
      <c r="I308" t="s">
        <v>2094</v>
      </c>
      <c r="J308" t="s">
        <v>2213</v>
      </c>
      <c r="N308" t="s">
        <v>828</v>
      </c>
      <c r="S308" t="s">
        <v>788</v>
      </c>
      <c r="T308" t="s">
        <v>2230</v>
      </c>
      <c r="U308" t="s">
        <v>2231</v>
      </c>
      <c r="V308" t="s">
        <v>876</v>
      </c>
      <c r="W308">
        <v>35234</v>
      </c>
      <c r="X308">
        <v>29</v>
      </c>
      <c r="Y308" t="s">
        <v>2232</v>
      </c>
      <c r="Z308" t="s">
        <v>2233</v>
      </c>
      <c r="AA308" t="s">
        <v>842</v>
      </c>
      <c r="AB308" t="s">
        <v>843</v>
      </c>
      <c r="AC308" t="s">
        <v>809</v>
      </c>
      <c r="AD308" t="s">
        <v>809</v>
      </c>
      <c r="AE308" t="s">
        <v>2218</v>
      </c>
      <c r="AH308" t="s">
        <v>976</v>
      </c>
      <c r="AI308" t="s">
        <v>1863</v>
      </c>
    </row>
    <row r="309" spans="1:35">
      <c r="A309">
        <v>307</v>
      </c>
      <c r="B309" t="s">
        <v>2234</v>
      </c>
      <c r="C309">
        <v>562</v>
      </c>
      <c r="D309" t="s">
        <v>1822</v>
      </c>
      <c r="E309" t="s">
        <v>2180</v>
      </c>
      <c r="F309" t="s">
        <v>2081</v>
      </c>
      <c r="G309" t="s">
        <v>193</v>
      </c>
      <c r="H309" t="s">
        <v>2086</v>
      </c>
      <c r="I309" t="s">
        <v>2094</v>
      </c>
      <c r="J309" t="s">
        <v>2213</v>
      </c>
      <c r="N309" t="s">
        <v>828</v>
      </c>
      <c r="S309" t="s">
        <v>874</v>
      </c>
      <c r="T309" t="s">
        <v>2235</v>
      </c>
      <c r="U309" t="s">
        <v>2236</v>
      </c>
      <c r="V309" t="s">
        <v>876</v>
      </c>
      <c r="W309">
        <v>35316</v>
      </c>
      <c r="X309">
        <v>29</v>
      </c>
      <c r="Y309" t="s">
        <v>2237</v>
      </c>
      <c r="Z309" t="s">
        <v>2238</v>
      </c>
      <c r="AA309" t="s">
        <v>842</v>
      </c>
      <c r="AB309" t="s">
        <v>851</v>
      </c>
      <c r="AC309" t="s">
        <v>809</v>
      </c>
      <c r="AD309" t="s">
        <v>809</v>
      </c>
      <c r="AE309" t="s">
        <v>2239</v>
      </c>
      <c r="AH309" t="s">
        <v>832</v>
      </c>
      <c r="AI309" t="s">
        <v>1863</v>
      </c>
    </row>
    <row r="310" spans="1:35">
      <c r="A310">
        <v>308</v>
      </c>
      <c r="B310" t="s">
        <v>2240</v>
      </c>
      <c r="C310">
        <v>564</v>
      </c>
      <c r="D310" t="s">
        <v>1822</v>
      </c>
      <c r="E310" t="s">
        <v>2180</v>
      </c>
      <c r="F310" t="s">
        <v>2081</v>
      </c>
      <c r="G310" t="s">
        <v>193</v>
      </c>
      <c r="H310" t="s">
        <v>2086</v>
      </c>
      <c r="I310" t="s">
        <v>2094</v>
      </c>
      <c r="J310" t="s">
        <v>2213</v>
      </c>
      <c r="N310" t="s">
        <v>828</v>
      </c>
      <c r="S310" t="s">
        <v>788</v>
      </c>
      <c r="T310" t="s">
        <v>2241</v>
      </c>
      <c r="U310" t="s">
        <v>2242</v>
      </c>
      <c r="V310" t="s">
        <v>876</v>
      </c>
      <c r="W310">
        <v>34953</v>
      </c>
      <c r="X310">
        <v>30</v>
      </c>
      <c r="Y310" t="s">
        <v>2243</v>
      </c>
      <c r="AA310" t="s">
        <v>842</v>
      </c>
      <c r="AB310" t="s">
        <v>843</v>
      </c>
      <c r="AC310" t="s">
        <v>809</v>
      </c>
      <c r="AD310" t="s">
        <v>809</v>
      </c>
      <c r="AE310" t="s">
        <v>2085</v>
      </c>
      <c r="AG310" t="s">
        <v>2244</v>
      </c>
      <c r="AH310" t="s">
        <v>1535</v>
      </c>
      <c r="AI310" t="s">
        <v>1805</v>
      </c>
    </row>
    <row r="311" spans="1:35">
      <c r="A311">
        <v>309</v>
      </c>
      <c r="B311" t="s">
        <v>2090</v>
      </c>
      <c r="C311">
        <v>565</v>
      </c>
      <c r="E311" t="s">
        <v>2180</v>
      </c>
      <c r="F311" t="s">
        <v>2081</v>
      </c>
      <c r="G311" t="s">
        <v>193</v>
      </c>
      <c r="H311" t="s">
        <v>2086</v>
      </c>
      <c r="I311" t="s">
        <v>2090</v>
      </c>
      <c r="J311" t="s">
        <v>786</v>
      </c>
      <c r="N311" t="s">
        <v>938</v>
      </c>
      <c r="P311" t="s">
        <v>49</v>
      </c>
      <c r="Q311" t="s">
        <v>168</v>
      </c>
      <c r="T311" t="s">
        <v>212</v>
      </c>
      <c r="U311" t="s">
        <v>2091</v>
      </c>
      <c r="V311" t="s">
        <v>876</v>
      </c>
      <c r="W311">
        <v>21600</v>
      </c>
      <c r="X311">
        <v>66</v>
      </c>
      <c r="Y311" t="s">
        <v>2092</v>
      </c>
      <c r="AA311" t="s">
        <v>802</v>
      </c>
      <c r="AB311" t="s">
        <v>794</v>
      </c>
      <c r="AC311" t="s">
        <v>809</v>
      </c>
      <c r="AD311" t="s">
        <v>809</v>
      </c>
      <c r="AE311" t="s">
        <v>2085</v>
      </c>
      <c r="AF311" t="s">
        <v>872</v>
      </c>
    </row>
    <row r="312" spans="1:35">
      <c r="A312">
        <v>310</v>
      </c>
      <c r="B312" t="s">
        <v>2245</v>
      </c>
      <c r="C312">
        <v>567</v>
      </c>
      <c r="D312" t="s">
        <v>1822</v>
      </c>
      <c r="E312" t="s">
        <v>2180</v>
      </c>
      <c r="F312" t="s">
        <v>2081</v>
      </c>
      <c r="G312" t="s">
        <v>193</v>
      </c>
      <c r="H312" t="s">
        <v>2086</v>
      </c>
      <c r="I312" t="s">
        <v>2090</v>
      </c>
      <c r="J312" t="s">
        <v>786</v>
      </c>
      <c r="N312" t="s">
        <v>938</v>
      </c>
      <c r="S312" t="s">
        <v>874</v>
      </c>
      <c r="T312" t="s">
        <v>339</v>
      </c>
      <c r="U312" t="s">
        <v>2246</v>
      </c>
      <c r="V312" t="s">
        <v>876</v>
      </c>
      <c r="W312">
        <v>22712</v>
      </c>
      <c r="X312">
        <v>63</v>
      </c>
      <c r="Y312" t="s">
        <v>2247</v>
      </c>
      <c r="Z312" t="s">
        <v>2248</v>
      </c>
      <c r="AA312" t="s">
        <v>842</v>
      </c>
      <c r="AB312" t="s">
        <v>843</v>
      </c>
      <c r="AC312" t="s">
        <v>942</v>
      </c>
      <c r="AD312" t="s">
        <v>942</v>
      </c>
      <c r="AE312" t="s">
        <v>2249</v>
      </c>
      <c r="AH312" t="s">
        <v>1852</v>
      </c>
      <c r="AI312" t="s">
        <v>1863</v>
      </c>
    </row>
    <row r="313" spans="1:35">
      <c r="A313">
        <v>311</v>
      </c>
      <c r="B313" t="s">
        <v>2250</v>
      </c>
      <c r="C313">
        <v>569</v>
      </c>
      <c r="D313" t="s">
        <v>1822</v>
      </c>
      <c r="E313" t="s">
        <v>2180</v>
      </c>
      <c r="F313" t="s">
        <v>2081</v>
      </c>
      <c r="G313" t="s">
        <v>193</v>
      </c>
      <c r="H313" t="s">
        <v>2086</v>
      </c>
      <c r="I313" t="s">
        <v>2090</v>
      </c>
      <c r="J313" t="s">
        <v>786</v>
      </c>
      <c r="N313" t="s">
        <v>938</v>
      </c>
      <c r="S313" t="s">
        <v>874</v>
      </c>
      <c r="T313" t="s">
        <v>353</v>
      </c>
      <c r="U313" t="s">
        <v>2251</v>
      </c>
      <c r="V313" t="s">
        <v>876</v>
      </c>
      <c r="W313">
        <v>24504</v>
      </c>
      <c r="X313">
        <v>58</v>
      </c>
      <c r="Y313" t="s">
        <v>2252</v>
      </c>
      <c r="Z313" t="s">
        <v>2253</v>
      </c>
      <c r="AA313" t="s">
        <v>842</v>
      </c>
      <c r="AB313" t="s">
        <v>843</v>
      </c>
      <c r="AC313" t="s">
        <v>942</v>
      </c>
      <c r="AD313" t="s">
        <v>942</v>
      </c>
      <c r="AE313" t="s">
        <v>2179</v>
      </c>
      <c r="AH313" t="s">
        <v>1852</v>
      </c>
      <c r="AI313" t="s">
        <v>1863</v>
      </c>
    </row>
    <row r="314" spans="1:35">
      <c r="A314">
        <v>312</v>
      </c>
      <c r="B314" t="s">
        <v>2254</v>
      </c>
      <c r="C314">
        <v>571</v>
      </c>
      <c r="D314" t="s">
        <v>1822</v>
      </c>
      <c r="E314" t="s">
        <v>2180</v>
      </c>
      <c r="F314" t="s">
        <v>2081</v>
      </c>
      <c r="G314" t="s">
        <v>193</v>
      </c>
      <c r="H314" t="s">
        <v>2086</v>
      </c>
      <c r="I314" t="s">
        <v>2090</v>
      </c>
      <c r="J314" t="s">
        <v>786</v>
      </c>
      <c r="N314" t="s">
        <v>938</v>
      </c>
      <c r="S314" t="s">
        <v>874</v>
      </c>
      <c r="T314" t="s">
        <v>367</v>
      </c>
      <c r="U314" t="s">
        <v>2255</v>
      </c>
      <c r="V314" t="s">
        <v>876</v>
      </c>
      <c r="W314">
        <v>30050</v>
      </c>
      <c r="X314">
        <v>43</v>
      </c>
      <c r="Y314" t="s">
        <v>2256</v>
      </c>
      <c r="Z314" t="s">
        <v>2257</v>
      </c>
      <c r="AA314" t="s">
        <v>842</v>
      </c>
      <c r="AB314" t="s">
        <v>843</v>
      </c>
      <c r="AC314" t="s">
        <v>942</v>
      </c>
      <c r="AD314" t="s">
        <v>942</v>
      </c>
      <c r="AE314" t="s">
        <v>2258</v>
      </c>
      <c r="AH314" t="s">
        <v>1852</v>
      </c>
      <c r="AI314" t="s">
        <v>1863</v>
      </c>
    </row>
    <row r="315" spans="1:35">
      <c r="A315">
        <v>313</v>
      </c>
      <c r="B315" t="s">
        <v>2259</v>
      </c>
      <c r="C315">
        <v>573</v>
      </c>
      <c r="D315" t="s">
        <v>1822</v>
      </c>
      <c r="E315" t="s">
        <v>2180</v>
      </c>
      <c r="F315" t="s">
        <v>2081</v>
      </c>
      <c r="G315" t="s">
        <v>193</v>
      </c>
      <c r="H315" t="s">
        <v>2086</v>
      </c>
      <c r="I315" t="s">
        <v>2090</v>
      </c>
      <c r="J315" t="s">
        <v>786</v>
      </c>
      <c r="N315" t="s">
        <v>938</v>
      </c>
      <c r="S315" t="s">
        <v>874</v>
      </c>
      <c r="T315" t="s">
        <v>380</v>
      </c>
      <c r="U315" t="s">
        <v>2260</v>
      </c>
      <c r="V315" t="s">
        <v>876</v>
      </c>
      <c r="W315">
        <v>32103</v>
      </c>
      <c r="X315">
        <v>38</v>
      </c>
      <c r="Y315" t="s">
        <v>2261</v>
      </c>
      <c r="AA315" t="s">
        <v>842</v>
      </c>
      <c r="AB315" t="s">
        <v>843</v>
      </c>
      <c r="AC315" t="s">
        <v>942</v>
      </c>
      <c r="AD315" t="s">
        <v>942</v>
      </c>
      <c r="AE315" t="s">
        <v>2262</v>
      </c>
      <c r="AG315" t="s">
        <v>2263</v>
      </c>
      <c r="AH315" t="s">
        <v>1852</v>
      </c>
      <c r="AI315" t="s">
        <v>1805</v>
      </c>
    </row>
    <row r="316" spans="1:35">
      <c r="A316">
        <v>314</v>
      </c>
      <c r="B316" t="s">
        <v>2264</v>
      </c>
      <c r="C316">
        <v>575</v>
      </c>
      <c r="D316" t="s">
        <v>981</v>
      </c>
      <c r="E316" t="s">
        <v>2265</v>
      </c>
      <c r="F316" t="s">
        <v>1144</v>
      </c>
      <c r="G316" t="s">
        <v>175</v>
      </c>
      <c r="H316" t="s">
        <v>2264</v>
      </c>
      <c r="I316" t="s">
        <v>2264</v>
      </c>
      <c r="J316" t="s">
        <v>2266</v>
      </c>
      <c r="K316" t="s">
        <v>2267</v>
      </c>
      <c r="N316" t="s">
        <v>787</v>
      </c>
      <c r="P316" t="s">
        <v>49</v>
      </c>
      <c r="Q316" t="s">
        <v>168</v>
      </c>
      <c r="S316" t="s">
        <v>799</v>
      </c>
      <c r="T316" t="s">
        <v>175</v>
      </c>
      <c r="U316" t="s">
        <v>2268</v>
      </c>
      <c r="V316" t="s">
        <v>790</v>
      </c>
      <c r="W316">
        <v>24646</v>
      </c>
      <c r="X316">
        <v>58</v>
      </c>
      <c r="Y316" t="s">
        <v>2269</v>
      </c>
      <c r="Z316" t="s">
        <v>2270</v>
      </c>
      <c r="AA316" t="s">
        <v>802</v>
      </c>
      <c r="AB316" t="s">
        <v>794</v>
      </c>
      <c r="AC316" t="s">
        <v>815</v>
      </c>
      <c r="AD316" t="s">
        <v>815</v>
      </c>
      <c r="AE316" t="s">
        <v>2271</v>
      </c>
      <c r="AH316" t="s">
        <v>1535</v>
      </c>
    </row>
    <row r="317" spans="1:35">
      <c r="A317">
        <v>315</v>
      </c>
      <c r="B317" t="s">
        <v>2266</v>
      </c>
      <c r="C317">
        <v>577</v>
      </c>
      <c r="D317" t="s">
        <v>981</v>
      </c>
      <c r="E317" t="s">
        <v>2265</v>
      </c>
      <c r="F317" t="s">
        <v>1144</v>
      </c>
      <c r="G317" t="s">
        <v>175</v>
      </c>
      <c r="H317" t="s">
        <v>2264</v>
      </c>
      <c r="I317" t="s">
        <v>2264</v>
      </c>
      <c r="J317" t="s">
        <v>2266</v>
      </c>
      <c r="K317" t="s">
        <v>2267</v>
      </c>
      <c r="N317" t="s">
        <v>787</v>
      </c>
      <c r="P317" t="s">
        <v>62</v>
      </c>
      <c r="Q317" t="s">
        <v>548</v>
      </c>
      <c r="R317" t="s">
        <v>2272</v>
      </c>
      <c r="S317" t="s">
        <v>799</v>
      </c>
      <c r="T317" t="s">
        <v>196</v>
      </c>
      <c r="U317" t="s">
        <v>2273</v>
      </c>
      <c r="V317" t="s">
        <v>790</v>
      </c>
      <c r="W317">
        <v>24767</v>
      </c>
      <c r="X317">
        <v>58</v>
      </c>
      <c r="Y317" t="s">
        <v>2274</v>
      </c>
      <c r="Z317" t="s">
        <v>2275</v>
      </c>
      <c r="AA317" t="s">
        <v>842</v>
      </c>
      <c r="AB317" t="s">
        <v>851</v>
      </c>
      <c r="AC317" t="s">
        <v>815</v>
      </c>
      <c r="AD317" t="s">
        <v>815</v>
      </c>
      <c r="AE317" t="s">
        <v>2276</v>
      </c>
      <c r="AH317" t="s">
        <v>1852</v>
      </c>
    </row>
    <row r="318" spans="1:35">
      <c r="A318">
        <v>316</v>
      </c>
      <c r="B318" t="s">
        <v>2267</v>
      </c>
      <c r="C318">
        <v>579</v>
      </c>
      <c r="D318" t="s">
        <v>981</v>
      </c>
      <c r="E318" t="s">
        <v>2265</v>
      </c>
      <c r="F318" t="s">
        <v>1144</v>
      </c>
      <c r="G318" t="s">
        <v>175</v>
      </c>
      <c r="H318" t="s">
        <v>2264</v>
      </c>
      <c r="I318" t="s">
        <v>2264</v>
      </c>
      <c r="J318" t="s">
        <v>2266</v>
      </c>
      <c r="K318" t="s">
        <v>2267</v>
      </c>
      <c r="N318" t="s">
        <v>787</v>
      </c>
      <c r="O318" t="s">
        <v>308</v>
      </c>
      <c r="P318" t="s">
        <v>62</v>
      </c>
      <c r="Q318" t="s">
        <v>548</v>
      </c>
      <c r="S318" t="s">
        <v>799</v>
      </c>
      <c r="T318" t="s">
        <v>254</v>
      </c>
      <c r="U318" t="s">
        <v>2277</v>
      </c>
      <c r="V318" t="s">
        <v>790</v>
      </c>
      <c r="W318">
        <v>27502</v>
      </c>
      <c r="X318">
        <v>50</v>
      </c>
      <c r="Y318" t="s">
        <v>2278</v>
      </c>
      <c r="Z318" t="s">
        <v>2279</v>
      </c>
      <c r="AA318" t="s">
        <v>842</v>
      </c>
      <c r="AB318" t="s">
        <v>843</v>
      </c>
      <c r="AC318" t="s">
        <v>815</v>
      </c>
      <c r="AD318" t="s">
        <v>815</v>
      </c>
      <c r="AE318" t="s">
        <v>1282</v>
      </c>
      <c r="AH318" t="s">
        <v>1497</v>
      </c>
    </row>
    <row r="319" spans="1:35">
      <c r="A319">
        <v>317</v>
      </c>
      <c r="B319" t="s">
        <v>2280</v>
      </c>
      <c r="C319">
        <v>581</v>
      </c>
      <c r="D319" t="s">
        <v>981</v>
      </c>
      <c r="E319" t="s">
        <v>2265</v>
      </c>
      <c r="F319" t="s">
        <v>1144</v>
      </c>
      <c r="G319" t="s">
        <v>175</v>
      </c>
      <c r="H319" t="s">
        <v>2264</v>
      </c>
      <c r="I319" t="s">
        <v>2264</v>
      </c>
      <c r="J319" t="s">
        <v>2266</v>
      </c>
      <c r="K319" t="s">
        <v>2267</v>
      </c>
      <c r="N319" t="s">
        <v>787</v>
      </c>
      <c r="R319" t="s">
        <v>2272</v>
      </c>
      <c r="S319" t="s">
        <v>799</v>
      </c>
      <c r="T319" t="s">
        <v>216</v>
      </c>
      <c r="U319" t="s">
        <v>2281</v>
      </c>
      <c r="V319" t="s">
        <v>790</v>
      </c>
      <c r="W319">
        <v>28064</v>
      </c>
      <c r="X319">
        <v>49</v>
      </c>
      <c r="Y319" t="s">
        <v>2282</v>
      </c>
      <c r="AA319" t="s">
        <v>842</v>
      </c>
      <c r="AB319" t="s">
        <v>851</v>
      </c>
      <c r="AC319" t="s">
        <v>815</v>
      </c>
      <c r="AD319" t="s">
        <v>815</v>
      </c>
      <c r="AE319" t="s">
        <v>2283</v>
      </c>
      <c r="AH319" t="s">
        <v>1852</v>
      </c>
    </row>
    <row r="320" spans="1:35">
      <c r="A320">
        <v>318</v>
      </c>
      <c r="B320" t="s">
        <v>2284</v>
      </c>
      <c r="C320">
        <v>583</v>
      </c>
      <c r="D320" t="s">
        <v>811</v>
      </c>
      <c r="E320" t="s">
        <v>2265</v>
      </c>
      <c r="F320" t="s">
        <v>1144</v>
      </c>
      <c r="G320" t="s">
        <v>175</v>
      </c>
      <c r="H320" t="s">
        <v>2264</v>
      </c>
      <c r="I320" t="s">
        <v>2264</v>
      </c>
      <c r="J320" t="s">
        <v>2266</v>
      </c>
      <c r="K320" t="s">
        <v>2267</v>
      </c>
      <c r="N320" t="s">
        <v>787</v>
      </c>
      <c r="S320" t="s">
        <v>799</v>
      </c>
      <c r="T320" t="s">
        <v>2285</v>
      </c>
      <c r="U320" t="s">
        <v>2286</v>
      </c>
      <c r="V320" t="s">
        <v>790</v>
      </c>
      <c r="W320">
        <v>28563</v>
      </c>
      <c r="X320">
        <v>47</v>
      </c>
      <c r="Y320" t="s">
        <v>2287</v>
      </c>
      <c r="Z320" t="s">
        <v>2288</v>
      </c>
      <c r="AA320" t="s">
        <v>842</v>
      </c>
      <c r="AB320" t="s">
        <v>843</v>
      </c>
      <c r="AC320" t="s">
        <v>1289</v>
      </c>
      <c r="AD320" t="s">
        <v>1289</v>
      </c>
      <c r="AE320" t="s">
        <v>2289</v>
      </c>
      <c r="AH320" t="s">
        <v>1497</v>
      </c>
    </row>
    <row r="321" spans="1:34">
      <c r="A321">
        <v>319</v>
      </c>
      <c r="B321" t="s">
        <v>2290</v>
      </c>
      <c r="C321">
        <v>585</v>
      </c>
      <c r="D321" t="s">
        <v>981</v>
      </c>
      <c r="E321" t="s">
        <v>2265</v>
      </c>
      <c r="F321" t="s">
        <v>1144</v>
      </c>
      <c r="G321" t="s">
        <v>175</v>
      </c>
      <c r="H321" t="s">
        <v>2264</v>
      </c>
      <c r="I321" t="s">
        <v>2264</v>
      </c>
      <c r="J321" t="s">
        <v>2266</v>
      </c>
      <c r="K321" t="s">
        <v>2267</v>
      </c>
      <c r="N321" t="s">
        <v>787</v>
      </c>
      <c r="S321" t="s">
        <v>799</v>
      </c>
      <c r="T321" t="s">
        <v>281</v>
      </c>
      <c r="U321" t="s">
        <v>2291</v>
      </c>
      <c r="V321" t="s">
        <v>790</v>
      </c>
      <c r="W321">
        <v>29749</v>
      </c>
      <c r="X321">
        <v>44</v>
      </c>
      <c r="Y321" t="s">
        <v>2292</v>
      </c>
      <c r="AA321" t="s">
        <v>842</v>
      </c>
      <c r="AB321" t="s">
        <v>843</v>
      </c>
      <c r="AC321" t="s">
        <v>815</v>
      </c>
      <c r="AD321" t="s">
        <v>815</v>
      </c>
      <c r="AE321" t="s">
        <v>2004</v>
      </c>
      <c r="AH321" t="s">
        <v>1497</v>
      </c>
    </row>
    <row r="322" spans="1:34">
      <c r="A322">
        <v>320</v>
      </c>
      <c r="B322" t="s">
        <v>2293</v>
      </c>
      <c r="C322">
        <v>587</v>
      </c>
      <c r="D322" t="s">
        <v>981</v>
      </c>
      <c r="E322" t="s">
        <v>2265</v>
      </c>
      <c r="F322" t="s">
        <v>1144</v>
      </c>
      <c r="G322" t="s">
        <v>175</v>
      </c>
      <c r="H322" t="s">
        <v>2264</v>
      </c>
      <c r="I322" t="s">
        <v>2264</v>
      </c>
      <c r="J322" t="s">
        <v>2266</v>
      </c>
      <c r="K322" t="s">
        <v>2267</v>
      </c>
      <c r="N322" t="s">
        <v>787</v>
      </c>
      <c r="S322" t="s">
        <v>799</v>
      </c>
      <c r="T322" t="s">
        <v>290</v>
      </c>
      <c r="U322" t="s">
        <v>2294</v>
      </c>
      <c r="V322" t="s">
        <v>790</v>
      </c>
      <c r="W322">
        <v>30427</v>
      </c>
      <c r="X322">
        <v>42</v>
      </c>
      <c r="Y322" t="s">
        <v>2295</v>
      </c>
      <c r="Z322" t="s">
        <v>2296</v>
      </c>
      <c r="AA322" t="s">
        <v>842</v>
      </c>
      <c r="AB322" t="s">
        <v>843</v>
      </c>
      <c r="AC322" t="s">
        <v>815</v>
      </c>
      <c r="AD322" t="s">
        <v>815</v>
      </c>
      <c r="AE322" t="s">
        <v>2297</v>
      </c>
      <c r="AH322" t="s">
        <v>1497</v>
      </c>
    </row>
    <row r="323" spans="1:34">
      <c r="A323">
        <v>321</v>
      </c>
      <c r="B323" t="s">
        <v>2298</v>
      </c>
      <c r="C323">
        <v>589</v>
      </c>
      <c r="D323" t="s">
        <v>981</v>
      </c>
      <c r="E323" t="s">
        <v>2265</v>
      </c>
      <c r="F323" t="s">
        <v>1144</v>
      </c>
      <c r="G323" t="s">
        <v>175</v>
      </c>
      <c r="H323" t="s">
        <v>2264</v>
      </c>
      <c r="I323" t="s">
        <v>2264</v>
      </c>
      <c r="J323" t="s">
        <v>2266</v>
      </c>
      <c r="K323" t="s">
        <v>2267</v>
      </c>
      <c r="N323" t="s">
        <v>787</v>
      </c>
      <c r="O323" t="s">
        <v>308</v>
      </c>
      <c r="S323" t="s">
        <v>898</v>
      </c>
      <c r="T323" t="s">
        <v>295</v>
      </c>
      <c r="U323" t="s">
        <v>2299</v>
      </c>
      <c r="V323" t="s">
        <v>790</v>
      </c>
      <c r="W323">
        <v>18451</v>
      </c>
      <c r="X323">
        <v>75</v>
      </c>
      <c r="Y323" t="s">
        <v>2300</v>
      </c>
      <c r="AA323" t="s">
        <v>842</v>
      </c>
      <c r="AB323" t="s">
        <v>843</v>
      </c>
      <c r="AC323" t="s">
        <v>815</v>
      </c>
      <c r="AD323" t="s">
        <v>815</v>
      </c>
      <c r="AE323" t="s">
        <v>2301</v>
      </c>
      <c r="AH323" t="s">
        <v>1087</v>
      </c>
    </row>
    <row r="324" spans="1:34">
      <c r="A324">
        <v>322</v>
      </c>
      <c r="B324" t="s">
        <v>2302</v>
      </c>
      <c r="C324">
        <v>591</v>
      </c>
      <c r="D324" t="s">
        <v>981</v>
      </c>
      <c r="E324" t="s">
        <v>2265</v>
      </c>
      <c r="F324" t="s">
        <v>1144</v>
      </c>
      <c r="G324" t="s">
        <v>175</v>
      </c>
      <c r="H324" t="s">
        <v>2264</v>
      </c>
      <c r="I324" t="s">
        <v>2264</v>
      </c>
      <c r="J324" t="s">
        <v>2266</v>
      </c>
      <c r="K324" t="s">
        <v>2267</v>
      </c>
      <c r="N324" t="s">
        <v>787</v>
      </c>
      <c r="O324" t="s">
        <v>308</v>
      </c>
      <c r="S324" t="s">
        <v>799</v>
      </c>
      <c r="T324" t="s">
        <v>300</v>
      </c>
      <c r="U324" t="s">
        <v>2303</v>
      </c>
      <c r="V324" t="s">
        <v>790</v>
      </c>
      <c r="W324">
        <v>25791</v>
      </c>
      <c r="X324">
        <v>55</v>
      </c>
      <c r="Y324" t="s">
        <v>2304</v>
      </c>
      <c r="Z324" t="s">
        <v>2305</v>
      </c>
      <c r="AA324" t="s">
        <v>842</v>
      </c>
      <c r="AB324" t="s">
        <v>851</v>
      </c>
      <c r="AC324" t="s">
        <v>815</v>
      </c>
      <c r="AD324" t="s">
        <v>815</v>
      </c>
      <c r="AE324" t="s">
        <v>2306</v>
      </c>
      <c r="AH324" t="s">
        <v>1087</v>
      </c>
    </row>
    <row r="325" spans="1:34">
      <c r="A325">
        <v>323</v>
      </c>
      <c r="B325" t="s">
        <v>2307</v>
      </c>
      <c r="C325">
        <v>593</v>
      </c>
      <c r="D325" t="s">
        <v>811</v>
      </c>
      <c r="E325" t="s">
        <v>2265</v>
      </c>
      <c r="F325" t="s">
        <v>1144</v>
      </c>
      <c r="G325" t="s">
        <v>175</v>
      </c>
      <c r="H325" t="s">
        <v>2264</v>
      </c>
      <c r="I325" t="s">
        <v>2264</v>
      </c>
      <c r="J325" t="s">
        <v>2266</v>
      </c>
      <c r="K325" t="s">
        <v>2267</v>
      </c>
      <c r="N325" t="s">
        <v>787</v>
      </c>
      <c r="S325" t="s">
        <v>799</v>
      </c>
      <c r="T325" t="s">
        <v>235</v>
      </c>
      <c r="U325" t="s">
        <v>2308</v>
      </c>
      <c r="V325" t="s">
        <v>790</v>
      </c>
      <c r="W325">
        <v>29343</v>
      </c>
      <c r="X325">
        <v>45</v>
      </c>
      <c r="Y325" t="s">
        <v>2309</v>
      </c>
      <c r="Z325" t="s">
        <v>2310</v>
      </c>
      <c r="AA325" t="s">
        <v>842</v>
      </c>
      <c r="AB325" t="s">
        <v>843</v>
      </c>
      <c r="AC325" t="s">
        <v>713</v>
      </c>
      <c r="AD325" t="s">
        <v>815</v>
      </c>
      <c r="AE325" t="s">
        <v>2311</v>
      </c>
      <c r="AF325" t="s">
        <v>1571</v>
      </c>
      <c r="AG325" t="s">
        <v>2312</v>
      </c>
      <c r="AH325" t="s">
        <v>1852</v>
      </c>
    </row>
    <row r="326" spans="1:34">
      <c r="A326">
        <v>324</v>
      </c>
      <c r="B326" t="s">
        <v>2313</v>
      </c>
      <c r="C326">
        <v>595</v>
      </c>
      <c r="D326" t="s">
        <v>981</v>
      </c>
      <c r="E326" t="s">
        <v>2265</v>
      </c>
      <c r="F326" t="s">
        <v>1144</v>
      </c>
      <c r="G326" t="s">
        <v>175</v>
      </c>
      <c r="H326" t="s">
        <v>2264</v>
      </c>
      <c r="I326" t="s">
        <v>2264</v>
      </c>
      <c r="J326" t="s">
        <v>2266</v>
      </c>
      <c r="K326" t="s">
        <v>2267</v>
      </c>
      <c r="N326" t="s">
        <v>787</v>
      </c>
      <c r="S326" t="s">
        <v>788</v>
      </c>
      <c r="T326" t="s">
        <v>2314</v>
      </c>
      <c r="U326" t="s">
        <v>2315</v>
      </c>
      <c r="V326" t="s">
        <v>790</v>
      </c>
      <c r="W326">
        <v>35416</v>
      </c>
      <c r="X326">
        <v>29</v>
      </c>
      <c r="Z326" t="s">
        <v>2316</v>
      </c>
      <c r="AA326" t="s">
        <v>842</v>
      </c>
      <c r="AB326" t="s">
        <v>851</v>
      </c>
      <c r="AC326" t="s">
        <v>815</v>
      </c>
      <c r="AD326" t="s">
        <v>815</v>
      </c>
      <c r="AE326" t="s">
        <v>2317</v>
      </c>
      <c r="AF326" t="s">
        <v>1571</v>
      </c>
      <c r="AG326" t="s">
        <v>2318</v>
      </c>
    </row>
    <row r="327" spans="1:34">
      <c r="A327">
        <v>325</v>
      </c>
      <c r="B327" t="s">
        <v>2319</v>
      </c>
      <c r="C327">
        <v>597</v>
      </c>
      <c r="D327" t="s">
        <v>981</v>
      </c>
      <c r="E327" t="s">
        <v>2265</v>
      </c>
      <c r="F327" t="s">
        <v>1144</v>
      </c>
      <c r="G327" t="s">
        <v>175</v>
      </c>
      <c r="H327" t="s">
        <v>2264</v>
      </c>
      <c r="I327" t="s">
        <v>2319</v>
      </c>
      <c r="J327" t="s">
        <v>2320</v>
      </c>
      <c r="N327" t="s">
        <v>828</v>
      </c>
      <c r="P327" t="s">
        <v>49</v>
      </c>
      <c r="Q327" t="s">
        <v>168</v>
      </c>
      <c r="S327" t="s">
        <v>799</v>
      </c>
      <c r="T327" t="s">
        <v>2321</v>
      </c>
      <c r="U327" t="s">
        <v>2322</v>
      </c>
      <c r="V327" t="s">
        <v>790</v>
      </c>
      <c r="W327">
        <v>26171</v>
      </c>
      <c r="X327">
        <v>54</v>
      </c>
      <c r="Y327" t="s">
        <v>2323</v>
      </c>
      <c r="Z327" t="s">
        <v>2324</v>
      </c>
      <c r="AA327" t="s">
        <v>802</v>
      </c>
      <c r="AB327" t="s">
        <v>794</v>
      </c>
      <c r="AC327" t="s">
        <v>815</v>
      </c>
      <c r="AD327" t="s">
        <v>815</v>
      </c>
      <c r="AE327" t="s">
        <v>2317</v>
      </c>
    </row>
    <row r="328" spans="1:34">
      <c r="A328">
        <v>326</v>
      </c>
      <c r="B328" t="s">
        <v>2320</v>
      </c>
      <c r="C328">
        <v>599</v>
      </c>
      <c r="D328" t="s">
        <v>981</v>
      </c>
      <c r="E328" t="s">
        <v>2265</v>
      </c>
      <c r="F328" t="s">
        <v>1144</v>
      </c>
      <c r="G328" t="s">
        <v>175</v>
      </c>
      <c r="H328" t="s">
        <v>2264</v>
      </c>
      <c r="I328" t="s">
        <v>2319</v>
      </c>
      <c r="J328" t="s">
        <v>2320</v>
      </c>
      <c r="N328" t="s">
        <v>828</v>
      </c>
      <c r="P328" t="s">
        <v>62</v>
      </c>
      <c r="Q328" t="s">
        <v>548</v>
      </c>
      <c r="S328" t="s">
        <v>799</v>
      </c>
      <c r="T328" t="s">
        <v>2325</v>
      </c>
      <c r="U328" t="s">
        <v>2326</v>
      </c>
      <c r="V328" t="s">
        <v>790</v>
      </c>
      <c r="W328">
        <v>27634</v>
      </c>
      <c r="X328">
        <v>50</v>
      </c>
      <c r="Y328" t="s">
        <v>2327</v>
      </c>
      <c r="Z328" t="s">
        <v>2328</v>
      </c>
      <c r="AA328" t="s">
        <v>802</v>
      </c>
      <c r="AB328" t="s">
        <v>794</v>
      </c>
      <c r="AC328" t="s">
        <v>815</v>
      </c>
      <c r="AD328" t="s">
        <v>815</v>
      </c>
      <c r="AE328" t="s">
        <v>1282</v>
      </c>
      <c r="AH328" t="s">
        <v>903</v>
      </c>
    </row>
    <row r="329" spans="1:34">
      <c r="A329">
        <v>327</v>
      </c>
      <c r="B329" t="s">
        <v>2329</v>
      </c>
      <c r="C329">
        <v>601</v>
      </c>
      <c r="D329" t="s">
        <v>981</v>
      </c>
      <c r="E329" t="s">
        <v>2265</v>
      </c>
      <c r="F329" t="s">
        <v>1144</v>
      </c>
      <c r="G329" t="s">
        <v>175</v>
      </c>
      <c r="H329" t="s">
        <v>2264</v>
      </c>
      <c r="I329" t="s">
        <v>2319</v>
      </c>
      <c r="J329" t="s">
        <v>2320</v>
      </c>
      <c r="N329" t="s">
        <v>828</v>
      </c>
      <c r="S329" t="s">
        <v>799</v>
      </c>
      <c r="T329" t="s">
        <v>291</v>
      </c>
      <c r="U329" t="s">
        <v>2330</v>
      </c>
      <c r="V329" t="s">
        <v>790</v>
      </c>
      <c r="W329">
        <v>26832</v>
      </c>
      <c r="X329">
        <v>52</v>
      </c>
      <c r="Y329" t="s">
        <v>2331</v>
      </c>
      <c r="Z329" t="s">
        <v>2332</v>
      </c>
      <c r="AA329" t="s">
        <v>842</v>
      </c>
      <c r="AB329" t="s">
        <v>851</v>
      </c>
      <c r="AC329" t="s">
        <v>815</v>
      </c>
      <c r="AD329" t="s">
        <v>815</v>
      </c>
      <c r="AE329" t="s">
        <v>2333</v>
      </c>
      <c r="AH329" t="s">
        <v>867</v>
      </c>
    </row>
    <row r="330" spans="1:34">
      <c r="A330">
        <v>328</v>
      </c>
      <c r="B330" t="s">
        <v>2334</v>
      </c>
      <c r="C330">
        <v>603</v>
      </c>
      <c r="D330" t="s">
        <v>1001</v>
      </c>
      <c r="E330" t="s">
        <v>2265</v>
      </c>
      <c r="F330" t="s">
        <v>1144</v>
      </c>
      <c r="G330" t="s">
        <v>175</v>
      </c>
      <c r="H330" t="s">
        <v>2264</v>
      </c>
      <c r="I330" t="s">
        <v>2319</v>
      </c>
      <c r="J330" t="s">
        <v>2320</v>
      </c>
      <c r="N330" t="s">
        <v>828</v>
      </c>
      <c r="S330" t="s">
        <v>799</v>
      </c>
      <c r="T330" t="s">
        <v>2335</v>
      </c>
      <c r="U330" t="s">
        <v>2336</v>
      </c>
      <c r="V330" t="s">
        <v>790</v>
      </c>
      <c r="W330">
        <v>23664</v>
      </c>
      <c r="X330">
        <v>61</v>
      </c>
      <c r="Y330" t="s">
        <v>864</v>
      </c>
      <c r="Z330" t="s">
        <v>2337</v>
      </c>
      <c r="AA330" t="s">
        <v>802</v>
      </c>
      <c r="AB330" t="s">
        <v>794</v>
      </c>
      <c r="AC330" t="s">
        <v>236</v>
      </c>
      <c r="AD330" t="s">
        <v>236</v>
      </c>
      <c r="AE330" t="s">
        <v>865</v>
      </c>
      <c r="AH330" t="s">
        <v>903</v>
      </c>
    </row>
    <row r="331" spans="1:34">
      <c r="A331">
        <v>329</v>
      </c>
      <c r="B331" t="s">
        <v>2338</v>
      </c>
      <c r="C331">
        <v>605</v>
      </c>
      <c r="D331" t="s">
        <v>981</v>
      </c>
      <c r="E331" t="s">
        <v>2265</v>
      </c>
      <c r="F331" t="s">
        <v>1144</v>
      </c>
      <c r="G331" t="s">
        <v>175</v>
      </c>
      <c r="H331" t="s">
        <v>2264</v>
      </c>
      <c r="I331" t="s">
        <v>2319</v>
      </c>
      <c r="J331" t="s">
        <v>2320</v>
      </c>
      <c r="N331" t="s">
        <v>828</v>
      </c>
      <c r="S331" t="s">
        <v>799</v>
      </c>
      <c r="T331" t="s">
        <v>2339</v>
      </c>
      <c r="U331" t="s">
        <v>2340</v>
      </c>
      <c r="V331" t="s">
        <v>790</v>
      </c>
      <c r="W331">
        <v>31932</v>
      </c>
      <c r="X331">
        <v>38</v>
      </c>
      <c r="Y331" t="s">
        <v>2341</v>
      </c>
      <c r="Z331" t="s">
        <v>2342</v>
      </c>
      <c r="AA331" t="s">
        <v>802</v>
      </c>
      <c r="AB331" t="s">
        <v>794</v>
      </c>
      <c r="AC331" t="s">
        <v>1256</v>
      </c>
      <c r="AD331" t="s">
        <v>1256</v>
      </c>
      <c r="AE331" t="s">
        <v>2343</v>
      </c>
      <c r="AH331" t="s">
        <v>903</v>
      </c>
    </row>
    <row r="332" spans="1:34">
      <c r="A332">
        <v>330</v>
      </c>
      <c r="B332" t="s">
        <v>2344</v>
      </c>
      <c r="C332">
        <v>607</v>
      </c>
      <c r="D332" t="s">
        <v>981</v>
      </c>
      <c r="E332" t="s">
        <v>2265</v>
      </c>
      <c r="F332" t="s">
        <v>1144</v>
      </c>
      <c r="G332" t="s">
        <v>175</v>
      </c>
      <c r="H332" t="s">
        <v>2264</v>
      </c>
      <c r="I332" t="s">
        <v>2319</v>
      </c>
      <c r="J332" t="s">
        <v>2320</v>
      </c>
      <c r="N332" t="s">
        <v>828</v>
      </c>
      <c r="S332" t="s">
        <v>874</v>
      </c>
      <c r="T332" t="s">
        <v>2345</v>
      </c>
      <c r="U332" t="s">
        <v>2346</v>
      </c>
      <c r="V332" t="s">
        <v>876</v>
      </c>
      <c r="W332">
        <v>27553</v>
      </c>
      <c r="X332">
        <v>50</v>
      </c>
      <c r="Y332" t="s">
        <v>2347</v>
      </c>
      <c r="Z332" t="s">
        <v>2348</v>
      </c>
      <c r="AA332" t="s">
        <v>842</v>
      </c>
      <c r="AB332" t="s">
        <v>851</v>
      </c>
      <c r="AC332" t="s">
        <v>815</v>
      </c>
      <c r="AD332" t="s">
        <v>815</v>
      </c>
      <c r="AE332" t="s">
        <v>2349</v>
      </c>
      <c r="AH332" t="s">
        <v>903</v>
      </c>
    </row>
    <row r="333" spans="1:34">
      <c r="A333">
        <v>331</v>
      </c>
      <c r="B333" t="s">
        <v>2350</v>
      </c>
      <c r="C333">
        <v>609</v>
      </c>
      <c r="D333" t="s">
        <v>981</v>
      </c>
      <c r="E333" t="s">
        <v>2265</v>
      </c>
      <c r="F333" t="s">
        <v>1144</v>
      </c>
      <c r="G333" t="s">
        <v>175</v>
      </c>
      <c r="H333" t="s">
        <v>2264</v>
      </c>
      <c r="I333" t="s">
        <v>2319</v>
      </c>
      <c r="J333" t="s">
        <v>2320</v>
      </c>
      <c r="N333" t="s">
        <v>828</v>
      </c>
      <c r="S333" t="s">
        <v>874</v>
      </c>
      <c r="T333" t="s">
        <v>2351</v>
      </c>
      <c r="U333" t="s">
        <v>2352</v>
      </c>
      <c r="V333" t="s">
        <v>876</v>
      </c>
      <c r="W333">
        <v>30200</v>
      </c>
      <c r="X333">
        <v>43</v>
      </c>
      <c r="Y333" t="s">
        <v>2353</v>
      </c>
      <c r="Z333" t="s">
        <v>2354</v>
      </c>
      <c r="AA333" t="s">
        <v>842</v>
      </c>
      <c r="AB333" t="s">
        <v>851</v>
      </c>
      <c r="AC333" t="s">
        <v>815</v>
      </c>
      <c r="AD333" t="s">
        <v>815</v>
      </c>
      <c r="AE333" t="s">
        <v>1282</v>
      </c>
      <c r="AH333" t="s">
        <v>903</v>
      </c>
    </row>
    <row r="334" spans="1:34">
      <c r="A334">
        <v>332</v>
      </c>
      <c r="B334" t="s">
        <v>2355</v>
      </c>
      <c r="C334">
        <v>611</v>
      </c>
      <c r="D334" t="s">
        <v>981</v>
      </c>
      <c r="E334" t="s">
        <v>2265</v>
      </c>
      <c r="F334" t="s">
        <v>1144</v>
      </c>
      <c r="G334" t="s">
        <v>175</v>
      </c>
      <c r="H334" t="s">
        <v>2264</v>
      </c>
      <c r="I334" t="s">
        <v>2319</v>
      </c>
      <c r="J334" t="s">
        <v>2320</v>
      </c>
      <c r="N334" t="s">
        <v>828</v>
      </c>
      <c r="S334" t="s">
        <v>799</v>
      </c>
      <c r="T334" t="s">
        <v>2356</v>
      </c>
      <c r="U334" t="s">
        <v>2357</v>
      </c>
      <c r="V334" t="s">
        <v>790</v>
      </c>
      <c r="W334">
        <v>30794</v>
      </c>
      <c r="X334">
        <v>41</v>
      </c>
      <c r="Y334" t="s">
        <v>2358</v>
      </c>
      <c r="Z334" t="s">
        <v>2359</v>
      </c>
      <c r="AA334" t="s">
        <v>842</v>
      </c>
      <c r="AB334" t="s">
        <v>851</v>
      </c>
      <c r="AC334" t="s">
        <v>815</v>
      </c>
      <c r="AD334" t="s">
        <v>815</v>
      </c>
      <c r="AE334" t="s">
        <v>1282</v>
      </c>
      <c r="AH334" t="s">
        <v>971</v>
      </c>
    </row>
    <row r="335" spans="1:34">
      <c r="A335">
        <v>333</v>
      </c>
      <c r="B335" t="s">
        <v>2360</v>
      </c>
      <c r="C335">
        <v>613</v>
      </c>
      <c r="D335" t="s">
        <v>981</v>
      </c>
      <c r="E335" t="s">
        <v>2265</v>
      </c>
      <c r="F335" t="s">
        <v>1144</v>
      </c>
      <c r="G335" t="s">
        <v>175</v>
      </c>
      <c r="H335" t="s">
        <v>2264</v>
      </c>
      <c r="I335" t="s">
        <v>2319</v>
      </c>
      <c r="J335" t="s">
        <v>2320</v>
      </c>
      <c r="N335" t="s">
        <v>828</v>
      </c>
      <c r="O335" t="s">
        <v>308</v>
      </c>
      <c r="S335" t="s">
        <v>799</v>
      </c>
      <c r="T335" t="s">
        <v>296</v>
      </c>
      <c r="U335" t="s">
        <v>2361</v>
      </c>
      <c r="V335" t="s">
        <v>790</v>
      </c>
      <c r="W335">
        <v>32505</v>
      </c>
      <c r="X335">
        <v>37</v>
      </c>
      <c r="Y335" t="s">
        <v>2362</v>
      </c>
      <c r="Z335" t="s">
        <v>2363</v>
      </c>
      <c r="AA335" t="s">
        <v>842</v>
      </c>
      <c r="AB335" t="s">
        <v>843</v>
      </c>
      <c r="AC335" t="s">
        <v>815</v>
      </c>
      <c r="AD335" t="s">
        <v>815</v>
      </c>
      <c r="AE335" t="s">
        <v>1282</v>
      </c>
      <c r="AH335" t="s">
        <v>1224</v>
      </c>
    </row>
    <row r="336" spans="1:34">
      <c r="A336">
        <v>334</v>
      </c>
      <c r="B336" t="s">
        <v>2364</v>
      </c>
      <c r="C336">
        <v>615</v>
      </c>
      <c r="D336" t="s">
        <v>981</v>
      </c>
      <c r="E336" t="s">
        <v>2265</v>
      </c>
      <c r="F336" t="s">
        <v>1144</v>
      </c>
      <c r="G336" t="s">
        <v>175</v>
      </c>
      <c r="H336" t="s">
        <v>2264</v>
      </c>
      <c r="I336" t="s">
        <v>2319</v>
      </c>
      <c r="J336" t="s">
        <v>2320</v>
      </c>
      <c r="N336" t="s">
        <v>828</v>
      </c>
      <c r="O336" t="s">
        <v>308</v>
      </c>
      <c r="S336" t="s">
        <v>799</v>
      </c>
      <c r="T336" t="s">
        <v>722</v>
      </c>
      <c r="U336" t="s">
        <v>2365</v>
      </c>
      <c r="V336" t="s">
        <v>790</v>
      </c>
      <c r="W336">
        <v>31410</v>
      </c>
      <c r="X336">
        <v>40</v>
      </c>
      <c r="Y336" t="s">
        <v>2366</v>
      </c>
      <c r="AA336" t="s">
        <v>842</v>
      </c>
      <c r="AB336" t="s">
        <v>843</v>
      </c>
      <c r="AC336" t="s">
        <v>815</v>
      </c>
      <c r="AD336" t="s">
        <v>1400</v>
      </c>
      <c r="AE336" t="s">
        <v>2367</v>
      </c>
      <c r="AH336" t="s">
        <v>1295</v>
      </c>
    </row>
    <row r="337" spans="1:35">
      <c r="A337">
        <v>335</v>
      </c>
      <c r="B337" t="s">
        <v>2368</v>
      </c>
      <c r="C337">
        <v>617</v>
      </c>
      <c r="D337" t="s">
        <v>981</v>
      </c>
      <c r="E337" t="s">
        <v>2369</v>
      </c>
      <c r="F337" t="s">
        <v>1144</v>
      </c>
      <c r="G337" t="s">
        <v>2370</v>
      </c>
      <c r="H337" t="s">
        <v>2368</v>
      </c>
      <c r="I337" t="s">
        <v>2368</v>
      </c>
      <c r="J337" t="s">
        <v>2371</v>
      </c>
      <c r="N337" t="s">
        <v>2372</v>
      </c>
      <c r="P337" t="s">
        <v>163</v>
      </c>
      <c r="Q337" t="s">
        <v>500</v>
      </c>
      <c r="R337" t="s">
        <v>49</v>
      </c>
      <c r="S337" t="s">
        <v>874</v>
      </c>
      <c r="T337" t="s">
        <v>2370</v>
      </c>
      <c r="U337" t="s">
        <v>2373</v>
      </c>
      <c r="V337" t="s">
        <v>876</v>
      </c>
      <c r="W337">
        <v>25905</v>
      </c>
      <c r="X337">
        <v>55</v>
      </c>
      <c r="Y337" t="s">
        <v>2374</v>
      </c>
      <c r="Z337" t="s">
        <v>2375</v>
      </c>
      <c r="AA337" t="s">
        <v>802</v>
      </c>
      <c r="AB337" t="s">
        <v>794</v>
      </c>
      <c r="AC337" t="s">
        <v>815</v>
      </c>
      <c r="AD337" t="s">
        <v>815</v>
      </c>
      <c r="AE337" t="s">
        <v>2271</v>
      </c>
      <c r="AH337" t="s">
        <v>844</v>
      </c>
    </row>
    <row r="338" spans="1:35">
      <c r="A338">
        <v>336</v>
      </c>
      <c r="B338" t="s">
        <v>2371</v>
      </c>
      <c r="C338">
        <v>619</v>
      </c>
      <c r="D338" t="s">
        <v>981</v>
      </c>
      <c r="E338" t="s">
        <v>2369</v>
      </c>
      <c r="F338" t="s">
        <v>1144</v>
      </c>
      <c r="G338" t="s">
        <v>2370</v>
      </c>
      <c r="H338" t="s">
        <v>2368</v>
      </c>
      <c r="I338" t="s">
        <v>2368</v>
      </c>
      <c r="J338" t="s">
        <v>2371</v>
      </c>
      <c r="N338" t="s">
        <v>2372</v>
      </c>
      <c r="P338" t="s">
        <v>62</v>
      </c>
      <c r="Q338" t="s">
        <v>548</v>
      </c>
      <c r="S338" t="s">
        <v>874</v>
      </c>
      <c r="T338" t="s">
        <v>283</v>
      </c>
      <c r="U338" t="s">
        <v>2376</v>
      </c>
      <c r="V338" t="s">
        <v>876</v>
      </c>
      <c r="W338">
        <v>26792</v>
      </c>
      <c r="X338">
        <v>52</v>
      </c>
      <c r="Y338" t="s">
        <v>2377</v>
      </c>
      <c r="Z338" t="s">
        <v>2378</v>
      </c>
      <c r="AA338" t="s">
        <v>842</v>
      </c>
      <c r="AB338" t="s">
        <v>843</v>
      </c>
      <c r="AC338" t="s">
        <v>815</v>
      </c>
      <c r="AD338" t="s">
        <v>815</v>
      </c>
      <c r="AH338" t="s">
        <v>1604</v>
      </c>
    </row>
    <row r="339" spans="1:35">
      <c r="A339">
        <v>337</v>
      </c>
      <c r="B339" t="s">
        <v>2379</v>
      </c>
      <c r="C339">
        <v>621</v>
      </c>
      <c r="D339" t="s">
        <v>981</v>
      </c>
      <c r="E339" t="s">
        <v>2369</v>
      </c>
      <c r="F339" t="s">
        <v>1144</v>
      </c>
      <c r="G339" t="s">
        <v>2370</v>
      </c>
      <c r="H339" t="s">
        <v>2368</v>
      </c>
      <c r="I339" t="s">
        <v>2368</v>
      </c>
      <c r="J339" t="s">
        <v>2371</v>
      </c>
      <c r="N339" t="s">
        <v>2372</v>
      </c>
      <c r="S339" t="s">
        <v>874</v>
      </c>
      <c r="T339" t="s">
        <v>217</v>
      </c>
      <c r="U339" t="s">
        <v>2380</v>
      </c>
      <c r="V339" t="s">
        <v>876</v>
      </c>
      <c r="W339">
        <v>23437</v>
      </c>
      <c r="X339">
        <v>61</v>
      </c>
      <c r="Y339" t="s">
        <v>2381</v>
      </c>
      <c r="Z339" t="s">
        <v>2382</v>
      </c>
      <c r="AA339" t="s">
        <v>802</v>
      </c>
      <c r="AB339" t="s">
        <v>794</v>
      </c>
      <c r="AC339" t="s">
        <v>815</v>
      </c>
      <c r="AD339" t="s">
        <v>815</v>
      </c>
      <c r="AE339" t="s">
        <v>2383</v>
      </c>
    </row>
    <row r="340" spans="1:35">
      <c r="A340">
        <v>338</v>
      </c>
      <c r="B340" t="s">
        <v>2384</v>
      </c>
      <c r="C340">
        <v>623</v>
      </c>
      <c r="D340" t="s">
        <v>981</v>
      </c>
      <c r="E340" t="s">
        <v>2369</v>
      </c>
      <c r="F340" t="s">
        <v>1144</v>
      </c>
      <c r="G340" t="s">
        <v>2370</v>
      </c>
      <c r="H340" t="s">
        <v>2368</v>
      </c>
      <c r="I340" t="s">
        <v>2368</v>
      </c>
      <c r="J340" t="s">
        <v>2371</v>
      </c>
      <c r="N340" t="s">
        <v>2372</v>
      </c>
      <c r="P340" t="s">
        <v>49</v>
      </c>
      <c r="Q340" t="s">
        <v>168</v>
      </c>
      <c r="S340" t="s">
        <v>874</v>
      </c>
      <c r="T340" t="s">
        <v>197</v>
      </c>
      <c r="U340" t="s">
        <v>2385</v>
      </c>
      <c r="V340" t="s">
        <v>876</v>
      </c>
      <c r="W340">
        <v>28739</v>
      </c>
      <c r="X340">
        <v>47</v>
      </c>
      <c r="Y340" t="s">
        <v>2386</v>
      </c>
      <c r="Z340" t="s">
        <v>2387</v>
      </c>
      <c r="AA340" t="s">
        <v>802</v>
      </c>
      <c r="AB340" t="s">
        <v>794</v>
      </c>
      <c r="AC340" t="s">
        <v>1735</v>
      </c>
      <c r="AD340" t="s">
        <v>1735</v>
      </c>
      <c r="AE340" t="s">
        <v>2388</v>
      </c>
      <c r="AH340" t="s">
        <v>844</v>
      </c>
    </row>
    <row r="341" spans="1:35">
      <c r="A341">
        <v>339</v>
      </c>
      <c r="B341" t="s">
        <v>2389</v>
      </c>
      <c r="C341">
        <v>625</v>
      </c>
      <c r="D341" t="s">
        <v>981</v>
      </c>
      <c r="E341" t="s">
        <v>2369</v>
      </c>
      <c r="F341" t="s">
        <v>1144</v>
      </c>
      <c r="G341" t="s">
        <v>2370</v>
      </c>
      <c r="H341" t="s">
        <v>2368</v>
      </c>
      <c r="I341" t="s">
        <v>2368</v>
      </c>
      <c r="J341" t="s">
        <v>2371</v>
      </c>
      <c r="N341" t="s">
        <v>2372</v>
      </c>
      <c r="S341" t="s">
        <v>898</v>
      </c>
      <c r="T341" t="s">
        <v>237</v>
      </c>
      <c r="U341" t="s">
        <v>2390</v>
      </c>
      <c r="V341" t="s">
        <v>876</v>
      </c>
      <c r="W341">
        <v>15634</v>
      </c>
      <c r="X341">
        <v>83</v>
      </c>
      <c r="Y341" t="s">
        <v>2391</v>
      </c>
      <c r="AA341" t="s">
        <v>842</v>
      </c>
      <c r="AB341" t="s">
        <v>843</v>
      </c>
      <c r="AC341" t="s">
        <v>815</v>
      </c>
      <c r="AD341" t="s">
        <v>815</v>
      </c>
      <c r="AH341" t="s">
        <v>1604</v>
      </c>
    </row>
    <row r="342" spans="1:35">
      <c r="A342">
        <v>340</v>
      </c>
      <c r="B342" t="s">
        <v>2392</v>
      </c>
      <c r="C342">
        <v>627</v>
      </c>
      <c r="D342" t="s">
        <v>981</v>
      </c>
      <c r="E342" t="s">
        <v>2369</v>
      </c>
      <c r="F342" t="s">
        <v>1144</v>
      </c>
      <c r="G342" t="s">
        <v>2370</v>
      </c>
      <c r="H342" t="s">
        <v>2368</v>
      </c>
      <c r="I342" t="s">
        <v>2368</v>
      </c>
      <c r="J342" t="s">
        <v>2371</v>
      </c>
      <c r="N342" t="s">
        <v>2372</v>
      </c>
      <c r="S342" t="s">
        <v>898</v>
      </c>
      <c r="T342" t="s">
        <v>255</v>
      </c>
      <c r="U342" t="s">
        <v>2393</v>
      </c>
      <c r="V342" t="s">
        <v>876</v>
      </c>
      <c r="W342">
        <v>18124</v>
      </c>
      <c r="X342">
        <v>76</v>
      </c>
      <c r="Y342" t="s">
        <v>2394</v>
      </c>
      <c r="Z342" t="s">
        <v>2395</v>
      </c>
      <c r="AA342" t="s">
        <v>842</v>
      </c>
      <c r="AB342" t="s">
        <v>843</v>
      </c>
      <c r="AC342" t="s">
        <v>815</v>
      </c>
      <c r="AD342" t="s">
        <v>815</v>
      </c>
      <c r="AH342" t="s">
        <v>1604</v>
      </c>
    </row>
    <row r="343" spans="1:35">
      <c r="A343">
        <v>341</v>
      </c>
      <c r="B343" t="s">
        <v>2396</v>
      </c>
      <c r="C343">
        <v>629</v>
      </c>
      <c r="D343" t="s">
        <v>981</v>
      </c>
      <c r="E343" t="s">
        <v>2369</v>
      </c>
      <c r="F343" t="s">
        <v>1144</v>
      </c>
      <c r="G343" t="s">
        <v>2370</v>
      </c>
      <c r="H343" t="s">
        <v>2368</v>
      </c>
      <c r="I343" t="s">
        <v>2368</v>
      </c>
      <c r="J343" t="s">
        <v>2371</v>
      </c>
      <c r="N343" t="s">
        <v>2372</v>
      </c>
      <c r="S343" t="s">
        <v>874</v>
      </c>
      <c r="T343" t="s">
        <v>272</v>
      </c>
      <c r="U343" t="s">
        <v>2397</v>
      </c>
      <c r="V343" t="s">
        <v>876</v>
      </c>
      <c r="W343">
        <v>25188</v>
      </c>
      <c r="X343">
        <v>57</v>
      </c>
      <c r="Y343" t="s">
        <v>2398</v>
      </c>
      <c r="AA343" t="s">
        <v>842</v>
      </c>
      <c r="AB343" t="s">
        <v>843</v>
      </c>
      <c r="AC343" t="s">
        <v>815</v>
      </c>
      <c r="AD343" t="s">
        <v>815</v>
      </c>
      <c r="AH343" t="s">
        <v>1604</v>
      </c>
    </row>
    <row r="344" spans="1:35">
      <c r="A344">
        <v>342</v>
      </c>
      <c r="B344" t="s">
        <v>2399</v>
      </c>
      <c r="C344">
        <v>631</v>
      </c>
      <c r="D344" t="s">
        <v>981</v>
      </c>
      <c r="E344" t="s">
        <v>2369</v>
      </c>
      <c r="F344" t="s">
        <v>1144</v>
      </c>
      <c r="G344" t="s">
        <v>2370</v>
      </c>
      <c r="H344" t="s">
        <v>2368</v>
      </c>
      <c r="I344" t="s">
        <v>2368</v>
      </c>
      <c r="J344" t="s">
        <v>2371</v>
      </c>
      <c r="N344" t="s">
        <v>2372</v>
      </c>
      <c r="S344" t="s">
        <v>874</v>
      </c>
      <c r="T344" t="s">
        <v>292</v>
      </c>
      <c r="U344" t="s">
        <v>2400</v>
      </c>
      <c r="V344" t="s">
        <v>876</v>
      </c>
      <c r="W344">
        <v>22076</v>
      </c>
      <c r="X344">
        <v>65</v>
      </c>
      <c r="Y344" t="s">
        <v>2401</v>
      </c>
      <c r="Z344" t="s">
        <v>2402</v>
      </c>
      <c r="AA344" t="s">
        <v>842</v>
      </c>
      <c r="AB344" t="s">
        <v>843</v>
      </c>
      <c r="AC344" t="s">
        <v>815</v>
      </c>
      <c r="AD344" t="s">
        <v>815</v>
      </c>
      <c r="AH344" t="s">
        <v>1604</v>
      </c>
    </row>
    <row r="345" spans="1:35">
      <c r="A345">
        <v>343</v>
      </c>
      <c r="B345" t="s">
        <v>2403</v>
      </c>
      <c r="C345">
        <v>633</v>
      </c>
      <c r="D345" t="s">
        <v>981</v>
      </c>
      <c r="E345" t="s">
        <v>2369</v>
      </c>
      <c r="F345" t="s">
        <v>1144</v>
      </c>
      <c r="G345" t="s">
        <v>2370</v>
      </c>
      <c r="H345" t="s">
        <v>2368</v>
      </c>
      <c r="I345" t="s">
        <v>2368</v>
      </c>
      <c r="J345" t="s">
        <v>2371</v>
      </c>
      <c r="N345" t="s">
        <v>2372</v>
      </c>
      <c r="S345" t="s">
        <v>788</v>
      </c>
      <c r="T345" t="s">
        <v>297</v>
      </c>
      <c r="U345" t="s">
        <v>2404</v>
      </c>
      <c r="V345" t="s">
        <v>876</v>
      </c>
      <c r="W345">
        <v>34440</v>
      </c>
      <c r="X345">
        <v>31</v>
      </c>
      <c r="Y345" t="s">
        <v>2405</v>
      </c>
      <c r="Z345" t="s">
        <v>2406</v>
      </c>
      <c r="AA345" t="s">
        <v>793</v>
      </c>
      <c r="AB345" t="s">
        <v>794</v>
      </c>
      <c r="AC345" t="s">
        <v>815</v>
      </c>
      <c r="AD345" t="s">
        <v>815</v>
      </c>
      <c r="AE345" t="s">
        <v>2317</v>
      </c>
    </row>
    <row r="346" spans="1:35">
      <c r="A346">
        <v>344</v>
      </c>
      <c r="B346" t="s">
        <v>2407</v>
      </c>
      <c r="C346">
        <v>635</v>
      </c>
      <c r="D346" t="s">
        <v>811</v>
      </c>
      <c r="E346" t="s">
        <v>2369</v>
      </c>
      <c r="F346" t="s">
        <v>1144</v>
      </c>
      <c r="G346" t="s">
        <v>2370</v>
      </c>
      <c r="H346" t="s">
        <v>2368</v>
      </c>
      <c r="I346" t="s">
        <v>2368</v>
      </c>
      <c r="J346" t="s">
        <v>2371</v>
      </c>
      <c r="N346" t="s">
        <v>2372</v>
      </c>
      <c r="O346" t="s">
        <v>308</v>
      </c>
      <c r="S346" t="s">
        <v>874</v>
      </c>
      <c r="T346" t="s">
        <v>301</v>
      </c>
      <c r="U346" t="s">
        <v>2408</v>
      </c>
      <c r="V346" t="s">
        <v>876</v>
      </c>
      <c r="W346">
        <v>23216</v>
      </c>
      <c r="X346">
        <v>62</v>
      </c>
      <c r="Y346" t="s">
        <v>2409</v>
      </c>
      <c r="Z346" t="s">
        <v>2410</v>
      </c>
      <c r="AA346" t="s">
        <v>842</v>
      </c>
      <c r="AB346" t="s">
        <v>843</v>
      </c>
      <c r="AC346" t="s">
        <v>815</v>
      </c>
      <c r="AD346" t="s">
        <v>815</v>
      </c>
      <c r="AE346" t="s">
        <v>2411</v>
      </c>
      <c r="AH346" t="s">
        <v>1438</v>
      </c>
    </row>
    <row r="347" spans="1:35">
      <c r="A347">
        <v>345</v>
      </c>
      <c r="B347" t="s">
        <v>2412</v>
      </c>
      <c r="C347">
        <v>637</v>
      </c>
      <c r="D347" t="s">
        <v>811</v>
      </c>
      <c r="E347" t="s">
        <v>2369</v>
      </c>
      <c r="F347" t="s">
        <v>1144</v>
      </c>
      <c r="G347" t="s">
        <v>2370</v>
      </c>
      <c r="H347" t="s">
        <v>2368</v>
      </c>
      <c r="I347" t="s">
        <v>2368</v>
      </c>
      <c r="J347" t="s">
        <v>2371</v>
      </c>
      <c r="N347" t="s">
        <v>2372</v>
      </c>
      <c r="O347" t="s">
        <v>308</v>
      </c>
      <c r="S347" t="s">
        <v>874</v>
      </c>
      <c r="T347" t="s">
        <v>304</v>
      </c>
      <c r="U347" t="s">
        <v>2413</v>
      </c>
      <c r="V347" t="s">
        <v>876</v>
      </c>
      <c r="W347">
        <v>24814</v>
      </c>
      <c r="X347">
        <v>58</v>
      </c>
      <c r="Y347" t="s">
        <v>2414</v>
      </c>
      <c r="Z347" t="s">
        <v>2415</v>
      </c>
      <c r="AA347" t="s">
        <v>842</v>
      </c>
      <c r="AB347" t="s">
        <v>843</v>
      </c>
      <c r="AC347" t="s">
        <v>815</v>
      </c>
      <c r="AD347" t="s">
        <v>815</v>
      </c>
      <c r="AE347" t="s">
        <v>2416</v>
      </c>
      <c r="AH347" t="s">
        <v>1438</v>
      </c>
    </row>
    <row r="348" spans="1:35">
      <c r="A348">
        <v>346</v>
      </c>
      <c r="B348" t="s">
        <v>2417</v>
      </c>
      <c r="C348">
        <v>639</v>
      </c>
      <c r="D348" t="s">
        <v>981</v>
      </c>
      <c r="E348" t="s">
        <v>2369</v>
      </c>
      <c r="F348" t="s">
        <v>1144</v>
      </c>
      <c r="G348" t="s">
        <v>2370</v>
      </c>
      <c r="H348" t="s">
        <v>2368</v>
      </c>
      <c r="I348" t="s">
        <v>2368</v>
      </c>
      <c r="J348" t="s">
        <v>2371</v>
      </c>
      <c r="N348" t="s">
        <v>2372</v>
      </c>
      <c r="O348" t="s">
        <v>308</v>
      </c>
      <c r="S348" t="s">
        <v>898</v>
      </c>
      <c r="T348" t="s">
        <v>723</v>
      </c>
      <c r="U348" t="s">
        <v>2418</v>
      </c>
      <c r="V348" t="s">
        <v>876</v>
      </c>
      <c r="W348">
        <v>17823</v>
      </c>
      <c r="X348">
        <v>77</v>
      </c>
      <c r="Y348" t="s">
        <v>2419</v>
      </c>
      <c r="AA348" t="s">
        <v>842</v>
      </c>
      <c r="AB348" t="s">
        <v>843</v>
      </c>
      <c r="AC348" t="s">
        <v>815</v>
      </c>
      <c r="AD348" t="s">
        <v>815</v>
      </c>
      <c r="AE348" t="s">
        <v>2317</v>
      </c>
      <c r="AH348" t="s">
        <v>1295</v>
      </c>
    </row>
    <row r="349" spans="1:35">
      <c r="A349">
        <v>347</v>
      </c>
      <c r="B349" t="s">
        <v>2420</v>
      </c>
      <c r="C349">
        <v>641</v>
      </c>
      <c r="D349" t="s">
        <v>782</v>
      </c>
      <c r="E349" t="s">
        <v>2369</v>
      </c>
      <c r="F349" t="s">
        <v>1144</v>
      </c>
      <c r="G349" t="s">
        <v>2370</v>
      </c>
      <c r="H349" t="s">
        <v>2368</v>
      </c>
      <c r="I349" t="s">
        <v>2368</v>
      </c>
      <c r="J349" t="s">
        <v>2371</v>
      </c>
      <c r="N349" t="s">
        <v>2372</v>
      </c>
      <c r="S349" t="s">
        <v>874</v>
      </c>
      <c r="T349" t="s">
        <v>2421</v>
      </c>
      <c r="U349" t="s">
        <v>2422</v>
      </c>
      <c r="V349" t="s">
        <v>876</v>
      </c>
      <c r="W349">
        <v>31496</v>
      </c>
      <c r="X349">
        <v>39</v>
      </c>
      <c r="AA349" t="s">
        <v>802</v>
      </c>
      <c r="AB349" t="s">
        <v>794</v>
      </c>
      <c r="AC349" t="s">
        <v>815</v>
      </c>
      <c r="AD349" t="s">
        <v>816</v>
      </c>
      <c r="AE349" t="s">
        <v>817</v>
      </c>
      <c r="AF349" t="s">
        <v>1571</v>
      </c>
      <c r="AG349" t="s">
        <v>2423</v>
      </c>
      <c r="AI349" t="s">
        <v>860</v>
      </c>
    </row>
    <row r="350" spans="1:35">
      <c r="A350">
        <v>348</v>
      </c>
      <c r="B350" t="s">
        <v>2424</v>
      </c>
      <c r="C350">
        <v>643</v>
      </c>
      <c r="D350" t="s">
        <v>981</v>
      </c>
      <c r="E350" t="s">
        <v>2369</v>
      </c>
      <c r="F350" t="s">
        <v>1144</v>
      </c>
      <c r="G350" t="s">
        <v>2370</v>
      </c>
      <c r="H350" t="s">
        <v>2368</v>
      </c>
      <c r="I350" t="s">
        <v>2424</v>
      </c>
      <c r="N350" t="s">
        <v>2425</v>
      </c>
      <c r="P350" t="s">
        <v>49</v>
      </c>
      <c r="Q350" t="s">
        <v>49</v>
      </c>
      <c r="S350" t="s">
        <v>874</v>
      </c>
      <c r="T350" t="s">
        <v>177</v>
      </c>
      <c r="U350" t="s">
        <v>2426</v>
      </c>
      <c r="V350" t="s">
        <v>876</v>
      </c>
      <c r="W350">
        <v>27506</v>
      </c>
      <c r="X350">
        <v>50</v>
      </c>
      <c r="Y350" t="s">
        <v>2427</v>
      </c>
      <c r="Z350" t="s">
        <v>2428</v>
      </c>
      <c r="AA350" t="s">
        <v>802</v>
      </c>
      <c r="AB350" t="s">
        <v>794</v>
      </c>
      <c r="AC350" t="s">
        <v>815</v>
      </c>
      <c r="AD350" t="s">
        <v>1289</v>
      </c>
      <c r="AE350" t="s">
        <v>2429</v>
      </c>
      <c r="AH350" t="s">
        <v>867</v>
      </c>
    </row>
    <row r="351" spans="1:35">
      <c r="A351">
        <v>349</v>
      </c>
      <c r="B351" t="s">
        <v>2430</v>
      </c>
      <c r="C351">
        <v>645</v>
      </c>
      <c r="D351" t="s">
        <v>981</v>
      </c>
      <c r="E351" t="s">
        <v>2369</v>
      </c>
      <c r="F351" t="s">
        <v>1144</v>
      </c>
      <c r="G351" t="s">
        <v>2370</v>
      </c>
      <c r="H351" t="s">
        <v>2368</v>
      </c>
      <c r="I351" t="s">
        <v>2424</v>
      </c>
      <c r="N351" t="s">
        <v>2425</v>
      </c>
      <c r="S351" t="s">
        <v>874</v>
      </c>
      <c r="T351" t="s">
        <v>198</v>
      </c>
      <c r="U351" t="s">
        <v>2431</v>
      </c>
      <c r="V351" t="s">
        <v>876</v>
      </c>
      <c r="W351">
        <v>21782</v>
      </c>
      <c r="X351">
        <v>66</v>
      </c>
      <c r="Y351" t="s">
        <v>2432</v>
      </c>
      <c r="Z351" t="s">
        <v>2433</v>
      </c>
      <c r="AA351" t="s">
        <v>842</v>
      </c>
      <c r="AB351" t="s">
        <v>851</v>
      </c>
      <c r="AC351" t="s">
        <v>1289</v>
      </c>
      <c r="AD351" t="s">
        <v>1289</v>
      </c>
      <c r="AE351" t="s">
        <v>2289</v>
      </c>
      <c r="AH351" t="s">
        <v>867</v>
      </c>
    </row>
    <row r="352" spans="1:35">
      <c r="A352">
        <v>350</v>
      </c>
      <c r="B352" t="s">
        <v>2434</v>
      </c>
      <c r="C352">
        <v>647</v>
      </c>
      <c r="D352" t="s">
        <v>981</v>
      </c>
      <c r="E352" t="s">
        <v>2369</v>
      </c>
      <c r="F352" t="s">
        <v>1144</v>
      </c>
      <c r="G352" t="s">
        <v>2370</v>
      </c>
      <c r="H352" t="s">
        <v>2368</v>
      </c>
      <c r="I352" t="s">
        <v>2424</v>
      </c>
      <c r="N352" t="s">
        <v>2425</v>
      </c>
      <c r="S352" t="s">
        <v>874</v>
      </c>
      <c r="T352" t="s">
        <v>218</v>
      </c>
      <c r="U352" t="s">
        <v>2435</v>
      </c>
      <c r="V352" t="s">
        <v>876</v>
      </c>
      <c r="W352">
        <v>22092</v>
      </c>
      <c r="X352">
        <v>65</v>
      </c>
      <c r="Y352" t="s">
        <v>2436</v>
      </c>
      <c r="Z352" t="s">
        <v>2437</v>
      </c>
      <c r="AA352" t="s">
        <v>842</v>
      </c>
      <c r="AB352" t="s">
        <v>843</v>
      </c>
      <c r="AC352" t="s">
        <v>815</v>
      </c>
      <c r="AD352" t="s">
        <v>815</v>
      </c>
      <c r="AE352" t="s">
        <v>2438</v>
      </c>
      <c r="AH352" t="s">
        <v>976</v>
      </c>
    </row>
    <row r="353" spans="1:34">
      <c r="A353">
        <v>351</v>
      </c>
      <c r="B353" t="s">
        <v>2439</v>
      </c>
      <c r="C353">
        <v>649</v>
      </c>
      <c r="D353" t="s">
        <v>981</v>
      </c>
      <c r="E353" t="s">
        <v>2369</v>
      </c>
      <c r="F353" t="s">
        <v>1144</v>
      </c>
      <c r="G353" t="s">
        <v>2370</v>
      </c>
      <c r="H353" t="s">
        <v>2368</v>
      </c>
      <c r="I353" t="s">
        <v>2424</v>
      </c>
      <c r="N353" t="s">
        <v>2425</v>
      </c>
      <c r="S353" t="s">
        <v>874</v>
      </c>
      <c r="T353" t="s">
        <v>2440</v>
      </c>
      <c r="U353" t="s">
        <v>2441</v>
      </c>
      <c r="V353" t="s">
        <v>876</v>
      </c>
      <c r="W353">
        <v>34222</v>
      </c>
      <c r="X353">
        <v>32</v>
      </c>
      <c r="Z353" t="s">
        <v>2442</v>
      </c>
      <c r="AA353" t="s">
        <v>842</v>
      </c>
      <c r="AB353" t="s">
        <v>851</v>
      </c>
      <c r="AC353" t="s">
        <v>815</v>
      </c>
      <c r="AD353" t="s">
        <v>815</v>
      </c>
      <c r="AE353" t="s">
        <v>1282</v>
      </c>
      <c r="AG353" t="s">
        <v>2443</v>
      </c>
      <c r="AH353" t="s">
        <v>844</v>
      </c>
    </row>
    <row r="354" spans="1:34">
      <c r="A354">
        <v>352</v>
      </c>
      <c r="B354" t="s">
        <v>2444</v>
      </c>
      <c r="C354">
        <v>651</v>
      </c>
      <c r="D354" t="s">
        <v>981</v>
      </c>
      <c r="E354" t="s">
        <v>2369</v>
      </c>
      <c r="F354" t="s">
        <v>1144</v>
      </c>
      <c r="G354" t="s">
        <v>2370</v>
      </c>
      <c r="H354" t="s">
        <v>2368</v>
      </c>
      <c r="I354" t="s">
        <v>2424</v>
      </c>
      <c r="N354" t="s">
        <v>2425</v>
      </c>
      <c r="S354" t="s">
        <v>874</v>
      </c>
      <c r="T354" t="s">
        <v>2445</v>
      </c>
      <c r="U354" t="s">
        <v>2446</v>
      </c>
      <c r="V354" t="s">
        <v>876</v>
      </c>
      <c r="W354">
        <v>30979</v>
      </c>
      <c r="X354">
        <v>41</v>
      </c>
      <c r="Y354" t="s">
        <v>2447</v>
      </c>
      <c r="Z354" t="s">
        <v>2448</v>
      </c>
      <c r="AA354" t="s">
        <v>842</v>
      </c>
      <c r="AB354" t="s">
        <v>843</v>
      </c>
      <c r="AC354" t="s">
        <v>815</v>
      </c>
      <c r="AD354" t="s">
        <v>815</v>
      </c>
      <c r="AE354" t="s">
        <v>2333</v>
      </c>
      <c r="AG354" t="s">
        <v>2443</v>
      </c>
      <c r="AH354" t="s">
        <v>1535</v>
      </c>
    </row>
    <row r="355" spans="1:34">
      <c r="A355">
        <v>353</v>
      </c>
      <c r="B355" t="s">
        <v>2449</v>
      </c>
      <c r="C355">
        <v>653</v>
      </c>
      <c r="D355" t="s">
        <v>981</v>
      </c>
      <c r="E355" t="s">
        <v>2369</v>
      </c>
      <c r="F355" t="s">
        <v>1144</v>
      </c>
      <c r="G355" t="s">
        <v>2370</v>
      </c>
      <c r="H355" t="s">
        <v>2368</v>
      </c>
      <c r="I355" t="s">
        <v>2424</v>
      </c>
      <c r="N355" t="s">
        <v>2425</v>
      </c>
      <c r="O355" t="s">
        <v>308</v>
      </c>
      <c r="S355" t="s">
        <v>874</v>
      </c>
      <c r="T355" t="s">
        <v>2450</v>
      </c>
      <c r="U355" t="s">
        <v>2451</v>
      </c>
      <c r="V355" t="s">
        <v>876</v>
      </c>
      <c r="W355">
        <v>25138</v>
      </c>
      <c r="X355">
        <v>57</v>
      </c>
      <c r="Y355" t="s">
        <v>2452</v>
      </c>
      <c r="AA355" t="s">
        <v>842</v>
      </c>
      <c r="AB355" t="s">
        <v>843</v>
      </c>
      <c r="AC355" t="s">
        <v>815</v>
      </c>
      <c r="AD355" t="s">
        <v>1735</v>
      </c>
      <c r="AE355" t="s">
        <v>2453</v>
      </c>
      <c r="AH355" t="s">
        <v>1295</v>
      </c>
    </row>
    <row r="356" spans="1:34">
      <c r="A356">
        <v>354</v>
      </c>
      <c r="B356" t="s">
        <v>2454</v>
      </c>
      <c r="C356">
        <v>655</v>
      </c>
      <c r="D356" t="s">
        <v>981</v>
      </c>
      <c r="E356" t="s">
        <v>2369</v>
      </c>
      <c r="F356" t="s">
        <v>1144</v>
      </c>
      <c r="G356" t="s">
        <v>2370</v>
      </c>
      <c r="H356" t="s">
        <v>2368</v>
      </c>
      <c r="I356" t="s">
        <v>2424</v>
      </c>
      <c r="N356" t="s">
        <v>2425</v>
      </c>
      <c r="O356" t="s">
        <v>308</v>
      </c>
      <c r="S356" t="s">
        <v>874</v>
      </c>
      <c r="T356" t="s">
        <v>2455</v>
      </c>
      <c r="U356" t="s">
        <v>2456</v>
      </c>
      <c r="V356" t="s">
        <v>876</v>
      </c>
      <c r="W356">
        <v>28032</v>
      </c>
      <c r="X356">
        <v>49</v>
      </c>
      <c r="Y356" t="s">
        <v>2457</v>
      </c>
      <c r="AA356" t="s">
        <v>842</v>
      </c>
      <c r="AB356" t="s">
        <v>843</v>
      </c>
      <c r="AC356" t="s">
        <v>815</v>
      </c>
      <c r="AD356" t="s">
        <v>2458</v>
      </c>
      <c r="AE356" t="s">
        <v>2459</v>
      </c>
      <c r="AH356" t="s">
        <v>1295</v>
      </c>
    </row>
    <row r="357" spans="1:34">
      <c r="A357">
        <v>355</v>
      </c>
      <c r="B357" t="s">
        <v>2460</v>
      </c>
      <c r="C357">
        <v>657</v>
      </c>
      <c r="D357" t="s">
        <v>981</v>
      </c>
      <c r="E357" t="s">
        <v>2369</v>
      </c>
      <c r="F357" t="s">
        <v>1144</v>
      </c>
      <c r="G357" t="s">
        <v>2370</v>
      </c>
      <c r="H357" t="s">
        <v>2368</v>
      </c>
      <c r="I357" t="s">
        <v>2460</v>
      </c>
      <c r="N357" t="s">
        <v>2461</v>
      </c>
      <c r="P357" t="s">
        <v>49</v>
      </c>
      <c r="Q357" t="s">
        <v>49</v>
      </c>
      <c r="S357" t="s">
        <v>788</v>
      </c>
      <c r="T357" t="s">
        <v>178</v>
      </c>
      <c r="U357" t="s">
        <v>2462</v>
      </c>
      <c r="V357" t="s">
        <v>876</v>
      </c>
      <c r="W357">
        <v>32694</v>
      </c>
      <c r="X357">
        <v>36</v>
      </c>
      <c r="Y357" t="s">
        <v>2463</v>
      </c>
      <c r="Z357" t="s">
        <v>2464</v>
      </c>
      <c r="AA357" t="s">
        <v>842</v>
      </c>
      <c r="AB357" t="s">
        <v>851</v>
      </c>
      <c r="AC357" t="s">
        <v>815</v>
      </c>
      <c r="AD357" t="s">
        <v>1796</v>
      </c>
      <c r="AE357" t="s">
        <v>2465</v>
      </c>
      <c r="AH357" t="s">
        <v>867</v>
      </c>
    </row>
    <row r="358" spans="1:34">
      <c r="A358">
        <v>356</v>
      </c>
      <c r="B358" t="s">
        <v>2466</v>
      </c>
      <c r="C358">
        <v>659</v>
      </c>
      <c r="D358" t="s">
        <v>981</v>
      </c>
      <c r="E358" t="s">
        <v>2369</v>
      </c>
      <c r="F358" t="s">
        <v>1144</v>
      </c>
      <c r="G358" t="s">
        <v>2370</v>
      </c>
      <c r="H358" t="s">
        <v>2368</v>
      </c>
      <c r="I358" t="s">
        <v>2460</v>
      </c>
      <c r="N358" t="s">
        <v>2461</v>
      </c>
      <c r="S358" t="s">
        <v>898</v>
      </c>
      <c r="T358" t="s">
        <v>2467</v>
      </c>
      <c r="U358" t="s">
        <v>2468</v>
      </c>
      <c r="V358" t="s">
        <v>876</v>
      </c>
      <c r="W358">
        <v>19460</v>
      </c>
      <c r="X358">
        <v>72</v>
      </c>
      <c r="Z358" t="s">
        <v>2469</v>
      </c>
      <c r="AA358" t="s">
        <v>842</v>
      </c>
      <c r="AB358" t="s">
        <v>794</v>
      </c>
      <c r="AC358" t="s">
        <v>815</v>
      </c>
      <c r="AD358" t="s">
        <v>815</v>
      </c>
      <c r="AE358" t="s">
        <v>2470</v>
      </c>
      <c r="AH358" t="s">
        <v>844</v>
      </c>
    </row>
    <row r="359" spans="1:34">
      <c r="A359">
        <v>357</v>
      </c>
      <c r="B359" t="s">
        <v>2471</v>
      </c>
      <c r="C359">
        <v>661</v>
      </c>
      <c r="D359" t="s">
        <v>981</v>
      </c>
      <c r="E359" t="s">
        <v>2369</v>
      </c>
      <c r="F359" t="s">
        <v>1144</v>
      </c>
      <c r="G359" t="s">
        <v>2370</v>
      </c>
      <c r="H359" t="s">
        <v>2368</v>
      </c>
      <c r="I359" t="s">
        <v>2460</v>
      </c>
      <c r="N359" t="s">
        <v>2461</v>
      </c>
      <c r="S359" t="s">
        <v>898</v>
      </c>
      <c r="T359" t="s">
        <v>219</v>
      </c>
      <c r="U359" t="s">
        <v>2472</v>
      </c>
      <c r="V359" t="s">
        <v>876</v>
      </c>
      <c r="W359">
        <v>17662</v>
      </c>
      <c r="X359">
        <v>77</v>
      </c>
      <c r="Y359" t="s">
        <v>2473</v>
      </c>
      <c r="Z359" t="s">
        <v>2474</v>
      </c>
      <c r="AA359" t="s">
        <v>802</v>
      </c>
      <c r="AB359" t="s">
        <v>794</v>
      </c>
      <c r="AC359" t="s">
        <v>815</v>
      </c>
      <c r="AD359" t="s">
        <v>815</v>
      </c>
      <c r="AE359" t="s">
        <v>2475</v>
      </c>
      <c r="AH359" t="s">
        <v>867</v>
      </c>
    </row>
    <row r="360" spans="1:34">
      <c r="A360">
        <v>358</v>
      </c>
      <c r="B360" t="s">
        <v>2476</v>
      </c>
      <c r="C360">
        <v>663</v>
      </c>
      <c r="D360" t="s">
        <v>981</v>
      </c>
      <c r="E360" t="s">
        <v>2369</v>
      </c>
      <c r="F360" t="s">
        <v>1144</v>
      </c>
      <c r="G360" t="s">
        <v>2370</v>
      </c>
      <c r="H360" t="s">
        <v>2368</v>
      </c>
      <c r="I360" t="s">
        <v>2460</v>
      </c>
      <c r="N360" t="s">
        <v>2461</v>
      </c>
      <c r="S360" t="s">
        <v>874</v>
      </c>
      <c r="T360" t="s">
        <v>239</v>
      </c>
      <c r="U360" t="s">
        <v>2477</v>
      </c>
      <c r="V360" t="s">
        <v>876</v>
      </c>
      <c r="W360">
        <v>29101</v>
      </c>
      <c r="X360">
        <v>46</v>
      </c>
      <c r="Y360" t="s">
        <v>2478</v>
      </c>
      <c r="Z360" t="s">
        <v>2479</v>
      </c>
      <c r="AA360" t="s">
        <v>802</v>
      </c>
      <c r="AB360" t="s">
        <v>794</v>
      </c>
      <c r="AC360" t="s">
        <v>815</v>
      </c>
      <c r="AD360" t="s">
        <v>2480</v>
      </c>
      <c r="AE360" t="s">
        <v>2481</v>
      </c>
      <c r="AH360" t="s">
        <v>867</v>
      </c>
    </row>
    <row r="361" spans="1:34">
      <c r="A361">
        <v>359</v>
      </c>
      <c r="B361" t="s">
        <v>2482</v>
      </c>
      <c r="C361">
        <v>665</v>
      </c>
      <c r="D361" t="s">
        <v>981</v>
      </c>
      <c r="E361" t="s">
        <v>2369</v>
      </c>
      <c r="F361" t="s">
        <v>1144</v>
      </c>
      <c r="G361" t="s">
        <v>2370</v>
      </c>
      <c r="H361" t="s">
        <v>2368</v>
      </c>
      <c r="I361" t="s">
        <v>2460</v>
      </c>
      <c r="N361" t="s">
        <v>2461</v>
      </c>
      <c r="S361" t="s">
        <v>874</v>
      </c>
      <c r="T361" t="s">
        <v>2483</v>
      </c>
      <c r="U361" t="s">
        <v>2484</v>
      </c>
      <c r="V361" t="s">
        <v>876</v>
      </c>
      <c r="W361">
        <v>30956</v>
      </c>
      <c r="X361">
        <v>41</v>
      </c>
      <c r="Y361" t="s">
        <v>2485</v>
      </c>
      <c r="Z361" t="s">
        <v>2486</v>
      </c>
      <c r="AA361" t="s">
        <v>842</v>
      </c>
      <c r="AB361" t="s">
        <v>851</v>
      </c>
      <c r="AC361" t="s">
        <v>815</v>
      </c>
      <c r="AD361" t="s">
        <v>815</v>
      </c>
      <c r="AE361" t="s">
        <v>2487</v>
      </c>
      <c r="AH361" t="s">
        <v>903</v>
      </c>
    </row>
    <row r="362" spans="1:34">
      <c r="A362">
        <v>360</v>
      </c>
      <c r="B362" t="s">
        <v>2488</v>
      </c>
      <c r="C362">
        <v>667</v>
      </c>
      <c r="D362" t="s">
        <v>981</v>
      </c>
      <c r="E362" t="s">
        <v>2369</v>
      </c>
      <c r="F362" t="s">
        <v>1144</v>
      </c>
      <c r="G362" t="s">
        <v>2370</v>
      </c>
      <c r="H362" t="s">
        <v>2368</v>
      </c>
      <c r="I362" t="s">
        <v>2488</v>
      </c>
      <c r="J362" t="s">
        <v>2489</v>
      </c>
      <c r="N362" t="s">
        <v>828</v>
      </c>
      <c r="P362" t="s">
        <v>49</v>
      </c>
      <c r="Q362" t="s">
        <v>168</v>
      </c>
      <c r="S362" t="s">
        <v>874</v>
      </c>
      <c r="T362" t="s">
        <v>179</v>
      </c>
      <c r="U362" t="s">
        <v>2490</v>
      </c>
      <c r="V362" t="s">
        <v>876</v>
      </c>
      <c r="W362">
        <v>23890</v>
      </c>
      <c r="X362">
        <v>60</v>
      </c>
      <c r="Y362" t="s">
        <v>2491</v>
      </c>
      <c r="Z362" t="s">
        <v>2492</v>
      </c>
      <c r="AA362" t="s">
        <v>802</v>
      </c>
      <c r="AB362" t="s">
        <v>794</v>
      </c>
      <c r="AC362" t="s">
        <v>713</v>
      </c>
      <c r="AD362" t="s">
        <v>815</v>
      </c>
      <c r="AE362" t="s">
        <v>2333</v>
      </c>
      <c r="AH362" t="s">
        <v>844</v>
      </c>
    </row>
    <row r="363" spans="1:34">
      <c r="A363">
        <v>361</v>
      </c>
      <c r="B363" t="s">
        <v>2489</v>
      </c>
      <c r="C363">
        <v>669</v>
      </c>
      <c r="D363" t="s">
        <v>981</v>
      </c>
      <c r="E363" t="s">
        <v>2369</v>
      </c>
      <c r="F363" t="s">
        <v>1144</v>
      </c>
      <c r="G363" t="s">
        <v>2370</v>
      </c>
      <c r="H363" t="s">
        <v>2368</v>
      </c>
      <c r="I363" t="s">
        <v>2488</v>
      </c>
      <c r="J363" t="s">
        <v>2489</v>
      </c>
      <c r="N363" t="s">
        <v>828</v>
      </c>
      <c r="P363" t="s">
        <v>62</v>
      </c>
      <c r="Q363" t="s">
        <v>548</v>
      </c>
      <c r="S363" t="s">
        <v>874</v>
      </c>
      <c r="T363" t="s">
        <v>199</v>
      </c>
      <c r="U363" t="s">
        <v>2493</v>
      </c>
      <c r="V363" t="s">
        <v>876</v>
      </c>
      <c r="W363">
        <v>21150</v>
      </c>
      <c r="X363">
        <v>68</v>
      </c>
      <c r="Y363" t="s">
        <v>2494</v>
      </c>
      <c r="Z363" t="s">
        <v>2495</v>
      </c>
      <c r="AA363" t="s">
        <v>842</v>
      </c>
      <c r="AB363" t="s">
        <v>851</v>
      </c>
      <c r="AC363" t="s">
        <v>815</v>
      </c>
      <c r="AD363" t="s">
        <v>815</v>
      </c>
      <c r="AE363" t="s">
        <v>2496</v>
      </c>
      <c r="AH363" t="s">
        <v>1852</v>
      </c>
    </row>
    <row r="364" spans="1:34">
      <c r="A364">
        <v>362</v>
      </c>
      <c r="B364" t="s">
        <v>2497</v>
      </c>
      <c r="C364">
        <v>671</v>
      </c>
      <c r="D364" t="s">
        <v>981</v>
      </c>
      <c r="E364" t="s">
        <v>2369</v>
      </c>
      <c r="F364" t="s">
        <v>1144</v>
      </c>
      <c r="G364" t="s">
        <v>2370</v>
      </c>
      <c r="H364" t="s">
        <v>2368</v>
      </c>
      <c r="I364" t="s">
        <v>2488</v>
      </c>
      <c r="J364" t="s">
        <v>2489</v>
      </c>
      <c r="N364" t="s">
        <v>828</v>
      </c>
      <c r="S364" t="s">
        <v>874</v>
      </c>
      <c r="T364" t="s">
        <v>220</v>
      </c>
      <c r="U364" t="s">
        <v>2498</v>
      </c>
      <c r="V364" t="s">
        <v>876</v>
      </c>
      <c r="W364">
        <v>21259</v>
      </c>
      <c r="X364">
        <v>67</v>
      </c>
      <c r="Y364" t="s">
        <v>2499</v>
      </c>
      <c r="Z364" t="s">
        <v>2500</v>
      </c>
      <c r="AA364" t="s">
        <v>842</v>
      </c>
      <c r="AB364" t="s">
        <v>851</v>
      </c>
      <c r="AC364" t="s">
        <v>815</v>
      </c>
      <c r="AD364" t="s">
        <v>815</v>
      </c>
      <c r="AE364" t="s">
        <v>2501</v>
      </c>
      <c r="AH364" t="s">
        <v>1852</v>
      </c>
    </row>
    <row r="365" spans="1:34">
      <c r="A365">
        <v>363</v>
      </c>
      <c r="B365" t="s">
        <v>2502</v>
      </c>
      <c r="C365">
        <v>673</v>
      </c>
      <c r="D365" t="s">
        <v>981</v>
      </c>
      <c r="E365" t="s">
        <v>2369</v>
      </c>
      <c r="F365" t="s">
        <v>1144</v>
      </c>
      <c r="G365" t="s">
        <v>2370</v>
      </c>
      <c r="H365" t="s">
        <v>2368</v>
      </c>
      <c r="I365" t="s">
        <v>2488</v>
      </c>
      <c r="J365" t="s">
        <v>2489</v>
      </c>
      <c r="N365" t="s">
        <v>828</v>
      </c>
      <c r="S365" t="s">
        <v>874</v>
      </c>
      <c r="T365" t="s">
        <v>240</v>
      </c>
      <c r="U365" t="s">
        <v>2503</v>
      </c>
      <c r="V365" t="s">
        <v>876</v>
      </c>
      <c r="W365">
        <v>21707</v>
      </c>
      <c r="X365">
        <v>66</v>
      </c>
      <c r="Y365" t="s">
        <v>2504</v>
      </c>
      <c r="Z365" t="s">
        <v>2505</v>
      </c>
      <c r="AA365" t="s">
        <v>842</v>
      </c>
      <c r="AB365" t="s">
        <v>851</v>
      </c>
      <c r="AC365" t="s">
        <v>815</v>
      </c>
      <c r="AD365" t="s">
        <v>713</v>
      </c>
      <c r="AE365" t="s">
        <v>2506</v>
      </c>
      <c r="AH365" t="s">
        <v>1852</v>
      </c>
    </row>
    <row r="366" spans="1:34">
      <c r="A366">
        <v>364</v>
      </c>
      <c r="B366" t="s">
        <v>2507</v>
      </c>
      <c r="C366">
        <v>675</v>
      </c>
      <c r="D366" t="s">
        <v>981</v>
      </c>
      <c r="E366" t="s">
        <v>2369</v>
      </c>
      <c r="F366" t="s">
        <v>1144</v>
      </c>
      <c r="G366" t="s">
        <v>2370</v>
      </c>
      <c r="H366" t="s">
        <v>2368</v>
      </c>
      <c r="I366" t="s">
        <v>2488</v>
      </c>
      <c r="J366" t="s">
        <v>2489</v>
      </c>
      <c r="N366" t="s">
        <v>828</v>
      </c>
      <c r="S366" t="s">
        <v>874</v>
      </c>
      <c r="T366" t="s">
        <v>257</v>
      </c>
      <c r="U366" t="s">
        <v>2508</v>
      </c>
      <c r="V366" t="s">
        <v>876</v>
      </c>
      <c r="W366">
        <v>26474</v>
      </c>
      <c r="X366">
        <v>53</v>
      </c>
      <c r="Y366" t="s">
        <v>2509</v>
      </c>
      <c r="AA366" t="s">
        <v>842</v>
      </c>
      <c r="AB366" t="s">
        <v>843</v>
      </c>
      <c r="AC366" t="s">
        <v>815</v>
      </c>
      <c r="AD366" t="s">
        <v>815</v>
      </c>
      <c r="AE366" t="s">
        <v>2510</v>
      </c>
      <c r="AG366" t="s">
        <v>2511</v>
      </c>
      <c r="AH366" t="s">
        <v>1852</v>
      </c>
    </row>
    <row r="367" spans="1:34">
      <c r="A367">
        <v>365</v>
      </c>
      <c r="B367" t="s">
        <v>2512</v>
      </c>
      <c r="C367">
        <v>677</v>
      </c>
      <c r="D367" t="s">
        <v>981</v>
      </c>
      <c r="E367" t="s">
        <v>2369</v>
      </c>
      <c r="F367" t="s">
        <v>1144</v>
      </c>
      <c r="G367" t="s">
        <v>2370</v>
      </c>
      <c r="H367" t="s">
        <v>2368</v>
      </c>
      <c r="I367" t="s">
        <v>2488</v>
      </c>
      <c r="J367" t="s">
        <v>2489</v>
      </c>
      <c r="N367" t="s">
        <v>828</v>
      </c>
      <c r="S367" t="s">
        <v>874</v>
      </c>
      <c r="T367" t="s">
        <v>273</v>
      </c>
      <c r="U367" t="s">
        <v>2513</v>
      </c>
      <c r="V367" t="s">
        <v>876</v>
      </c>
      <c r="W367">
        <v>30766</v>
      </c>
      <c r="X367">
        <v>41</v>
      </c>
      <c r="Y367" t="s">
        <v>2514</v>
      </c>
      <c r="AA367" t="s">
        <v>842</v>
      </c>
      <c r="AB367" t="s">
        <v>843</v>
      </c>
      <c r="AC367" t="s">
        <v>815</v>
      </c>
      <c r="AD367" t="s">
        <v>815</v>
      </c>
      <c r="AE367" t="s">
        <v>2515</v>
      </c>
      <c r="AH367" t="s">
        <v>1852</v>
      </c>
    </row>
    <row r="368" spans="1:34">
      <c r="A368">
        <v>366</v>
      </c>
      <c r="B368" t="s">
        <v>2516</v>
      </c>
      <c r="C368">
        <v>679</v>
      </c>
      <c r="D368" t="s">
        <v>981</v>
      </c>
      <c r="E368" t="s">
        <v>2369</v>
      </c>
      <c r="F368" t="s">
        <v>1144</v>
      </c>
      <c r="G368" t="s">
        <v>2370</v>
      </c>
      <c r="H368" t="s">
        <v>2368</v>
      </c>
      <c r="I368" t="s">
        <v>2488</v>
      </c>
      <c r="J368" t="s">
        <v>2489</v>
      </c>
      <c r="N368" t="s">
        <v>828</v>
      </c>
      <c r="S368" t="s">
        <v>874</v>
      </c>
      <c r="T368" t="s">
        <v>284</v>
      </c>
      <c r="U368" t="s">
        <v>2517</v>
      </c>
      <c r="V368" t="s">
        <v>876</v>
      </c>
      <c r="W368">
        <v>31673</v>
      </c>
      <c r="X368">
        <v>39</v>
      </c>
      <c r="Y368" t="s">
        <v>2518</v>
      </c>
      <c r="Z368" t="s">
        <v>2519</v>
      </c>
      <c r="AA368" t="s">
        <v>842</v>
      </c>
      <c r="AB368" t="s">
        <v>851</v>
      </c>
      <c r="AC368" t="s">
        <v>815</v>
      </c>
      <c r="AD368" t="s">
        <v>815</v>
      </c>
      <c r="AE368" t="s">
        <v>2297</v>
      </c>
      <c r="AH368" t="s">
        <v>1852</v>
      </c>
    </row>
    <row r="369" spans="1:35">
      <c r="A369">
        <v>367</v>
      </c>
      <c r="B369" t="s">
        <v>2520</v>
      </c>
      <c r="C369">
        <v>681</v>
      </c>
      <c r="D369" t="s">
        <v>981</v>
      </c>
      <c r="E369" t="s">
        <v>2369</v>
      </c>
      <c r="F369" t="s">
        <v>1144</v>
      </c>
      <c r="G369" t="s">
        <v>2370</v>
      </c>
      <c r="H369" t="s">
        <v>2368</v>
      </c>
      <c r="I369" t="s">
        <v>2520</v>
      </c>
      <c r="J369" t="s">
        <v>2521</v>
      </c>
      <c r="N369" t="s">
        <v>938</v>
      </c>
      <c r="P369" t="s">
        <v>49</v>
      </c>
      <c r="Q369" t="s">
        <v>168</v>
      </c>
      <c r="S369" t="s">
        <v>874</v>
      </c>
      <c r="T369" t="s">
        <v>180</v>
      </c>
      <c r="U369" t="s">
        <v>2522</v>
      </c>
      <c r="V369" t="s">
        <v>876</v>
      </c>
      <c r="W369">
        <v>25699</v>
      </c>
      <c r="X369">
        <v>55</v>
      </c>
      <c r="Y369" t="s">
        <v>2523</v>
      </c>
      <c r="Z369" t="s">
        <v>2524</v>
      </c>
      <c r="AA369" t="s">
        <v>802</v>
      </c>
      <c r="AB369" t="s">
        <v>794</v>
      </c>
      <c r="AC369" t="s">
        <v>815</v>
      </c>
      <c r="AD369" t="s">
        <v>815</v>
      </c>
      <c r="AE369" t="s">
        <v>2525</v>
      </c>
      <c r="AH369" t="s">
        <v>903</v>
      </c>
    </row>
    <row r="370" spans="1:35">
      <c r="A370">
        <v>368</v>
      </c>
      <c r="B370" t="s">
        <v>2521</v>
      </c>
      <c r="C370">
        <v>683</v>
      </c>
      <c r="D370" t="s">
        <v>981</v>
      </c>
      <c r="E370" t="s">
        <v>2369</v>
      </c>
      <c r="F370" t="s">
        <v>1144</v>
      </c>
      <c r="G370" t="s">
        <v>2370</v>
      </c>
      <c r="H370" t="s">
        <v>2368</v>
      </c>
      <c r="I370" t="s">
        <v>2520</v>
      </c>
      <c r="J370" t="s">
        <v>2521</v>
      </c>
      <c r="N370" t="s">
        <v>938</v>
      </c>
      <c r="P370" t="s">
        <v>62</v>
      </c>
      <c r="Q370" t="s">
        <v>548</v>
      </c>
      <c r="S370" t="s">
        <v>874</v>
      </c>
      <c r="T370" t="s">
        <v>241</v>
      </c>
      <c r="U370" t="s">
        <v>2526</v>
      </c>
      <c r="V370" t="s">
        <v>876</v>
      </c>
      <c r="W370">
        <v>23880</v>
      </c>
      <c r="X370">
        <v>60</v>
      </c>
      <c r="Y370" t="s">
        <v>2527</v>
      </c>
      <c r="Z370" t="s">
        <v>2528</v>
      </c>
      <c r="AA370" t="s">
        <v>842</v>
      </c>
      <c r="AB370" t="s">
        <v>843</v>
      </c>
      <c r="AC370" t="s">
        <v>815</v>
      </c>
      <c r="AD370" t="s">
        <v>2529</v>
      </c>
      <c r="AE370" t="s">
        <v>2530</v>
      </c>
      <c r="AH370" t="s">
        <v>1497</v>
      </c>
    </row>
    <row r="371" spans="1:35">
      <c r="A371">
        <v>369</v>
      </c>
      <c r="B371" t="s">
        <v>2531</v>
      </c>
      <c r="C371">
        <v>685</v>
      </c>
      <c r="D371" t="s">
        <v>811</v>
      </c>
      <c r="E371" t="s">
        <v>2369</v>
      </c>
      <c r="F371" t="s">
        <v>1144</v>
      </c>
      <c r="G371" t="s">
        <v>2370</v>
      </c>
      <c r="H371" t="s">
        <v>2368</v>
      </c>
      <c r="I371" t="s">
        <v>2520</v>
      </c>
      <c r="J371" t="s">
        <v>2521</v>
      </c>
      <c r="N371" t="s">
        <v>938</v>
      </c>
      <c r="S371" t="s">
        <v>898</v>
      </c>
      <c r="T371" t="s">
        <v>200</v>
      </c>
      <c r="U371" t="s">
        <v>2532</v>
      </c>
      <c r="V371" t="s">
        <v>876</v>
      </c>
      <c r="W371">
        <v>19481</v>
      </c>
      <c r="X371">
        <v>72</v>
      </c>
      <c r="Y371" t="s">
        <v>2533</v>
      </c>
      <c r="Z371" t="s">
        <v>2534</v>
      </c>
      <c r="AA371" t="s">
        <v>842</v>
      </c>
      <c r="AB371" t="s">
        <v>843</v>
      </c>
      <c r="AC371" t="s">
        <v>942</v>
      </c>
      <c r="AD371" t="s">
        <v>2535</v>
      </c>
      <c r="AE371" t="s">
        <v>2536</v>
      </c>
      <c r="AH371" t="s">
        <v>1497</v>
      </c>
    </row>
    <row r="372" spans="1:35">
      <c r="A372">
        <v>370</v>
      </c>
      <c r="B372" t="s">
        <v>2537</v>
      </c>
      <c r="C372">
        <v>687</v>
      </c>
      <c r="D372" t="s">
        <v>981</v>
      </c>
      <c r="E372" t="s">
        <v>2369</v>
      </c>
      <c r="F372" t="s">
        <v>1144</v>
      </c>
      <c r="G372" t="s">
        <v>2370</v>
      </c>
      <c r="H372" t="s">
        <v>2368</v>
      </c>
      <c r="I372" t="s">
        <v>2520</v>
      </c>
      <c r="J372" t="s">
        <v>2521</v>
      </c>
      <c r="N372" t="s">
        <v>938</v>
      </c>
      <c r="S372" t="s">
        <v>898</v>
      </c>
      <c r="T372" t="s">
        <v>221</v>
      </c>
      <c r="U372" t="s">
        <v>2538</v>
      </c>
      <c r="V372" t="s">
        <v>876</v>
      </c>
      <c r="W372">
        <v>19809</v>
      </c>
      <c r="X372">
        <v>71</v>
      </c>
      <c r="Y372" t="s">
        <v>2539</v>
      </c>
      <c r="Z372" t="s">
        <v>2540</v>
      </c>
      <c r="AA372" t="s">
        <v>842</v>
      </c>
      <c r="AB372" t="s">
        <v>843</v>
      </c>
      <c r="AC372" t="s">
        <v>815</v>
      </c>
      <c r="AD372" t="s">
        <v>815</v>
      </c>
      <c r="AE372" t="s">
        <v>2496</v>
      </c>
      <c r="AH372" t="s">
        <v>1497</v>
      </c>
    </row>
    <row r="373" spans="1:35">
      <c r="A373">
        <v>371</v>
      </c>
      <c r="B373" t="s">
        <v>2541</v>
      </c>
      <c r="C373">
        <v>689</v>
      </c>
      <c r="D373" t="s">
        <v>981</v>
      </c>
      <c r="E373" t="s">
        <v>2369</v>
      </c>
      <c r="F373" t="s">
        <v>1144</v>
      </c>
      <c r="G373" t="s">
        <v>2370</v>
      </c>
      <c r="H373" t="s">
        <v>2368</v>
      </c>
      <c r="I373" t="s">
        <v>2520</v>
      </c>
      <c r="J373" t="s">
        <v>2521</v>
      </c>
      <c r="N373" t="s">
        <v>938</v>
      </c>
      <c r="S373" t="s">
        <v>874</v>
      </c>
      <c r="T373" t="s">
        <v>258</v>
      </c>
      <c r="U373" t="s">
        <v>2542</v>
      </c>
      <c r="V373" t="s">
        <v>876</v>
      </c>
      <c r="W373">
        <v>26431</v>
      </c>
      <c r="X373">
        <v>53</v>
      </c>
      <c r="Y373" t="s">
        <v>2543</v>
      </c>
      <c r="Z373" t="s">
        <v>2544</v>
      </c>
      <c r="AA373" t="s">
        <v>842</v>
      </c>
      <c r="AB373" t="s">
        <v>843</v>
      </c>
      <c r="AC373" t="s">
        <v>815</v>
      </c>
      <c r="AD373" t="s">
        <v>815</v>
      </c>
      <c r="AE373" t="s">
        <v>2297</v>
      </c>
      <c r="AH373" t="s">
        <v>1497</v>
      </c>
    </row>
    <row r="374" spans="1:35">
      <c r="A374">
        <v>372</v>
      </c>
      <c r="B374" t="s">
        <v>1258</v>
      </c>
      <c r="C374">
        <v>690</v>
      </c>
      <c r="E374" t="s">
        <v>2369</v>
      </c>
      <c r="F374" t="s">
        <v>1144</v>
      </c>
      <c r="G374" t="s">
        <v>2370</v>
      </c>
      <c r="H374" t="s">
        <v>1106</v>
      </c>
      <c r="I374" t="s">
        <v>1258</v>
      </c>
      <c r="J374" t="s">
        <v>2545</v>
      </c>
      <c r="K374" t="s">
        <v>2546</v>
      </c>
      <c r="N374" t="s">
        <v>978</v>
      </c>
      <c r="P374" t="s">
        <v>49</v>
      </c>
      <c r="Q374" t="s">
        <v>49</v>
      </c>
      <c r="T374" t="s">
        <v>166</v>
      </c>
      <c r="U374" t="s">
        <v>1261</v>
      </c>
      <c r="V374" t="s">
        <v>876</v>
      </c>
      <c r="W374">
        <v>21384</v>
      </c>
      <c r="X374">
        <v>67</v>
      </c>
      <c r="Y374" t="s">
        <v>1262</v>
      </c>
      <c r="AA374" t="s">
        <v>842</v>
      </c>
      <c r="AB374" t="s">
        <v>794</v>
      </c>
      <c r="AC374" t="s">
        <v>713</v>
      </c>
      <c r="AD374" t="s">
        <v>1163</v>
      </c>
      <c r="AE374" t="s">
        <v>1172</v>
      </c>
      <c r="AF374" t="s">
        <v>872</v>
      </c>
    </row>
    <row r="375" spans="1:35">
      <c r="A375">
        <v>373</v>
      </c>
      <c r="B375" t="s">
        <v>2545</v>
      </c>
      <c r="C375">
        <v>692</v>
      </c>
      <c r="D375" t="s">
        <v>981</v>
      </c>
      <c r="E375" t="s">
        <v>2369</v>
      </c>
      <c r="F375" t="s">
        <v>1144</v>
      </c>
      <c r="G375" t="s">
        <v>2370</v>
      </c>
      <c r="H375" t="s">
        <v>1106</v>
      </c>
      <c r="I375" t="s">
        <v>1258</v>
      </c>
      <c r="J375" t="s">
        <v>2545</v>
      </c>
      <c r="K375" t="s">
        <v>2546</v>
      </c>
      <c r="N375" t="s">
        <v>978</v>
      </c>
      <c r="O375" t="s">
        <v>308</v>
      </c>
      <c r="P375" t="s">
        <v>62</v>
      </c>
      <c r="Q375" t="s">
        <v>548</v>
      </c>
      <c r="S375" t="s">
        <v>874</v>
      </c>
      <c r="T375" t="s">
        <v>242</v>
      </c>
      <c r="U375" t="s">
        <v>2547</v>
      </c>
      <c r="V375" t="s">
        <v>876</v>
      </c>
      <c r="W375">
        <v>25424</v>
      </c>
      <c r="X375">
        <v>56</v>
      </c>
      <c r="Y375" t="s">
        <v>2548</v>
      </c>
      <c r="Z375" t="s">
        <v>2549</v>
      </c>
      <c r="AA375" t="s">
        <v>842</v>
      </c>
      <c r="AB375" t="s">
        <v>843</v>
      </c>
      <c r="AC375" t="s">
        <v>815</v>
      </c>
      <c r="AD375" t="s">
        <v>815</v>
      </c>
      <c r="AE375" t="s">
        <v>1352</v>
      </c>
      <c r="AH375" t="s">
        <v>1087</v>
      </c>
    </row>
    <row r="376" spans="1:35">
      <c r="A376">
        <v>374</v>
      </c>
      <c r="B376" t="s">
        <v>2546</v>
      </c>
      <c r="C376">
        <v>694</v>
      </c>
      <c r="D376" t="s">
        <v>981</v>
      </c>
      <c r="E376" t="s">
        <v>2369</v>
      </c>
      <c r="F376" t="s">
        <v>1144</v>
      </c>
      <c r="G376" t="s">
        <v>2370</v>
      </c>
      <c r="H376" t="s">
        <v>1106</v>
      </c>
      <c r="I376" t="s">
        <v>1258</v>
      </c>
      <c r="J376" t="s">
        <v>2545</v>
      </c>
      <c r="K376" t="s">
        <v>2546</v>
      </c>
      <c r="N376" t="s">
        <v>978</v>
      </c>
      <c r="O376" t="s">
        <v>308</v>
      </c>
      <c r="P376" t="s">
        <v>62</v>
      </c>
      <c r="Q376" t="s">
        <v>548</v>
      </c>
      <c r="S376" t="s">
        <v>874</v>
      </c>
      <c r="T376" t="s">
        <v>285</v>
      </c>
      <c r="U376" t="s">
        <v>2550</v>
      </c>
      <c r="V376" t="s">
        <v>876</v>
      </c>
      <c r="W376">
        <v>25965</v>
      </c>
      <c r="X376">
        <v>54</v>
      </c>
      <c r="Y376" t="s">
        <v>2551</v>
      </c>
      <c r="Z376" t="s">
        <v>2552</v>
      </c>
      <c r="AA376" t="s">
        <v>842</v>
      </c>
      <c r="AB376" t="s">
        <v>843</v>
      </c>
      <c r="AC376" t="s">
        <v>815</v>
      </c>
      <c r="AD376" t="s">
        <v>815</v>
      </c>
      <c r="AE376" t="s">
        <v>2004</v>
      </c>
      <c r="AH376" t="s">
        <v>1087</v>
      </c>
    </row>
    <row r="377" spans="1:35">
      <c r="A377">
        <v>375</v>
      </c>
      <c r="B377" t="s">
        <v>2553</v>
      </c>
      <c r="C377">
        <v>696</v>
      </c>
      <c r="D377" t="s">
        <v>981</v>
      </c>
      <c r="E377" t="s">
        <v>2369</v>
      </c>
      <c r="F377" t="s">
        <v>1144</v>
      </c>
      <c r="G377" t="s">
        <v>2370</v>
      </c>
      <c r="H377" t="s">
        <v>1106</v>
      </c>
      <c r="I377" t="s">
        <v>1258</v>
      </c>
      <c r="J377" t="s">
        <v>2545</v>
      </c>
      <c r="K377" t="s">
        <v>2546</v>
      </c>
      <c r="N377" t="s">
        <v>978</v>
      </c>
      <c r="O377" t="s">
        <v>308</v>
      </c>
      <c r="S377" t="s">
        <v>874</v>
      </c>
      <c r="T377" t="s">
        <v>201</v>
      </c>
      <c r="U377" t="s">
        <v>2554</v>
      </c>
      <c r="V377" t="s">
        <v>876</v>
      </c>
      <c r="W377">
        <v>21961</v>
      </c>
      <c r="X377">
        <v>65</v>
      </c>
      <c r="Y377" t="s">
        <v>1591</v>
      </c>
      <c r="Z377" t="s">
        <v>2555</v>
      </c>
      <c r="AA377" t="s">
        <v>842</v>
      </c>
      <c r="AB377" t="s">
        <v>843</v>
      </c>
      <c r="AC377" t="s">
        <v>815</v>
      </c>
      <c r="AD377" t="s">
        <v>815</v>
      </c>
      <c r="AE377" t="s">
        <v>1352</v>
      </c>
      <c r="AH377" t="s">
        <v>1087</v>
      </c>
    </row>
    <row r="378" spans="1:35">
      <c r="A378">
        <v>376</v>
      </c>
      <c r="B378" t="s">
        <v>2556</v>
      </c>
      <c r="C378">
        <v>698</v>
      </c>
      <c r="D378" t="s">
        <v>981</v>
      </c>
      <c r="E378" t="s">
        <v>2369</v>
      </c>
      <c r="F378" t="s">
        <v>1144</v>
      </c>
      <c r="G378" t="s">
        <v>2370</v>
      </c>
      <c r="H378" t="s">
        <v>1106</v>
      </c>
      <c r="I378" t="s">
        <v>1258</v>
      </c>
      <c r="J378" t="s">
        <v>2545</v>
      </c>
      <c r="K378" t="s">
        <v>2546</v>
      </c>
      <c r="N378" t="s">
        <v>978</v>
      </c>
      <c r="O378" t="s">
        <v>308</v>
      </c>
      <c r="S378" t="s">
        <v>874</v>
      </c>
      <c r="T378" t="s">
        <v>222</v>
      </c>
      <c r="U378" t="s">
        <v>2557</v>
      </c>
      <c r="V378" t="s">
        <v>876</v>
      </c>
      <c r="W378">
        <v>22297</v>
      </c>
      <c r="X378">
        <v>65</v>
      </c>
      <c r="Y378" t="s">
        <v>2558</v>
      </c>
      <c r="Z378" t="s">
        <v>2559</v>
      </c>
      <c r="AA378" t="s">
        <v>842</v>
      </c>
      <c r="AB378" t="s">
        <v>843</v>
      </c>
      <c r="AC378" t="s">
        <v>815</v>
      </c>
      <c r="AD378" t="s">
        <v>815</v>
      </c>
      <c r="AE378" t="s">
        <v>2560</v>
      </c>
      <c r="AH378" t="s">
        <v>1087</v>
      </c>
    </row>
    <row r="379" spans="1:35">
      <c r="A379">
        <v>377</v>
      </c>
      <c r="B379" t="s">
        <v>2561</v>
      </c>
      <c r="C379">
        <v>700</v>
      </c>
      <c r="D379" t="s">
        <v>981</v>
      </c>
      <c r="E379" t="s">
        <v>2369</v>
      </c>
      <c r="F379" t="s">
        <v>1144</v>
      </c>
      <c r="G379" t="s">
        <v>2370</v>
      </c>
      <c r="H379" t="s">
        <v>1106</v>
      </c>
      <c r="I379" t="s">
        <v>1258</v>
      </c>
      <c r="J379" t="s">
        <v>2545</v>
      </c>
      <c r="K379" t="s">
        <v>2546</v>
      </c>
      <c r="N379" t="s">
        <v>978</v>
      </c>
      <c r="O379" t="s">
        <v>308</v>
      </c>
      <c r="S379" t="s">
        <v>874</v>
      </c>
      <c r="T379" t="s">
        <v>259</v>
      </c>
      <c r="U379" t="s">
        <v>2562</v>
      </c>
      <c r="V379" t="s">
        <v>876</v>
      </c>
      <c r="W379">
        <v>25568</v>
      </c>
      <c r="X379">
        <v>56</v>
      </c>
      <c r="Y379" t="s">
        <v>2563</v>
      </c>
      <c r="Z379" t="s">
        <v>2564</v>
      </c>
      <c r="AA379" t="s">
        <v>842</v>
      </c>
      <c r="AB379" t="s">
        <v>843</v>
      </c>
      <c r="AC379" t="s">
        <v>815</v>
      </c>
      <c r="AD379" t="s">
        <v>815</v>
      </c>
      <c r="AE379" t="s">
        <v>2306</v>
      </c>
      <c r="AH379" t="s">
        <v>1087</v>
      </c>
    </row>
    <row r="380" spans="1:35">
      <c r="A380">
        <v>378</v>
      </c>
      <c r="B380" t="s">
        <v>2565</v>
      </c>
      <c r="C380">
        <v>702</v>
      </c>
      <c r="D380" t="s">
        <v>981</v>
      </c>
      <c r="E380" t="s">
        <v>2369</v>
      </c>
      <c r="F380" t="s">
        <v>1144</v>
      </c>
      <c r="G380" t="s">
        <v>2370</v>
      </c>
      <c r="H380" t="s">
        <v>1106</v>
      </c>
      <c r="I380" t="s">
        <v>1258</v>
      </c>
      <c r="J380" t="s">
        <v>2545</v>
      </c>
      <c r="K380" t="s">
        <v>2546</v>
      </c>
      <c r="N380" t="s">
        <v>978</v>
      </c>
      <c r="O380" t="s">
        <v>308</v>
      </c>
      <c r="S380" t="s">
        <v>874</v>
      </c>
      <c r="T380" t="s">
        <v>274</v>
      </c>
      <c r="U380" t="s">
        <v>2566</v>
      </c>
      <c r="V380" t="s">
        <v>876</v>
      </c>
      <c r="W380">
        <v>25925</v>
      </c>
      <c r="X380">
        <v>55</v>
      </c>
      <c r="Y380" t="s">
        <v>2567</v>
      </c>
      <c r="Z380" t="s">
        <v>2568</v>
      </c>
      <c r="AA380" t="s">
        <v>842</v>
      </c>
      <c r="AB380" t="s">
        <v>843</v>
      </c>
      <c r="AC380" t="s">
        <v>815</v>
      </c>
      <c r="AD380" t="s">
        <v>815</v>
      </c>
      <c r="AE380" t="s">
        <v>2306</v>
      </c>
      <c r="AH380" t="s">
        <v>1087</v>
      </c>
    </row>
    <row r="381" spans="1:35">
      <c r="A381">
        <v>379</v>
      </c>
      <c r="B381" t="s">
        <v>2569</v>
      </c>
      <c r="C381">
        <v>704</v>
      </c>
      <c r="D381" t="s">
        <v>811</v>
      </c>
      <c r="E381" t="s">
        <v>2369</v>
      </c>
      <c r="F381" t="s">
        <v>1144</v>
      </c>
      <c r="G381" t="s">
        <v>2370</v>
      </c>
      <c r="H381" t="s">
        <v>1106</v>
      </c>
      <c r="I381" t="s">
        <v>1258</v>
      </c>
      <c r="J381" t="s">
        <v>2545</v>
      </c>
      <c r="K381" t="s">
        <v>2546</v>
      </c>
      <c r="N381" t="s">
        <v>978</v>
      </c>
      <c r="O381" t="s">
        <v>308</v>
      </c>
      <c r="S381" t="s">
        <v>874</v>
      </c>
      <c r="T381" t="s">
        <v>2570</v>
      </c>
      <c r="U381" t="s">
        <v>2571</v>
      </c>
      <c r="V381" t="s">
        <v>876</v>
      </c>
      <c r="W381">
        <v>26507</v>
      </c>
      <c r="X381">
        <v>53</v>
      </c>
      <c r="Y381" t="s">
        <v>2572</v>
      </c>
      <c r="AA381" t="s">
        <v>842</v>
      </c>
      <c r="AB381" t="s">
        <v>843</v>
      </c>
      <c r="AC381" t="s">
        <v>1289</v>
      </c>
      <c r="AD381" t="s">
        <v>1289</v>
      </c>
      <c r="AE381" t="s">
        <v>2573</v>
      </c>
      <c r="AG381" t="s">
        <v>1840</v>
      </c>
      <c r="AH381" t="s">
        <v>1087</v>
      </c>
      <c r="AI381" t="s">
        <v>860</v>
      </c>
    </row>
    <row r="382" spans="1:35">
      <c r="A382">
        <v>380</v>
      </c>
      <c r="B382" t="s">
        <v>2574</v>
      </c>
      <c r="C382">
        <v>706</v>
      </c>
      <c r="D382" t="s">
        <v>981</v>
      </c>
      <c r="E382" t="s">
        <v>2369</v>
      </c>
      <c r="F382" t="s">
        <v>1144</v>
      </c>
      <c r="G382" t="s">
        <v>2370</v>
      </c>
      <c r="H382" t="s">
        <v>1106</v>
      </c>
      <c r="I382" t="s">
        <v>1258</v>
      </c>
      <c r="J382" t="s">
        <v>2545</v>
      </c>
      <c r="K382" t="s">
        <v>2546</v>
      </c>
      <c r="N382" t="s">
        <v>978</v>
      </c>
      <c r="O382" t="s">
        <v>308</v>
      </c>
      <c r="S382" t="s">
        <v>874</v>
      </c>
      <c r="T382" t="s">
        <v>298</v>
      </c>
      <c r="U382" t="s">
        <v>2575</v>
      </c>
      <c r="V382" t="s">
        <v>876</v>
      </c>
      <c r="W382">
        <v>29212</v>
      </c>
      <c r="X382">
        <v>46</v>
      </c>
      <c r="Y382" t="s">
        <v>2576</v>
      </c>
      <c r="Z382" t="s">
        <v>2577</v>
      </c>
      <c r="AA382" t="s">
        <v>842</v>
      </c>
      <c r="AB382" t="s">
        <v>851</v>
      </c>
      <c r="AC382" t="s">
        <v>815</v>
      </c>
      <c r="AD382" t="s">
        <v>2578</v>
      </c>
      <c r="AE382" t="s">
        <v>2579</v>
      </c>
      <c r="AH382" t="s">
        <v>1087</v>
      </c>
    </row>
    <row r="383" spans="1:35">
      <c r="A383">
        <v>381</v>
      </c>
      <c r="B383" t="s">
        <v>2580</v>
      </c>
      <c r="C383">
        <v>708</v>
      </c>
      <c r="D383" t="s">
        <v>981</v>
      </c>
      <c r="E383" t="s">
        <v>2369</v>
      </c>
      <c r="F383" t="s">
        <v>1144</v>
      </c>
      <c r="G383" t="s">
        <v>2370</v>
      </c>
      <c r="H383" t="s">
        <v>1106</v>
      </c>
      <c r="I383" t="s">
        <v>1258</v>
      </c>
      <c r="J383" t="s">
        <v>2545</v>
      </c>
      <c r="K383" t="s">
        <v>2546</v>
      </c>
      <c r="N383" t="s">
        <v>978</v>
      </c>
      <c r="O383" t="s">
        <v>308</v>
      </c>
      <c r="S383" t="s">
        <v>874</v>
      </c>
      <c r="T383" t="s">
        <v>302</v>
      </c>
      <c r="U383" t="s">
        <v>2581</v>
      </c>
      <c r="V383" t="s">
        <v>876</v>
      </c>
      <c r="W383">
        <v>31483</v>
      </c>
      <c r="X383">
        <v>39</v>
      </c>
      <c r="Y383" t="s">
        <v>2582</v>
      </c>
      <c r="Z383" t="s">
        <v>2583</v>
      </c>
      <c r="AA383" t="s">
        <v>842</v>
      </c>
      <c r="AB383" t="s">
        <v>851</v>
      </c>
      <c r="AC383" t="s">
        <v>815</v>
      </c>
      <c r="AD383" t="s">
        <v>815</v>
      </c>
      <c r="AE383" t="s">
        <v>2301</v>
      </c>
      <c r="AH383" t="s">
        <v>1087</v>
      </c>
    </row>
    <row r="384" spans="1:35">
      <c r="A384">
        <v>382</v>
      </c>
      <c r="B384" t="s">
        <v>1144</v>
      </c>
      <c r="C384">
        <v>709</v>
      </c>
      <c r="E384" t="s">
        <v>2584</v>
      </c>
      <c r="F384" t="s">
        <v>1144</v>
      </c>
      <c r="G384" t="s">
        <v>107</v>
      </c>
      <c r="H384" t="s">
        <v>1144</v>
      </c>
      <c r="I384" t="s">
        <v>2403</v>
      </c>
      <c r="N384" t="s">
        <v>787</v>
      </c>
      <c r="P384" t="s">
        <v>163</v>
      </c>
      <c r="Q384" t="s">
        <v>1145</v>
      </c>
      <c r="R384" t="s">
        <v>49</v>
      </c>
      <c r="T384" t="s">
        <v>107</v>
      </c>
      <c r="U384" t="s">
        <v>1146</v>
      </c>
      <c r="V384" t="s">
        <v>876</v>
      </c>
      <c r="AF384" t="s">
        <v>872</v>
      </c>
    </row>
    <row r="385" spans="1:34">
      <c r="A385">
        <v>383</v>
      </c>
      <c r="B385" t="s">
        <v>2585</v>
      </c>
      <c r="C385">
        <v>711</v>
      </c>
      <c r="D385" t="s">
        <v>981</v>
      </c>
      <c r="E385" t="s">
        <v>2584</v>
      </c>
      <c r="F385" t="s">
        <v>1144</v>
      </c>
      <c r="G385" t="s">
        <v>107</v>
      </c>
      <c r="H385" t="s">
        <v>1144</v>
      </c>
      <c r="I385" t="s">
        <v>2403</v>
      </c>
      <c r="N385" t="s">
        <v>787</v>
      </c>
      <c r="S385" t="s">
        <v>788</v>
      </c>
      <c r="T385" t="s">
        <v>2586</v>
      </c>
      <c r="U385" t="s">
        <v>2587</v>
      </c>
      <c r="V385" t="s">
        <v>876</v>
      </c>
      <c r="W385">
        <v>35049</v>
      </c>
      <c r="X385">
        <v>30</v>
      </c>
      <c r="AA385" t="s">
        <v>842</v>
      </c>
      <c r="AB385" t="s">
        <v>794</v>
      </c>
      <c r="AC385" t="s">
        <v>815</v>
      </c>
      <c r="AD385" t="s">
        <v>815</v>
      </c>
      <c r="AE385" t="s">
        <v>2317</v>
      </c>
      <c r="AG385" t="s">
        <v>2443</v>
      </c>
    </row>
    <row r="386" spans="1:34">
      <c r="A386">
        <v>384</v>
      </c>
      <c r="B386" t="s">
        <v>2588</v>
      </c>
      <c r="C386">
        <v>713</v>
      </c>
      <c r="D386" t="s">
        <v>981</v>
      </c>
      <c r="E386" t="s">
        <v>2584</v>
      </c>
      <c r="F386" t="s">
        <v>1144</v>
      </c>
      <c r="G386" t="s">
        <v>107</v>
      </c>
      <c r="H386" t="s">
        <v>1144</v>
      </c>
      <c r="I386" t="s">
        <v>2403</v>
      </c>
      <c r="N386" t="s">
        <v>787</v>
      </c>
      <c r="S386" t="s">
        <v>874</v>
      </c>
      <c r="T386" t="s">
        <v>2589</v>
      </c>
      <c r="U386" t="s">
        <v>2590</v>
      </c>
      <c r="V386" t="s">
        <v>876</v>
      </c>
      <c r="W386">
        <v>29815</v>
      </c>
      <c r="X386">
        <v>44</v>
      </c>
      <c r="Y386" t="s">
        <v>2591</v>
      </c>
      <c r="AA386" t="s">
        <v>842</v>
      </c>
      <c r="AB386" t="s">
        <v>794</v>
      </c>
      <c r="AC386" t="s">
        <v>815</v>
      </c>
      <c r="AD386" t="s">
        <v>815</v>
      </c>
      <c r="AE386" t="s">
        <v>2592</v>
      </c>
      <c r="AG386" t="s">
        <v>2593</v>
      </c>
    </row>
    <row r="387" spans="1:34">
      <c r="A387">
        <v>385</v>
      </c>
      <c r="B387" t="s">
        <v>2594</v>
      </c>
      <c r="C387">
        <v>715</v>
      </c>
      <c r="D387" t="s">
        <v>981</v>
      </c>
      <c r="E387" t="s">
        <v>2584</v>
      </c>
      <c r="F387" t="s">
        <v>1144</v>
      </c>
      <c r="G387" t="s">
        <v>107</v>
      </c>
      <c r="H387" t="s">
        <v>1144</v>
      </c>
      <c r="I387" t="s">
        <v>2403</v>
      </c>
      <c r="N387" t="s">
        <v>787</v>
      </c>
      <c r="S387" t="s">
        <v>788</v>
      </c>
      <c r="T387" t="s">
        <v>2595</v>
      </c>
      <c r="U387" t="s">
        <v>2596</v>
      </c>
      <c r="V387" t="s">
        <v>876</v>
      </c>
      <c r="W387">
        <v>38225</v>
      </c>
      <c r="X387">
        <v>21</v>
      </c>
      <c r="Y387" t="s">
        <v>2597</v>
      </c>
      <c r="AA387" t="s">
        <v>842</v>
      </c>
      <c r="AB387" t="s">
        <v>843</v>
      </c>
      <c r="AC387" t="s">
        <v>815</v>
      </c>
      <c r="AD387" t="s">
        <v>815</v>
      </c>
      <c r="AE387" t="s">
        <v>2598</v>
      </c>
      <c r="AH387" t="s">
        <v>903</v>
      </c>
    </row>
    <row r="388" spans="1:34">
      <c r="A388">
        <v>386</v>
      </c>
      <c r="B388" t="s">
        <v>2599</v>
      </c>
      <c r="C388">
        <v>717</v>
      </c>
      <c r="D388" t="s">
        <v>981</v>
      </c>
      <c r="E388" t="s">
        <v>2584</v>
      </c>
      <c r="F388" t="s">
        <v>1144</v>
      </c>
      <c r="G388" t="s">
        <v>107</v>
      </c>
      <c r="H388" t="s">
        <v>1144</v>
      </c>
      <c r="I388" t="s">
        <v>2599</v>
      </c>
      <c r="J388" t="s">
        <v>2600</v>
      </c>
      <c r="K388" t="s">
        <v>2601</v>
      </c>
      <c r="N388" t="s">
        <v>828</v>
      </c>
      <c r="P388" t="s">
        <v>49</v>
      </c>
      <c r="Q388" t="s">
        <v>168</v>
      </c>
      <c r="S388" t="s">
        <v>788</v>
      </c>
      <c r="T388" t="s">
        <v>327</v>
      </c>
      <c r="U388" t="s">
        <v>2602</v>
      </c>
      <c r="V388" t="s">
        <v>790</v>
      </c>
      <c r="W388">
        <v>37769</v>
      </c>
      <c r="X388">
        <v>22</v>
      </c>
      <c r="Y388" t="s">
        <v>2603</v>
      </c>
      <c r="Z388" t="s">
        <v>2604</v>
      </c>
      <c r="AA388" t="s">
        <v>842</v>
      </c>
      <c r="AB388" t="s">
        <v>794</v>
      </c>
      <c r="AC388" t="s">
        <v>815</v>
      </c>
      <c r="AD388" t="s">
        <v>815</v>
      </c>
      <c r="AE388" t="s">
        <v>1352</v>
      </c>
      <c r="AH388" t="s">
        <v>844</v>
      </c>
    </row>
    <row r="389" spans="1:34">
      <c r="A389">
        <v>387</v>
      </c>
      <c r="B389" t="s">
        <v>2600</v>
      </c>
      <c r="C389">
        <v>719</v>
      </c>
      <c r="D389" t="s">
        <v>981</v>
      </c>
      <c r="E389" t="s">
        <v>2584</v>
      </c>
      <c r="F389" t="s">
        <v>1144</v>
      </c>
      <c r="G389" t="s">
        <v>107</v>
      </c>
      <c r="H389" t="s">
        <v>1144</v>
      </c>
      <c r="I389" t="s">
        <v>2599</v>
      </c>
      <c r="J389" t="s">
        <v>2600</v>
      </c>
      <c r="K389" t="s">
        <v>2601</v>
      </c>
      <c r="N389" t="s">
        <v>828</v>
      </c>
      <c r="P389" t="s">
        <v>62</v>
      </c>
      <c r="Q389" t="s">
        <v>548</v>
      </c>
      <c r="S389" t="s">
        <v>788</v>
      </c>
      <c r="T389" t="s">
        <v>341</v>
      </c>
      <c r="U389" t="s">
        <v>2605</v>
      </c>
      <c r="V389" t="s">
        <v>876</v>
      </c>
      <c r="W389">
        <v>37727</v>
      </c>
      <c r="X389">
        <v>22</v>
      </c>
      <c r="Y389" t="s">
        <v>2606</v>
      </c>
      <c r="Z389" t="s">
        <v>2607</v>
      </c>
      <c r="AA389" t="s">
        <v>793</v>
      </c>
      <c r="AB389" t="s">
        <v>794</v>
      </c>
      <c r="AC389" t="s">
        <v>815</v>
      </c>
      <c r="AD389" t="s">
        <v>815</v>
      </c>
      <c r="AE389" t="s">
        <v>2004</v>
      </c>
      <c r="AH389" t="s">
        <v>867</v>
      </c>
    </row>
    <row r="390" spans="1:34">
      <c r="A390">
        <v>388</v>
      </c>
      <c r="B390" t="s">
        <v>2601</v>
      </c>
      <c r="C390">
        <v>721</v>
      </c>
      <c r="D390" t="s">
        <v>981</v>
      </c>
      <c r="E390" t="s">
        <v>2584</v>
      </c>
      <c r="F390" t="s">
        <v>1144</v>
      </c>
      <c r="G390" t="s">
        <v>107</v>
      </c>
      <c r="H390" t="s">
        <v>1144</v>
      </c>
      <c r="I390" t="s">
        <v>2599</v>
      </c>
      <c r="J390" t="s">
        <v>2600</v>
      </c>
      <c r="K390" t="s">
        <v>2601</v>
      </c>
      <c r="N390" t="s">
        <v>828</v>
      </c>
      <c r="P390" t="s">
        <v>62</v>
      </c>
      <c r="Q390" t="s">
        <v>548</v>
      </c>
      <c r="S390" t="s">
        <v>788</v>
      </c>
      <c r="T390" t="s">
        <v>2608</v>
      </c>
      <c r="U390" t="s">
        <v>2609</v>
      </c>
      <c r="V390" t="s">
        <v>790</v>
      </c>
      <c r="W390">
        <v>38733</v>
      </c>
      <c r="X390">
        <v>20</v>
      </c>
      <c r="Y390" t="s">
        <v>2610</v>
      </c>
      <c r="Z390" t="s">
        <v>2611</v>
      </c>
      <c r="AA390" t="s">
        <v>842</v>
      </c>
      <c r="AB390" t="s">
        <v>794</v>
      </c>
      <c r="AC390" t="s">
        <v>815</v>
      </c>
      <c r="AD390" t="s">
        <v>1400</v>
      </c>
      <c r="AH390" t="s">
        <v>903</v>
      </c>
    </row>
    <row r="391" spans="1:34">
      <c r="A391">
        <v>389</v>
      </c>
      <c r="B391" t="s">
        <v>2612</v>
      </c>
      <c r="C391">
        <v>723</v>
      </c>
      <c r="D391" t="s">
        <v>981</v>
      </c>
      <c r="E391" t="s">
        <v>2584</v>
      </c>
      <c r="F391" t="s">
        <v>1144</v>
      </c>
      <c r="G391" t="s">
        <v>107</v>
      </c>
      <c r="H391" t="s">
        <v>1144</v>
      </c>
      <c r="I391" t="s">
        <v>2599</v>
      </c>
      <c r="J391" t="s">
        <v>2600</v>
      </c>
      <c r="K391" t="s">
        <v>2601</v>
      </c>
      <c r="N391" t="s">
        <v>828</v>
      </c>
      <c r="S391" t="s">
        <v>788</v>
      </c>
      <c r="T391" t="s">
        <v>368</v>
      </c>
      <c r="U391" t="s">
        <v>2613</v>
      </c>
      <c r="V391" t="s">
        <v>790</v>
      </c>
      <c r="W391">
        <v>36875</v>
      </c>
      <c r="X391">
        <v>25</v>
      </c>
      <c r="Y391" t="s">
        <v>2614</v>
      </c>
      <c r="Z391" t="s">
        <v>2615</v>
      </c>
      <c r="AA391" t="s">
        <v>842</v>
      </c>
      <c r="AB391" t="s">
        <v>794</v>
      </c>
      <c r="AC391" t="s">
        <v>815</v>
      </c>
      <c r="AD391" t="s">
        <v>815</v>
      </c>
      <c r="AE391" t="s">
        <v>2317</v>
      </c>
    </row>
    <row r="392" spans="1:34">
      <c r="A392">
        <v>390</v>
      </c>
      <c r="B392" t="s">
        <v>2616</v>
      </c>
      <c r="C392">
        <v>725</v>
      </c>
      <c r="D392" t="s">
        <v>981</v>
      </c>
      <c r="E392" t="s">
        <v>2584</v>
      </c>
      <c r="F392" t="s">
        <v>1144</v>
      </c>
      <c r="G392" t="s">
        <v>107</v>
      </c>
      <c r="H392" t="s">
        <v>1144</v>
      </c>
      <c r="I392" t="s">
        <v>2599</v>
      </c>
      <c r="J392" t="s">
        <v>2600</v>
      </c>
      <c r="K392" t="s">
        <v>2601</v>
      </c>
      <c r="N392" t="s">
        <v>828</v>
      </c>
      <c r="S392" t="s">
        <v>788</v>
      </c>
      <c r="T392" t="s">
        <v>381</v>
      </c>
      <c r="U392" t="s">
        <v>2617</v>
      </c>
      <c r="V392" t="s">
        <v>790</v>
      </c>
      <c r="W392">
        <v>36083</v>
      </c>
      <c r="X392">
        <v>27</v>
      </c>
      <c r="Y392" t="s">
        <v>2618</v>
      </c>
      <c r="Z392" t="s">
        <v>2619</v>
      </c>
      <c r="AA392" t="s">
        <v>793</v>
      </c>
      <c r="AB392" t="s">
        <v>794</v>
      </c>
      <c r="AC392" t="s">
        <v>815</v>
      </c>
      <c r="AD392" t="s">
        <v>1267</v>
      </c>
      <c r="AE392" t="s">
        <v>1268</v>
      </c>
      <c r="AH392" t="s">
        <v>832</v>
      </c>
    </row>
    <row r="393" spans="1:34">
      <c r="A393">
        <v>391</v>
      </c>
      <c r="B393" t="s">
        <v>2620</v>
      </c>
      <c r="C393">
        <v>727</v>
      </c>
      <c r="D393" t="s">
        <v>981</v>
      </c>
      <c r="E393" t="s">
        <v>2584</v>
      </c>
      <c r="F393" t="s">
        <v>1144</v>
      </c>
      <c r="G393" t="s">
        <v>107</v>
      </c>
      <c r="H393" t="s">
        <v>1144</v>
      </c>
      <c r="I393" t="s">
        <v>2599</v>
      </c>
      <c r="J393" t="s">
        <v>2600</v>
      </c>
      <c r="K393" t="s">
        <v>2601</v>
      </c>
      <c r="N393" t="s">
        <v>828</v>
      </c>
      <c r="S393" t="s">
        <v>788</v>
      </c>
      <c r="T393" t="s">
        <v>393</v>
      </c>
      <c r="U393" t="s">
        <v>2621</v>
      </c>
      <c r="V393" t="s">
        <v>876</v>
      </c>
      <c r="W393">
        <v>37305</v>
      </c>
      <c r="X393">
        <v>23</v>
      </c>
      <c r="Y393" t="s">
        <v>2622</v>
      </c>
      <c r="Z393" t="s">
        <v>2623</v>
      </c>
      <c r="AA393" t="s">
        <v>793</v>
      </c>
      <c r="AB393" t="s">
        <v>794</v>
      </c>
      <c r="AC393" t="s">
        <v>815</v>
      </c>
      <c r="AD393" t="s">
        <v>2624</v>
      </c>
      <c r="AE393" t="s">
        <v>2625</v>
      </c>
      <c r="AH393" t="s">
        <v>867</v>
      </c>
    </row>
    <row r="394" spans="1:34">
      <c r="A394">
        <v>392</v>
      </c>
      <c r="B394" t="s">
        <v>2626</v>
      </c>
      <c r="C394">
        <v>729</v>
      </c>
      <c r="D394" t="s">
        <v>981</v>
      </c>
      <c r="E394" t="s">
        <v>2584</v>
      </c>
      <c r="F394" t="s">
        <v>1144</v>
      </c>
      <c r="G394" t="s">
        <v>107</v>
      </c>
      <c r="H394" t="s">
        <v>1144</v>
      </c>
      <c r="I394" t="s">
        <v>2599</v>
      </c>
      <c r="J394" t="s">
        <v>2600</v>
      </c>
      <c r="K394" t="s">
        <v>2601</v>
      </c>
      <c r="N394" t="s">
        <v>828</v>
      </c>
      <c r="S394" t="s">
        <v>788</v>
      </c>
      <c r="T394" t="s">
        <v>405</v>
      </c>
      <c r="U394" t="s">
        <v>2627</v>
      </c>
      <c r="V394" t="s">
        <v>876</v>
      </c>
      <c r="W394">
        <v>37780</v>
      </c>
      <c r="X394">
        <v>22</v>
      </c>
      <c r="Y394" t="s">
        <v>2628</v>
      </c>
      <c r="Z394" t="s">
        <v>2629</v>
      </c>
      <c r="AA394" t="s">
        <v>842</v>
      </c>
      <c r="AB394" t="s">
        <v>794</v>
      </c>
      <c r="AC394" t="s">
        <v>815</v>
      </c>
      <c r="AD394" t="s">
        <v>815</v>
      </c>
      <c r="AE394" t="s">
        <v>2630</v>
      </c>
      <c r="AH394" t="s">
        <v>867</v>
      </c>
    </row>
    <row r="395" spans="1:34">
      <c r="A395">
        <v>393</v>
      </c>
      <c r="B395" t="s">
        <v>2631</v>
      </c>
      <c r="C395">
        <v>731</v>
      </c>
      <c r="D395" t="s">
        <v>981</v>
      </c>
      <c r="E395" t="s">
        <v>2584</v>
      </c>
      <c r="F395" t="s">
        <v>1144</v>
      </c>
      <c r="G395" t="s">
        <v>107</v>
      </c>
      <c r="H395" t="s">
        <v>1144</v>
      </c>
      <c r="I395" t="s">
        <v>2599</v>
      </c>
      <c r="J395" t="s">
        <v>2600</v>
      </c>
      <c r="K395" t="s">
        <v>2601</v>
      </c>
      <c r="N395" t="s">
        <v>828</v>
      </c>
      <c r="S395" t="s">
        <v>1886</v>
      </c>
      <c r="T395" t="s">
        <v>2632</v>
      </c>
      <c r="U395" t="s">
        <v>2633</v>
      </c>
      <c r="V395" t="s">
        <v>790</v>
      </c>
      <c r="W395">
        <v>39172</v>
      </c>
      <c r="X395">
        <v>18</v>
      </c>
      <c r="Y395" t="s">
        <v>2634</v>
      </c>
      <c r="Z395" t="s">
        <v>2635</v>
      </c>
      <c r="AA395" t="s">
        <v>842</v>
      </c>
      <c r="AB395" t="s">
        <v>851</v>
      </c>
      <c r="AC395" t="s">
        <v>815</v>
      </c>
      <c r="AD395" t="s">
        <v>815</v>
      </c>
      <c r="AE395" t="s">
        <v>2636</v>
      </c>
      <c r="AH395" t="s">
        <v>903</v>
      </c>
    </row>
    <row r="396" spans="1:34">
      <c r="A396">
        <v>394</v>
      </c>
      <c r="B396" t="s">
        <v>2637</v>
      </c>
      <c r="C396">
        <v>733</v>
      </c>
      <c r="D396" t="s">
        <v>981</v>
      </c>
      <c r="E396" t="s">
        <v>2584</v>
      </c>
      <c r="F396" t="s">
        <v>1144</v>
      </c>
      <c r="G396" t="s">
        <v>107</v>
      </c>
      <c r="H396" t="s">
        <v>1144</v>
      </c>
      <c r="I396" t="s">
        <v>2599</v>
      </c>
      <c r="J396" t="s">
        <v>2600</v>
      </c>
      <c r="K396" t="s">
        <v>2601</v>
      </c>
      <c r="N396" t="s">
        <v>828</v>
      </c>
      <c r="O396" t="s">
        <v>308</v>
      </c>
      <c r="S396" t="s">
        <v>788</v>
      </c>
      <c r="T396" t="s">
        <v>420</v>
      </c>
      <c r="U396" t="s">
        <v>2638</v>
      </c>
      <c r="V396" t="s">
        <v>790</v>
      </c>
      <c r="W396">
        <v>38008</v>
      </c>
      <c r="X396">
        <v>22</v>
      </c>
      <c r="Y396" t="s">
        <v>2639</v>
      </c>
      <c r="Z396" t="s">
        <v>2640</v>
      </c>
      <c r="AA396" t="s">
        <v>842</v>
      </c>
      <c r="AB396" t="s">
        <v>843</v>
      </c>
      <c r="AC396" t="s">
        <v>815</v>
      </c>
      <c r="AD396" t="s">
        <v>815</v>
      </c>
      <c r="AE396" t="s">
        <v>2641</v>
      </c>
      <c r="AH396" t="s">
        <v>1604</v>
      </c>
    </row>
    <row r="397" spans="1:34">
      <c r="A397">
        <v>395</v>
      </c>
      <c r="B397" t="s">
        <v>2642</v>
      </c>
      <c r="C397">
        <v>735</v>
      </c>
      <c r="D397" t="s">
        <v>981</v>
      </c>
      <c r="E397" t="s">
        <v>2584</v>
      </c>
      <c r="F397" t="s">
        <v>1144</v>
      </c>
      <c r="G397" t="s">
        <v>107</v>
      </c>
      <c r="H397" t="s">
        <v>1144</v>
      </c>
      <c r="I397" t="s">
        <v>2599</v>
      </c>
      <c r="J397" t="s">
        <v>2600</v>
      </c>
      <c r="K397" t="s">
        <v>2601</v>
      </c>
      <c r="N397" t="s">
        <v>828</v>
      </c>
      <c r="O397" t="s">
        <v>308</v>
      </c>
      <c r="S397" t="s">
        <v>788</v>
      </c>
      <c r="T397" t="s">
        <v>428</v>
      </c>
      <c r="U397" t="s">
        <v>2643</v>
      </c>
      <c r="V397" t="s">
        <v>790</v>
      </c>
      <c r="W397">
        <v>37580</v>
      </c>
      <c r="X397">
        <v>23</v>
      </c>
      <c r="Y397" t="s">
        <v>2644</v>
      </c>
      <c r="Z397" t="s">
        <v>2645</v>
      </c>
      <c r="AA397" t="s">
        <v>842</v>
      </c>
      <c r="AB397" t="s">
        <v>843</v>
      </c>
      <c r="AC397" t="s">
        <v>815</v>
      </c>
      <c r="AD397" t="s">
        <v>815</v>
      </c>
      <c r="AE397" t="s">
        <v>2641</v>
      </c>
      <c r="AH397" t="s">
        <v>1604</v>
      </c>
    </row>
    <row r="398" spans="1:34">
      <c r="A398">
        <v>396</v>
      </c>
      <c r="B398" t="s">
        <v>2646</v>
      </c>
      <c r="C398">
        <v>737</v>
      </c>
      <c r="D398" t="s">
        <v>981</v>
      </c>
      <c r="E398" t="s">
        <v>2584</v>
      </c>
      <c r="F398" t="s">
        <v>1144</v>
      </c>
      <c r="G398" t="s">
        <v>107</v>
      </c>
      <c r="H398" t="s">
        <v>1144</v>
      </c>
      <c r="I398" t="s">
        <v>2599</v>
      </c>
      <c r="J398" t="s">
        <v>2600</v>
      </c>
      <c r="K398" t="s">
        <v>2601</v>
      </c>
      <c r="N398" t="s">
        <v>828</v>
      </c>
      <c r="O398" t="s">
        <v>308</v>
      </c>
      <c r="S398" t="s">
        <v>788</v>
      </c>
      <c r="T398" t="s">
        <v>432</v>
      </c>
      <c r="U398" t="s">
        <v>2647</v>
      </c>
      <c r="V398" t="s">
        <v>790</v>
      </c>
      <c r="W398">
        <v>37196</v>
      </c>
      <c r="X398">
        <v>24</v>
      </c>
      <c r="Y398" t="s">
        <v>2648</v>
      </c>
      <c r="AA398" t="s">
        <v>842</v>
      </c>
      <c r="AB398" t="s">
        <v>843</v>
      </c>
      <c r="AC398" t="s">
        <v>815</v>
      </c>
      <c r="AD398" t="s">
        <v>815</v>
      </c>
      <c r="AE398" t="s">
        <v>2641</v>
      </c>
      <c r="AH398" t="s">
        <v>1604</v>
      </c>
    </row>
    <row r="399" spans="1:34">
      <c r="A399">
        <v>397</v>
      </c>
      <c r="B399" t="s">
        <v>2649</v>
      </c>
      <c r="C399">
        <v>739</v>
      </c>
      <c r="D399" t="s">
        <v>1310</v>
      </c>
      <c r="E399" t="s">
        <v>2584</v>
      </c>
      <c r="F399" t="s">
        <v>1144</v>
      </c>
      <c r="G399" t="s">
        <v>107</v>
      </c>
      <c r="H399" t="s">
        <v>1144</v>
      </c>
      <c r="I399" t="s">
        <v>2599</v>
      </c>
      <c r="J399" t="s">
        <v>2600</v>
      </c>
      <c r="K399" t="s">
        <v>2601</v>
      </c>
      <c r="N399" t="s">
        <v>828</v>
      </c>
      <c r="S399" t="s">
        <v>1886</v>
      </c>
      <c r="T399" t="s">
        <v>434</v>
      </c>
      <c r="U399" t="s">
        <v>2650</v>
      </c>
      <c r="V399" t="s">
        <v>790</v>
      </c>
      <c r="W399">
        <v>39093</v>
      </c>
      <c r="X399">
        <v>19</v>
      </c>
      <c r="Y399" t="s">
        <v>2651</v>
      </c>
      <c r="Z399" t="s">
        <v>2652</v>
      </c>
      <c r="AA399" t="s">
        <v>842</v>
      </c>
      <c r="AB399" t="s">
        <v>843</v>
      </c>
      <c r="AC399" t="s">
        <v>713</v>
      </c>
      <c r="AD399" t="s">
        <v>713</v>
      </c>
      <c r="AE399" t="s">
        <v>1570</v>
      </c>
      <c r="AH399" t="s">
        <v>1497</v>
      </c>
    </row>
    <row r="400" spans="1:34">
      <c r="A400">
        <v>398</v>
      </c>
      <c r="B400" t="s">
        <v>2653</v>
      </c>
      <c r="C400">
        <v>741</v>
      </c>
      <c r="D400" t="s">
        <v>1310</v>
      </c>
      <c r="E400" t="s">
        <v>2584</v>
      </c>
      <c r="F400" t="s">
        <v>1144</v>
      </c>
      <c r="G400" t="s">
        <v>107</v>
      </c>
      <c r="H400" t="s">
        <v>1144</v>
      </c>
      <c r="I400" t="s">
        <v>2599</v>
      </c>
      <c r="J400" t="s">
        <v>2600</v>
      </c>
      <c r="K400" t="s">
        <v>2601</v>
      </c>
      <c r="N400" t="s">
        <v>828</v>
      </c>
      <c r="S400" t="s">
        <v>1886</v>
      </c>
      <c r="T400" t="s">
        <v>436</v>
      </c>
      <c r="U400" t="s">
        <v>2654</v>
      </c>
      <c r="V400" t="s">
        <v>790</v>
      </c>
      <c r="W400">
        <v>40221</v>
      </c>
      <c r="X400">
        <v>15</v>
      </c>
      <c r="Y400" t="s">
        <v>2655</v>
      </c>
      <c r="Z400" t="s">
        <v>2656</v>
      </c>
      <c r="AA400" t="s">
        <v>842</v>
      </c>
      <c r="AB400" t="s">
        <v>843</v>
      </c>
      <c r="AC400" t="s">
        <v>809</v>
      </c>
      <c r="AD400" t="s">
        <v>809</v>
      </c>
      <c r="AE400" t="s">
        <v>2085</v>
      </c>
      <c r="AH400" t="s">
        <v>1497</v>
      </c>
    </row>
    <row r="401" spans="1:35">
      <c r="A401">
        <v>399</v>
      </c>
      <c r="B401" t="s">
        <v>2657</v>
      </c>
      <c r="C401">
        <v>743</v>
      </c>
      <c r="D401" t="s">
        <v>981</v>
      </c>
      <c r="E401" t="s">
        <v>2584</v>
      </c>
      <c r="F401" t="s">
        <v>1144</v>
      </c>
      <c r="G401" t="s">
        <v>107</v>
      </c>
      <c r="H401" t="s">
        <v>1144</v>
      </c>
      <c r="I401" t="s">
        <v>2599</v>
      </c>
      <c r="J401" t="s">
        <v>2600</v>
      </c>
      <c r="K401" t="s">
        <v>2601</v>
      </c>
      <c r="N401" t="s">
        <v>828</v>
      </c>
      <c r="S401" t="s">
        <v>788</v>
      </c>
      <c r="T401" t="s">
        <v>438</v>
      </c>
      <c r="U401" t="s">
        <v>2658</v>
      </c>
      <c r="V401" t="s">
        <v>790</v>
      </c>
      <c r="W401">
        <v>36480</v>
      </c>
      <c r="X401">
        <v>26</v>
      </c>
      <c r="Y401" t="s">
        <v>2659</v>
      </c>
      <c r="Z401" t="s">
        <v>2660</v>
      </c>
      <c r="AA401" t="s">
        <v>842</v>
      </c>
      <c r="AB401" t="s">
        <v>851</v>
      </c>
      <c r="AC401" t="s">
        <v>815</v>
      </c>
      <c r="AD401" t="s">
        <v>1552</v>
      </c>
      <c r="AE401" t="s">
        <v>2661</v>
      </c>
      <c r="AH401" t="s">
        <v>867</v>
      </c>
    </row>
    <row r="402" spans="1:35">
      <c r="A402">
        <v>400</v>
      </c>
      <c r="B402" t="s">
        <v>2662</v>
      </c>
      <c r="C402">
        <v>745</v>
      </c>
      <c r="D402" t="s">
        <v>981</v>
      </c>
      <c r="E402" t="s">
        <v>2584</v>
      </c>
      <c r="F402" t="s">
        <v>1144</v>
      </c>
      <c r="G402" t="s">
        <v>107</v>
      </c>
      <c r="H402" t="s">
        <v>1144</v>
      </c>
      <c r="I402" t="s">
        <v>2599</v>
      </c>
      <c r="J402" t="s">
        <v>2600</v>
      </c>
      <c r="K402" t="s">
        <v>2601</v>
      </c>
      <c r="N402" t="s">
        <v>828</v>
      </c>
      <c r="S402" t="s">
        <v>788</v>
      </c>
      <c r="T402" t="s">
        <v>2663</v>
      </c>
      <c r="U402" t="s">
        <v>2664</v>
      </c>
      <c r="V402" t="s">
        <v>790</v>
      </c>
      <c r="W402">
        <v>31601</v>
      </c>
      <c r="X402">
        <v>39</v>
      </c>
      <c r="Y402" t="s">
        <v>2665</v>
      </c>
      <c r="AA402" t="s">
        <v>842</v>
      </c>
      <c r="AB402" t="s">
        <v>843</v>
      </c>
      <c r="AC402" t="s">
        <v>815</v>
      </c>
      <c r="AD402" t="s">
        <v>815</v>
      </c>
      <c r="AE402" t="s">
        <v>2306</v>
      </c>
      <c r="AG402" t="s">
        <v>2666</v>
      </c>
      <c r="AH402" t="s">
        <v>867</v>
      </c>
    </row>
    <row r="403" spans="1:35">
      <c r="A403">
        <v>401</v>
      </c>
      <c r="B403" t="s">
        <v>2667</v>
      </c>
      <c r="C403">
        <v>747</v>
      </c>
      <c r="D403" t="s">
        <v>981</v>
      </c>
      <c r="E403" t="s">
        <v>2584</v>
      </c>
      <c r="F403" t="s">
        <v>1144</v>
      </c>
      <c r="G403" t="s">
        <v>107</v>
      </c>
      <c r="H403" t="s">
        <v>1144</v>
      </c>
      <c r="I403" t="s">
        <v>2599</v>
      </c>
      <c r="J403" t="s">
        <v>2600</v>
      </c>
      <c r="K403" t="s">
        <v>2601</v>
      </c>
      <c r="N403" t="s">
        <v>828</v>
      </c>
      <c r="S403" t="s">
        <v>788</v>
      </c>
      <c r="T403" t="s">
        <v>2668</v>
      </c>
      <c r="U403" t="s">
        <v>2669</v>
      </c>
      <c r="V403" t="s">
        <v>876</v>
      </c>
      <c r="W403">
        <v>37074</v>
      </c>
      <c r="X403">
        <v>24</v>
      </c>
      <c r="Y403" t="s">
        <v>2670</v>
      </c>
      <c r="Z403" t="s">
        <v>2671</v>
      </c>
      <c r="AA403" t="s">
        <v>842</v>
      </c>
      <c r="AB403" t="s">
        <v>843</v>
      </c>
      <c r="AC403" t="s">
        <v>1256</v>
      </c>
      <c r="AD403" t="s">
        <v>1256</v>
      </c>
      <c r="AE403" t="s">
        <v>1257</v>
      </c>
      <c r="AG403" t="s">
        <v>2672</v>
      </c>
      <c r="AH403" t="s">
        <v>867</v>
      </c>
    </row>
    <row r="404" spans="1:35">
      <c r="A404">
        <v>402</v>
      </c>
      <c r="B404" t="s">
        <v>2673</v>
      </c>
      <c r="C404">
        <v>749</v>
      </c>
      <c r="D404" t="s">
        <v>1822</v>
      </c>
      <c r="E404" t="s">
        <v>2584</v>
      </c>
      <c r="F404" t="s">
        <v>1144</v>
      </c>
      <c r="G404" t="s">
        <v>107</v>
      </c>
      <c r="H404" t="s">
        <v>1144</v>
      </c>
      <c r="I404" t="s">
        <v>2599</v>
      </c>
      <c r="J404" t="s">
        <v>2600</v>
      </c>
      <c r="K404" t="s">
        <v>2601</v>
      </c>
      <c r="N404" t="s">
        <v>828</v>
      </c>
      <c r="S404" t="s">
        <v>788</v>
      </c>
      <c r="T404" t="s">
        <v>2674</v>
      </c>
      <c r="U404" t="s">
        <v>2675</v>
      </c>
      <c r="V404" t="s">
        <v>790</v>
      </c>
      <c r="W404">
        <v>37324</v>
      </c>
      <c r="X404">
        <v>23</v>
      </c>
      <c r="Y404" t="s">
        <v>2676</v>
      </c>
      <c r="AA404" t="s">
        <v>842</v>
      </c>
      <c r="AB404" t="s">
        <v>843</v>
      </c>
      <c r="AC404" t="s">
        <v>1868</v>
      </c>
      <c r="AD404" t="s">
        <v>1868</v>
      </c>
      <c r="AE404" t="s">
        <v>2677</v>
      </c>
      <c r="AG404" t="s">
        <v>2443</v>
      </c>
      <c r="AH404" t="s">
        <v>867</v>
      </c>
      <c r="AI404" t="s">
        <v>1805</v>
      </c>
    </row>
    <row r="405" spans="1:35">
      <c r="A405">
        <v>403</v>
      </c>
      <c r="B405" t="s">
        <v>2678</v>
      </c>
      <c r="C405">
        <v>751</v>
      </c>
      <c r="D405" t="s">
        <v>1822</v>
      </c>
      <c r="E405" t="s">
        <v>2584</v>
      </c>
      <c r="F405" t="s">
        <v>1144</v>
      </c>
      <c r="G405" t="s">
        <v>107</v>
      </c>
      <c r="H405" t="s">
        <v>1144</v>
      </c>
      <c r="I405" t="s">
        <v>2599</v>
      </c>
      <c r="J405" t="s">
        <v>2600</v>
      </c>
      <c r="K405" t="s">
        <v>2601</v>
      </c>
      <c r="N405" t="s">
        <v>828</v>
      </c>
      <c r="S405" t="s">
        <v>788</v>
      </c>
      <c r="T405" t="s">
        <v>2679</v>
      </c>
      <c r="U405" t="s">
        <v>2680</v>
      </c>
      <c r="V405" t="s">
        <v>876</v>
      </c>
      <c r="W405">
        <v>37492</v>
      </c>
      <c r="X405">
        <v>23</v>
      </c>
      <c r="Y405" t="s">
        <v>2681</v>
      </c>
      <c r="AA405" t="s">
        <v>842</v>
      </c>
      <c r="AB405" t="s">
        <v>843</v>
      </c>
      <c r="AC405" t="s">
        <v>1868</v>
      </c>
      <c r="AD405" t="s">
        <v>1868</v>
      </c>
      <c r="AE405" t="s">
        <v>2677</v>
      </c>
      <c r="AG405" t="s">
        <v>2443</v>
      </c>
      <c r="AH405" t="s">
        <v>867</v>
      </c>
      <c r="AI405" t="s">
        <v>1805</v>
      </c>
    </row>
    <row r="406" spans="1:35">
      <c r="A406">
        <v>404</v>
      </c>
      <c r="B406" t="s">
        <v>2682</v>
      </c>
      <c r="C406">
        <v>753</v>
      </c>
      <c r="D406" t="s">
        <v>1822</v>
      </c>
      <c r="E406" t="s">
        <v>2584</v>
      </c>
      <c r="F406" t="s">
        <v>1144</v>
      </c>
      <c r="G406" t="s">
        <v>107</v>
      </c>
      <c r="H406" t="s">
        <v>1144</v>
      </c>
      <c r="I406" t="s">
        <v>2599</v>
      </c>
      <c r="J406" t="s">
        <v>2600</v>
      </c>
      <c r="K406" t="s">
        <v>2601</v>
      </c>
      <c r="N406" t="s">
        <v>828</v>
      </c>
      <c r="S406" t="s">
        <v>788</v>
      </c>
      <c r="T406" t="s">
        <v>2683</v>
      </c>
      <c r="U406" t="s">
        <v>2684</v>
      </c>
      <c r="V406" t="s">
        <v>790</v>
      </c>
      <c r="W406">
        <v>37852</v>
      </c>
      <c r="X406">
        <v>22</v>
      </c>
      <c r="Y406" t="s">
        <v>2685</v>
      </c>
      <c r="AA406" t="s">
        <v>842</v>
      </c>
      <c r="AB406" t="s">
        <v>843</v>
      </c>
      <c r="AC406" t="s">
        <v>1868</v>
      </c>
      <c r="AD406" t="s">
        <v>1868</v>
      </c>
      <c r="AE406" t="s">
        <v>2677</v>
      </c>
      <c r="AG406" t="s">
        <v>2443</v>
      </c>
      <c r="AH406" t="s">
        <v>867</v>
      </c>
      <c r="AI406" t="s">
        <v>1284</v>
      </c>
    </row>
    <row r="407" spans="1:35">
      <c r="A407">
        <v>405</v>
      </c>
      <c r="B407" t="s">
        <v>2686</v>
      </c>
      <c r="C407">
        <v>755</v>
      </c>
      <c r="D407" t="s">
        <v>981</v>
      </c>
      <c r="E407" t="s">
        <v>2584</v>
      </c>
      <c r="F407" t="s">
        <v>1144</v>
      </c>
      <c r="G407" t="s">
        <v>107</v>
      </c>
      <c r="H407" t="s">
        <v>1144</v>
      </c>
      <c r="I407" t="s">
        <v>2686</v>
      </c>
      <c r="J407" t="s">
        <v>2687</v>
      </c>
      <c r="K407" t="s">
        <v>2688</v>
      </c>
      <c r="N407" t="s">
        <v>938</v>
      </c>
      <c r="P407" t="s">
        <v>49</v>
      </c>
      <c r="Q407" t="s">
        <v>168</v>
      </c>
      <c r="S407" t="s">
        <v>788</v>
      </c>
      <c r="T407" t="s">
        <v>2689</v>
      </c>
      <c r="U407" t="s">
        <v>2690</v>
      </c>
      <c r="V407" t="s">
        <v>876</v>
      </c>
      <c r="W407">
        <v>37703</v>
      </c>
      <c r="X407">
        <v>22</v>
      </c>
      <c r="Y407" t="s">
        <v>2691</v>
      </c>
      <c r="Z407" t="s">
        <v>2692</v>
      </c>
      <c r="AA407" t="s">
        <v>842</v>
      </c>
      <c r="AB407" t="s">
        <v>851</v>
      </c>
      <c r="AC407" t="s">
        <v>815</v>
      </c>
      <c r="AD407" t="s">
        <v>1400</v>
      </c>
      <c r="AE407" t="s">
        <v>2693</v>
      </c>
      <c r="AH407" t="s">
        <v>903</v>
      </c>
    </row>
    <row r="408" spans="1:35">
      <c r="A408">
        <v>406</v>
      </c>
      <c r="B408" t="s">
        <v>2687</v>
      </c>
      <c r="C408">
        <v>757</v>
      </c>
      <c r="D408" t="s">
        <v>981</v>
      </c>
      <c r="E408" t="s">
        <v>2584</v>
      </c>
      <c r="F408" t="s">
        <v>1144</v>
      </c>
      <c r="G408" t="s">
        <v>107</v>
      </c>
      <c r="H408" t="s">
        <v>1144</v>
      </c>
      <c r="I408" t="s">
        <v>2686</v>
      </c>
      <c r="J408" t="s">
        <v>2687</v>
      </c>
      <c r="K408" t="s">
        <v>2688</v>
      </c>
      <c r="N408" t="s">
        <v>938</v>
      </c>
      <c r="Q408" t="s">
        <v>548</v>
      </c>
      <c r="S408" t="s">
        <v>1886</v>
      </c>
      <c r="T408" t="s">
        <v>2694</v>
      </c>
      <c r="U408" t="s">
        <v>2695</v>
      </c>
      <c r="V408" t="s">
        <v>876</v>
      </c>
      <c r="W408">
        <v>39645</v>
      </c>
      <c r="X408">
        <v>17</v>
      </c>
      <c r="Y408" t="s">
        <v>2696</v>
      </c>
      <c r="Z408" t="s">
        <v>2697</v>
      </c>
      <c r="AA408" t="s">
        <v>842</v>
      </c>
      <c r="AB408" t="s">
        <v>794</v>
      </c>
      <c r="AC408" t="s">
        <v>815</v>
      </c>
      <c r="AD408" t="s">
        <v>2698</v>
      </c>
      <c r="AH408" t="s">
        <v>903</v>
      </c>
    </row>
    <row r="409" spans="1:35">
      <c r="A409">
        <v>407</v>
      </c>
      <c r="B409" t="s">
        <v>2688</v>
      </c>
      <c r="C409">
        <v>759</v>
      </c>
      <c r="D409" t="s">
        <v>811</v>
      </c>
      <c r="E409" t="s">
        <v>2584</v>
      </c>
      <c r="F409" t="s">
        <v>1144</v>
      </c>
      <c r="G409" t="s">
        <v>107</v>
      </c>
      <c r="H409" t="s">
        <v>1144</v>
      </c>
      <c r="I409" t="s">
        <v>2686</v>
      </c>
      <c r="J409" t="s">
        <v>2687</v>
      </c>
      <c r="K409" t="s">
        <v>2688</v>
      </c>
      <c r="N409" t="s">
        <v>938</v>
      </c>
      <c r="P409" t="s">
        <v>62</v>
      </c>
      <c r="Q409" t="s">
        <v>548</v>
      </c>
      <c r="S409" t="s">
        <v>788</v>
      </c>
      <c r="T409" t="s">
        <v>355</v>
      </c>
      <c r="U409" t="s">
        <v>2699</v>
      </c>
      <c r="V409" t="s">
        <v>876</v>
      </c>
      <c r="W409">
        <v>37883</v>
      </c>
      <c r="X409">
        <v>22</v>
      </c>
      <c r="Y409" t="s">
        <v>2700</v>
      </c>
      <c r="Z409" t="s">
        <v>2701</v>
      </c>
      <c r="AA409" t="s">
        <v>842</v>
      </c>
      <c r="AB409" t="s">
        <v>851</v>
      </c>
      <c r="AC409" t="s">
        <v>713</v>
      </c>
      <c r="AD409" t="s">
        <v>713</v>
      </c>
      <c r="AE409" t="s">
        <v>2297</v>
      </c>
      <c r="AH409" t="s">
        <v>1497</v>
      </c>
    </row>
    <row r="410" spans="1:35">
      <c r="A410">
        <v>408</v>
      </c>
      <c r="B410" t="s">
        <v>2702</v>
      </c>
      <c r="C410">
        <v>761</v>
      </c>
      <c r="D410" t="s">
        <v>981</v>
      </c>
      <c r="E410" t="s">
        <v>2584</v>
      </c>
      <c r="F410" t="s">
        <v>1144</v>
      </c>
      <c r="G410" t="s">
        <v>107</v>
      </c>
      <c r="H410" t="s">
        <v>1144</v>
      </c>
      <c r="I410" t="s">
        <v>2686</v>
      </c>
      <c r="J410" t="s">
        <v>2687</v>
      </c>
      <c r="K410" t="s">
        <v>2688</v>
      </c>
      <c r="N410" t="s">
        <v>938</v>
      </c>
      <c r="S410" t="s">
        <v>788</v>
      </c>
      <c r="T410" t="s">
        <v>2703</v>
      </c>
      <c r="U410" t="s">
        <v>2704</v>
      </c>
      <c r="V410" t="s">
        <v>876</v>
      </c>
      <c r="W410">
        <v>36932</v>
      </c>
      <c r="X410">
        <v>24</v>
      </c>
      <c r="Z410" t="s">
        <v>2705</v>
      </c>
      <c r="AA410" t="s">
        <v>842</v>
      </c>
      <c r="AB410" t="s">
        <v>851</v>
      </c>
      <c r="AC410" t="s">
        <v>815</v>
      </c>
      <c r="AD410" t="s">
        <v>2706</v>
      </c>
      <c r="AE410" t="s">
        <v>2707</v>
      </c>
      <c r="AH410" t="s">
        <v>832</v>
      </c>
    </row>
    <row r="411" spans="1:35">
      <c r="A411">
        <v>409</v>
      </c>
      <c r="B411" t="s">
        <v>2708</v>
      </c>
      <c r="C411">
        <v>763</v>
      </c>
      <c r="D411" t="s">
        <v>981</v>
      </c>
      <c r="E411" t="s">
        <v>2584</v>
      </c>
      <c r="F411" t="s">
        <v>1144</v>
      </c>
      <c r="G411" t="s">
        <v>107</v>
      </c>
      <c r="H411" t="s">
        <v>1144</v>
      </c>
      <c r="I411" t="s">
        <v>2686</v>
      </c>
      <c r="J411" t="s">
        <v>2687</v>
      </c>
      <c r="K411" t="s">
        <v>2688</v>
      </c>
      <c r="N411" t="s">
        <v>938</v>
      </c>
      <c r="S411" t="s">
        <v>788</v>
      </c>
      <c r="T411" t="s">
        <v>2709</v>
      </c>
      <c r="U411" t="s">
        <v>2710</v>
      </c>
      <c r="V411" t="s">
        <v>876</v>
      </c>
      <c r="W411">
        <v>36693</v>
      </c>
      <c r="X411">
        <v>25</v>
      </c>
      <c r="Y411" t="s">
        <v>2711</v>
      </c>
      <c r="Z411" t="s">
        <v>2712</v>
      </c>
      <c r="AA411" t="s">
        <v>842</v>
      </c>
      <c r="AB411" t="s">
        <v>843</v>
      </c>
      <c r="AC411" t="s">
        <v>815</v>
      </c>
      <c r="AD411" t="s">
        <v>1400</v>
      </c>
      <c r="AE411" t="s">
        <v>2713</v>
      </c>
      <c r="AH411" t="s">
        <v>903</v>
      </c>
    </row>
    <row r="412" spans="1:35">
      <c r="A412">
        <v>410</v>
      </c>
      <c r="B412" t="s">
        <v>2714</v>
      </c>
      <c r="C412">
        <v>765</v>
      </c>
      <c r="D412" t="s">
        <v>981</v>
      </c>
      <c r="E412" t="s">
        <v>2584</v>
      </c>
      <c r="F412" t="s">
        <v>1144</v>
      </c>
      <c r="G412" t="s">
        <v>107</v>
      </c>
      <c r="H412" t="s">
        <v>1144</v>
      </c>
      <c r="I412" t="s">
        <v>2686</v>
      </c>
      <c r="J412" t="s">
        <v>2687</v>
      </c>
      <c r="K412" t="s">
        <v>2688</v>
      </c>
      <c r="N412" t="s">
        <v>938</v>
      </c>
      <c r="S412" t="s">
        <v>788</v>
      </c>
      <c r="T412" t="s">
        <v>2715</v>
      </c>
      <c r="U412" t="s">
        <v>2716</v>
      </c>
      <c r="V412" t="s">
        <v>876</v>
      </c>
      <c r="W412">
        <v>37525</v>
      </c>
      <c r="X412">
        <v>23</v>
      </c>
      <c r="Y412" t="s">
        <v>2717</v>
      </c>
      <c r="Z412" t="s">
        <v>2718</v>
      </c>
      <c r="AA412" t="s">
        <v>842</v>
      </c>
      <c r="AB412" t="s">
        <v>851</v>
      </c>
      <c r="AC412" t="s">
        <v>815</v>
      </c>
      <c r="AD412" t="s">
        <v>815</v>
      </c>
      <c r="AE412" t="s">
        <v>1282</v>
      </c>
      <c r="AH412" t="s">
        <v>903</v>
      </c>
    </row>
    <row r="413" spans="1:35">
      <c r="A413">
        <v>411</v>
      </c>
      <c r="B413" t="s">
        <v>2719</v>
      </c>
      <c r="C413">
        <v>767</v>
      </c>
      <c r="D413" t="s">
        <v>981</v>
      </c>
      <c r="E413" t="s">
        <v>2584</v>
      </c>
      <c r="F413" t="s">
        <v>1144</v>
      </c>
      <c r="G413" t="s">
        <v>107</v>
      </c>
      <c r="H413" t="s">
        <v>1144</v>
      </c>
      <c r="I413" t="s">
        <v>2686</v>
      </c>
      <c r="J413" t="s">
        <v>2687</v>
      </c>
      <c r="K413" t="s">
        <v>2688</v>
      </c>
      <c r="N413" t="s">
        <v>938</v>
      </c>
      <c r="S413" t="s">
        <v>788</v>
      </c>
      <c r="T413" t="s">
        <v>2720</v>
      </c>
      <c r="U413" t="s">
        <v>2721</v>
      </c>
      <c r="V413" t="s">
        <v>876</v>
      </c>
      <c r="W413">
        <v>37583</v>
      </c>
      <c r="X413">
        <v>23</v>
      </c>
      <c r="Y413" t="s">
        <v>2722</v>
      </c>
      <c r="Z413" t="s">
        <v>2723</v>
      </c>
      <c r="AA413" t="s">
        <v>842</v>
      </c>
      <c r="AB413" t="s">
        <v>851</v>
      </c>
      <c r="AC413" t="s">
        <v>815</v>
      </c>
      <c r="AD413" t="s">
        <v>815</v>
      </c>
      <c r="AE413" t="s">
        <v>1282</v>
      </c>
      <c r="AH413" t="s">
        <v>903</v>
      </c>
    </row>
    <row r="414" spans="1:35">
      <c r="A414">
        <v>412</v>
      </c>
      <c r="B414" t="s">
        <v>2724</v>
      </c>
      <c r="C414">
        <v>769</v>
      </c>
      <c r="D414" t="s">
        <v>981</v>
      </c>
      <c r="E414" t="s">
        <v>2584</v>
      </c>
      <c r="F414" t="s">
        <v>1144</v>
      </c>
      <c r="G414" t="s">
        <v>107</v>
      </c>
      <c r="H414" t="s">
        <v>1144</v>
      </c>
      <c r="I414" t="s">
        <v>2686</v>
      </c>
      <c r="J414" t="s">
        <v>2687</v>
      </c>
      <c r="K414" t="s">
        <v>2688</v>
      </c>
      <c r="N414" t="s">
        <v>938</v>
      </c>
      <c r="S414" t="s">
        <v>788</v>
      </c>
      <c r="T414" t="s">
        <v>2725</v>
      </c>
      <c r="U414" t="s">
        <v>2726</v>
      </c>
      <c r="V414" t="s">
        <v>876</v>
      </c>
      <c r="W414">
        <v>38675</v>
      </c>
      <c r="X414">
        <v>20</v>
      </c>
      <c r="Y414" t="s">
        <v>2727</v>
      </c>
      <c r="Z414" t="s">
        <v>2728</v>
      </c>
      <c r="AA414" t="s">
        <v>842</v>
      </c>
      <c r="AB414" t="s">
        <v>843</v>
      </c>
      <c r="AC414" t="s">
        <v>815</v>
      </c>
      <c r="AD414" t="s">
        <v>815</v>
      </c>
      <c r="AE414" t="s">
        <v>2525</v>
      </c>
      <c r="AH414" t="s">
        <v>903</v>
      </c>
    </row>
    <row r="415" spans="1:35">
      <c r="A415">
        <v>413</v>
      </c>
      <c r="B415" t="s">
        <v>2729</v>
      </c>
      <c r="C415">
        <v>771</v>
      </c>
      <c r="D415" t="s">
        <v>981</v>
      </c>
      <c r="E415" t="s">
        <v>2584</v>
      </c>
      <c r="F415" t="s">
        <v>1144</v>
      </c>
      <c r="G415" t="s">
        <v>107</v>
      </c>
      <c r="H415" t="s">
        <v>1144</v>
      </c>
      <c r="I415" t="s">
        <v>2686</v>
      </c>
      <c r="J415" t="s">
        <v>2687</v>
      </c>
      <c r="K415" t="s">
        <v>2688</v>
      </c>
      <c r="N415" t="s">
        <v>938</v>
      </c>
      <c r="S415" t="s">
        <v>788</v>
      </c>
      <c r="T415" t="s">
        <v>2730</v>
      </c>
      <c r="U415" t="s">
        <v>2731</v>
      </c>
      <c r="V415" t="s">
        <v>876</v>
      </c>
      <c r="W415">
        <v>37348</v>
      </c>
      <c r="X415">
        <v>23</v>
      </c>
      <c r="Y415" t="s">
        <v>2732</v>
      </c>
      <c r="Z415" t="s">
        <v>2733</v>
      </c>
      <c r="AA415" t="s">
        <v>842</v>
      </c>
      <c r="AB415" t="s">
        <v>843</v>
      </c>
      <c r="AC415" t="s">
        <v>815</v>
      </c>
      <c r="AD415" t="s">
        <v>815</v>
      </c>
      <c r="AE415" t="s">
        <v>2734</v>
      </c>
      <c r="AH415" t="s">
        <v>903</v>
      </c>
    </row>
    <row r="416" spans="1:35">
      <c r="A416">
        <v>414</v>
      </c>
      <c r="B416" t="s">
        <v>2735</v>
      </c>
      <c r="C416">
        <v>773</v>
      </c>
      <c r="D416" t="s">
        <v>981</v>
      </c>
      <c r="E416" t="s">
        <v>2584</v>
      </c>
      <c r="F416" t="s">
        <v>1144</v>
      </c>
      <c r="G416" t="s">
        <v>107</v>
      </c>
      <c r="H416" t="s">
        <v>1144</v>
      </c>
      <c r="I416" t="s">
        <v>2686</v>
      </c>
      <c r="J416" t="s">
        <v>2687</v>
      </c>
      <c r="K416" t="s">
        <v>2688</v>
      </c>
      <c r="N416" t="s">
        <v>938</v>
      </c>
      <c r="S416" t="s">
        <v>788</v>
      </c>
      <c r="T416" t="s">
        <v>421</v>
      </c>
      <c r="U416" t="s">
        <v>2736</v>
      </c>
      <c r="V416" t="s">
        <v>876</v>
      </c>
      <c r="W416">
        <v>37194</v>
      </c>
      <c r="X416">
        <v>24</v>
      </c>
      <c r="Y416" t="s">
        <v>2737</v>
      </c>
      <c r="Z416" t="s">
        <v>2738</v>
      </c>
      <c r="AA416" t="s">
        <v>842</v>
      </c>
      <c r="AB416" t="s">
        <v>851</v>
      </c>
      <c r="AC416" t="s">
        <v>815</v>
      </c>
      <c r="AD416" t="s">
        <v>815</v>
      </c>
      <c r="AE416" t="s">
        <v>2598</v>
      </c>
      <c r="AH416" t="s">
        <v>1497</v>
      </c>
    </row>
    <row r="417" spans="1:35">
      <c r="A417">
        <v>415</v>
      </c>
      <c r="B417" t="s">
        <v>2739</v>
      </c>
      <c r="C417">
        <v>775</v>
      </c>
      <c r="D417" t="s">
        <v>1310</v>
      </c>
      <c r="E417" t="s">
        <v>2584</v>
      </c>
      <c r="F417" t="s">
        <v>1144</v>
      </c>
      <c r="G417" t="s">
        <v>107</v>
      </c>
      <c r="H417" t="s">
        <v>1144</v>
      </c>
      <c r="I417" t="s">
        <v>2686</v>
      </c>
      <c r="J417" t="s">
        <v>2687</v>
      </c>
      <c r="K417" t="s">
        <v>2688</v>
      </c>
      <c r="N417" t="s">
        <v>938</v>
      </c>
      <c r="S417" t="s">
        <v>1886</v>
      </c>
      <c r="T417" t="s">
        <v>429</v>
      </c>
      <c r="U417" t="s">
        <v>2740</v>
      </c>
      <c r="V417" t="s">
        <v>876</v>
      </c>
      <c r="W417">
        <v>39601</v>
      </c>
      <c r="X417">
        <v>17</v>
      </c>
      <c r="Y417" t="s">
        <v>2741</v>
      </c>
      <c r="Z417" t="s">
        <v>2742</v>
      </c>
      <c r="AA417" t="s">
        <v>842</v>
      </c>
      <c r="AB417" t="s">
        <v>843</v>
      </c>
      <c r="AC417" t="s">
        <v>815</v>
      </c>
      <c r="AD417" t="s">
        <v>815</v>
      </c>
      <c r="AE417" t="s">
        <v>2743</v>
      </c>
      <c r="AH417" t="s">
        <v>1497</v>
      </c>
    </row>
    <row r="418" spans="1:35">
      <c r="A418">
        <v>416</v>
      </c>
      <c r="B418" t="s">
        <v>2744</v>
      </c>
      <c r="C418">
        <v>777</v>
      </c>
      <c r="D418" t="s">
        <v>981</v>
      </c>
      <c r="E418" t="s">
        <v>2584</v>
      </c>
      <c r="F418" t="s">
        <v>1144</v>
      </c>
      <c r="G418" t="s">
        <v>107</v>
      </c>
      <c r="H418" t="s">
        <v>1144</v>
      </c>
      <c r="I418" t="s">
        <v>2686</v>
      </c>
      <c r="J418" t="s">
        <v>2687</v>
      </c>
      <c r="K418" t="s">
        <v>2688</v>
      </c>
      <c r="N418" t="s">
        <v>938</v>
      </c>
      <c r="S418" t="s">
        <v>788</v>
      </c>
      <c r="T418" t="s">
        <v>2745</v>
      </c>
      <c r="U418" t="s">
        <v>2746</v>
      </c>
      <c r="V418" t="s">
        <v>876</v>
      </c>
      <c r="W418">
        <v>37308</v>
      </c>
      <c r="X418">
        <v>23</v>
      </c>
      <c r="Y418" t="s">
        <v>2747</v>
      </c>
      <c r="Z418" t="s">
        <v>2748</v>
      </c>
      <c r="AA418" t="s">
        <v>842</v>
      </c>
      <c r="AB418" t="s">
        <v>843</v>
      </c>
      <c r="AC418" t="s">
        <v>815</v>
      </c>
      <c r="AD418" t="s">
        <v>1552</v>
      </c>
      <c r="AE418" t="s">
        <v>2749</v>
      </c>
      <c r="AG418" t="s">
        <v>2750</v>
      </c>
      <c r="AH418" t="s">
        <v>903</v>
      </c>
      <c r="AI418" t="s">
        <v>860</v>
      </c>
    </row>
    <row r="419" spans="1:35">
      <c r="A419">
        <v>417</v>
      </c>
      <c r="B419" t="s">
        <v>2751</v>
      </c>
      <c r="C419">
        <v>779</v>
      </c>
      <c r="D419" t="s">
        <v>981</v>
      </c>
      <c r="E419" t="s">
        <v>2584</v>
      </c>
      <c r="F419" t="s">
        <v>1144</v>
      </c>
      <c r="G419" t="s">
        <v>107</v>
      </c>
      <c r="H419" t="s">
        <v>1144</v>
      </c>
      <c r="I419" t="s">
        <v>2686</v>
      </c>
      <c r="J419" t="s">
        <v>2687</v>
      </c>
      <c r="K419" t="s">
        <v>2688</v>
      </c>
      <c r="N419" t="s">
        <v>938</v>
      </c>
      <c r="S419" t="s">
        <v>788</v>
      </c>
      <c r="T419" t="s">
        <v>2752</v>
      </c>
      <c r="U419" t="s">
        <v>2753</v>
      </c>
      <c r="V419" t="s">
        <v>876</v>
      </c>
      <c r="W419">
        <v>37265</v>
      </c>
      <c r="X419">
        <v>24</v>
      </c>
      <c r="Y419" t="s">
        <v>2754</v>
      </c>
      <c r="Z419" t="s">
        <v>2755</v>
      </c>
      <c r="AA419" t="s">
        <v>842</v>
      </c>
      <c r="AB419" t="s">
        <v>843</v>
      </c>
      <c r="AC419" t="s">
        <v>815</v>
      </c>
      <c r="AD419" t="s">
        <v>2756</v>
      </c>
      <c r="AE419" t="s">
        <v>2756</v>
      </c>
      <c r="AG419" t="s">
        <v>2443</v>
      </c>
      <c r="AH419" t="s">
        <v>903</v>
      </c>
    </row>
    <row r="420" spans="1:35">
      <c r="A420">
        <v>418</v>
      </c>
      <c r="B420" t="s">
        <v>2757</v>
      </c>
      <c r="C420">
        <v>781</v>
      </c>
      <c r="D420" t="s">
        <v>981</v>
      </c>
      <c r="E420" t="s">
        <v>2584</v>
      </c>
      <c r="F420" t="s">
        <v>1144</v>
      </c>
      <c r="G420" t="s">
        <v>107</v>
      </c>
      <c r="H420" t="s">
        <v>1144</v>
      </c>
      <c r="I420" t="s">
        <v>2686</v>
      </c>
      <c r="J420" t="s">
        <v>2687</v>
      </c>
      <c r="K420" t="s">
        <v>2688</v>
      </c>
      <c r="N420" t="s">
        <v>938</v>
      </c>
      <c r="S420" t="s">
        <v>788</v>
      </c>
      <c r="T420" t="s">
        <v>2758</v>
      </c>
      <c r="U420" t="s">
        <v>2759</v>
      </c>
      <c r="V420" t="s">
        <v>876</v>
      </c>
      <c r="W420">
        <v>38907</v>
      </c>
      <c r="X420">
        <v>19</v>
      </c>
      <c r="Y420" t="s">
        <v>2760</v>
      </c>
      <c r="Z420" t="s">
        <v>2761</v>
      </c>
      <c r="AA420" t="s">
        <v>842</v>
      </c>
      <c r="AB420" t="s">
        <v>843</v>
      </c>
      <c r="AC420" t="s">
        <v>815</v>
      </c>
      <c r="AD420" t="s">
        <v>815</v>
      </c>
      <c r="AE420" t="s">
        <v>2762</v>
      </c>
      <c r="AG420" t="s">
        <v>1936</v>
      </c>
      <c r="AH420" t="s">
        <v>903</v>
      </c>
    </row>
    <row r="421" spans="1:35">
      <c r="A421">
        <v>419</v>
      </c>
      <c r="B421" t="s">
        <v>2763</v>
      </c>
      <c r="C421">
        <v>783</v>
      </c>
      <c r="D421" t="s">
        <v>981</v>
      </c>
      <c r="E421" t="s">
        <v>2584</v>
      </c>
      <c r="F421" t="s">
        <v>1144</v>
      </c>
      <c r="G421" t="s">
        <v>107</v>
      </c>
      <c r="H421" t="s">
        <v>1144</v>
      </c>
      <c r="I421" t="s">
        <v>2686</v>
      </c>
      <c r="J421" t="s">
        <v>2687</v>
      </c>
      <c r="K421" t="s">
        <v>2688</v>
      </c>
      <c r="N421" t="s">
        <v>938</v>
      </c>
      <c r="S421" t="s">
        <v>788</v>
      </c>
      <c r="T421" t="s">
        <v>437</v>
      </c>
      <c r="U421" t="s">
        <v>2764</v>
      </c>
      <c r="V421" t="s">
        <v>876</v>
      </c>
      <c r="W421" t="s">
        <v>2765</v>
      </c>
      <c r="X421">
        <v>24</v>
      </c>
      <c r="Y421" t="s">
        <v>2766</v>
      </c>
      <c r="Z421" t="s">
        <v>2767</v>
      </c>
      <c r="AA421" t="s">
        <v>842</v>
      </c>
      <c r="AB421" t="s">
        <v>843</v>
      </c>
      <c r="AC421" t="s">
        <v>1256</v>
      </c>
      <c r="AD421" t="s">
        <v>1256</v>
      </c>
      <c r="AE421" t="s">
        <v>2768</v>
      </c>
      <c r="AG421" t="s">
        <v>2672</v>
      </c>
      <c r="AH421" t="s">
        <v>976</v>
      </c>
    </row>
    <row r="422" spans="1:35">
      <c r="A422">
        <v>420</v>
      </c>
      <c r="B422" t="s">
        <v>2769</v>
      </c>
      <c r="C422">
        <v>785</v>
      </c>
      <c r="D422" t="s">
        <v>981</v>
      </c>
      <c r="E422" t="s">
        <v>2584</v>
      </c>
      <c r="F422" t="s">
        <v>1144</v>
      </c>
      <c r="G422" t="s">
        <v>107</v>
      </c>
      <c r="H422" t="s">
        <v>1144</v>
      </c>
      <c r="I422" t="s">
        <v>2686</v>
      </c>
      <c r="J422" t="s">
        <v>2687</v>
      </c>
      <c r="K422" t="s">
        <v>2688</v>
      </c>
      <c r="N422" t="s">
        <v>938</v>
      </c>
      <c r="S422" t="s">
        <v>874</v>
      </c>
      <c r="T422" t="s">
        <v>2770</v>
      </c>
      <c r="U422" t="s">
        <v>2771</v>
      </c>
      <c r="V422" t="s">
        <v>876</v>
      </c>
      <c r="W422">
        <v>37308</v>
      </c>
      <c r="X422">
        <v>23</v>
      </c>
      <c r="Y422" t="s">
        <v>2747</v>
      </c>
      <c r="AA422" t="s">
        <v>842</v>
      </c>
      <c r="AB422" t="s">
        <v>843</v>
      </c>
      <c r="AC422" t="s">
        <v>815</v>
      </c>
      <c r="AD422" t="s">
        <v>1552</v>
      </c>
      <c r="AE422" t="s">
        <v>2749</v>
      </c>
      <c r="AG422" t="s">
        <v>1827</v>
      </c>
      <c r="AH422" t="s">
        <v>903</v>
      </c>
      <c r="AI422" t="s">
        <v>1284</v>
      </c>
    </row>
    <row r="423" spans="1:35">
      <c r="A423">
        <v>421</v>
      </c>
      <c r="B423" t="s">
        <v>2772</v>
      </c>
      <c r="C423">
        <v>787</v>
      </c>
      <c r="D423" t="s">
        <v>981</v>
      </c>
      <c r="E423" t="s">
        <v>2584</v>
      </c>
      <c r="F423" t="s">
        <v>1144</v>
      </c>
      <c r="G423" t="s">
        <v>107</v>
      </c>
      <c r="H423" t="s">
        <v>1144</v>
      </c>
      <c r="I423" t="s">
        <v>2772</v>
      </c>
      <c r="J423" t="s">
        <v>2773</v>
      </c>
      <c r="N423" t="s">
        <v>978</v>
      </c>
      <c r="P423" t="s">
        <v>49</v>
      </c>
      <c r="Q423" t="s">
        <v>168</v>
      </c>
      <c r="S423" t="s">
        <v>874</v>
      </c>
      <c r="T423" t="s">
        <v>328</v>
      </c>
      <c r="U423" t="s">
        <v>2774</v>
      </c>
      <c r="V423" t="s">
        <v>876</v>
      </c>
      <c r="W423">
        <v>36536</v>
      </c>
      <c r="X423">
        <v>26</v>
      </c>
      <c r="Y423" t="s">
        <v>2775</v>
      </c>
      <c r="Z423" t="s">
        <v>2776</v>
      </c>
      <c r="AA423" t="s">
        <v>842</v>
      </c>
      <c r="AB423" t="s">
        <v>843</v>
      </c>
      <c r="AC423" t="s">
        <v>815</v>
      </c>
      <c r="AD423" t="s">
        <v>1267</v>
      </c>
      <c r="AE423" t="s">
        <v>1268</v>
      </c>
      <c r="AH423" t="s">
        <v>832</v>
      </c>
    </row>
    <row r="424" spans="1:35">
      <c r="A424">
        <v>422</v>
      </c>
      <c r="B424" t="s">
        <v>2773</v>
      </c>
      <c r="C424">
        <v>789</v>
      </c>
      <c r="D424" t="s">
        <v>981</v>
      </c>
      <c r="E424" t="s">
        <v>2584</v>
      </c>
      <c r="F424" t="s">
        <v>1144</v>
      </c>
      <c r="G424" t="s">
        <v>107</v>
      </c>
      <c r="H424" t="s">
        <v>1144</v>
      </c>
      <c r="I424" t="s">
        <v>2772</v>
      </c>
      <c r="J424" t="s">
        <v>2773</v>
      </c>
      <c r="N424" t="s">
        <v>978</v>
      </c>
      <c r="P424" t="s">
        <v>62</v>
      </c>
      <c r="Q424" t="s">
        <v>548</v>
      </c>
      <c r="S424" t="s">
        <v>874</v>
      </c>
      <c r="T424" t="s">
        <v>342</v>
      </c>
      <c r="U424" t="s">
        <v>2777</v>
      </c>
      <c r="V424" t="s">
        <v>876</v>
      </c>
      <c r="W424">
        <v>35989</v>
      </c>
      <c r="X424">
        <v>27</v>
      </c>
      <c r="Y424" t="s">
        <v>2778</v>
      </c>
      <c r="Z424" t="s">
        <v>2779</v>
      </c>
      <c r="AA424" t="s">
        <v>842</v>
      </c>
      <c r="AB424" t="s">
        <v>851</v>
      </c>
      <c r="AC424" t="s">
        <v>815</v>
      </c>
      <c r="AD424" t="s">
        <v>815</v>
      </c>
      <c r="AE424" t="s">
        <v>2525</v>
      </c>
      <c r="AH424" t="s">
        <v>976</v>
      </c>
    </row>
    <row r="425" spans="1:35">
      <c r="A425">
        <v>423</v>
      </c>
      <c r="B425" t="s">
        <v>2780</v>
      </c>
      <c r="C425">
        <v>791</v>
      </c>
      <c r="D425" t="s">
        <v>981</v>
      </c>
      <c r="E425" t="s">
        <v>2584</v>
      </c>
      <c r="F425" t="s">
        <v>1144</v>
      </c>
      <c r="G425" t="s">
        <v>107</v>
      </c>
      <c r="H425" t="s">
        <v>1144</v>
      </c>
      <c r="I425" t="s">
        <v>2772</v>
      </c>
      <c r="J425" t="s">
        <v>2773</v>
      </c>
      <c r="N425" t="s">
        <v>978</v>
      </c>
      <c r="S425" t="s">
        <v>874</v>
      </c>
      <c r="T425" t="s">
        <v>2781</v>
      </c>
      <c r="U425" t="s">
        <v>2782</v>
      </c>
      <c r="V425" t="s">
        <v>876</v>
      </c>
      <c r="W425">
        <v>31694</v>
      </c>
      <c r="X425">
        <v>39</v>
      </c>
      <c r="Y425" t="s">
        <v>2783</v>
      </c>
      <c r="Z425" t="s">
        <v>2784</v>
      </c>
      <c r="AA425" t="s">
        <v>842</v>
      </c>
      <c r="AB425" t="s">
        <v>851</v>
      </c>
      <c r="AC425" t="s">
        <v>815</v>
      </c>
      <c r="AD425" t="s">
        <v>2785</v>
      </c>
      <c r="AH425" t="s">
        <v>976</v>
      </c>
    </row>
    <row r="426" spans="1:35">
      <c r="A426">
        <v>424</v>
      </c>
      <c r="B426" t="s">
        <v>2786</v>
      </c>
      <c r="C426">
        <v>793</v>
      </c>
      <c r="D426" t="s">
        <v>981</v>
      </c>
      <c r="E426" t="s">
        <v>2584</v>
      </c>
      <c r="F426" t="s">
        <v>1144</v>
      </c>
      <c r="G426" t="s">
        <v>107</v>
      </c>
      <c r="H426" t="s">
        <v>1144</v>
      </c>
      <c r="I426" t="s">
        <v>2772</v>
      </c>
      <c r="J426" t="s">
        <v>2773</v>
      </c>
      <c r="N426" t="s">
        <v>978</v>
      </c>
      <c r="S426" t="s">
        <v>874</v>
      </c>
      <c r="T426" t="s">
        <v>369</v>
      </c>
      <c r="U426" t="s">
        <v>2787</v>
      </c>
      <c r="V426" t="s">
        <v>876</v>
      </c>
      <c r="W426">
        <v>33359</v>
      </c>
      <c r="X426">
        <v>34</v>
      </c>
      <c r="Y426" t="s">
        <v>2788</v>
      </c>
      <c r="AA426" t="s">
        <v>842</v>
      </c>
      <c r="AB426" t="s">
        <v>843</v>
      </c>
      <c r="AC426" t="s">
        <v>815</v>
      </c>
      <c r="AD426" t="s">
        <v>815</v>
      </c>
      <c r="AE426" t="s">
        <v>2525</v>
      </c>
      <c r="AH426" t="s">
        <v>976</v>
      </c>
    </row>
    <row r="427" spans="1:35">
      <c r="A427">
        <v>425</v>
      </c>
      <c r="B427" t="s">
        <v>2789</v>
      </c>
      <c r="C427">
        <v>795</v>
      </c>
      <c r="D427" t="s">
        <v>981</v>
      </c>
      <c r="E427" t="s">
        <v>2584</v>
      </c>
      <c r="F427" t="s">
        <v>1144</v>
      </c>
      <c r="G427" t="s">
        <v>107</v>
      </c>
      <c r="H427" t="s">
        <v>1144</v>
      </c>
      <c r="I427" t="s">
        <v>2772</v>
      </c>
      <c r="J427" t="s">
        <v>2773</v>
      </c>
      <c r="N427" t="s">
        <v>978</v>
      </c>
      <c r="S427" t="s">
        <v>874</v>
      </c>
      <c r="T427" t="s">
        <v>382</v>
      </c>
      <c r="U427" t="s">
        <v>2790</v>
      </c>
      <c r="V427" t="s">
        <v>876</v>
      </c>
      <c r="W427">
        <v>34616</v>
      </c>
      <c r="X427">
        <v>31</v>
      </c>
      <c r="Y427" t="s">
        <v>2791</v>
      </c>
      <c r="Z427" t="s">
        <v>2792</v>
      </c>
      <c r="AA427" t="s">
        <v>842</v>
      </c>
      <c r="AB427" t="s">
        <v>851</v>
      </c>
      <c r="AC427" t="s">
        <v>815</v>
      </c>
      <c r="AD427" t="s">
        <v>815</v>
      </c>
      <c r="AE427" t="s">
        <v>2525</v>
      </c>
      <c r="AH427" t="s">
        <v>976</v>
      </c>
    </row>
    <row r="428" spans="1:35">
      <c r="A428">
        <v>426</v>
      </c>
      <c r="B428" t="s">
        <v>2793</v>
      </c>
      <c r="C428">
        <v>797</v>
      </c>
      <c r="D428" t="s">
        <v>981</v>
      </c>
      <c r="E428" t="s">
        <v>2584</v>
      </c>
      <c r="F428" t="s">
        <v>1144</v>
      </c>
      <c r="G428" t="s">
        <v>107</v>
      </c>
      <c r="H428" t="s">
        <v>1144</v>
      </c>
      <c r="I428" t="s">
        <v>2772</v>
      </c>
      <c r="J428" t="s">
        <v>2773</v>
      </c>
      <c r="N428" t="s">
        <v>978</v>
      </c>
      <c r="S428" t="s">
        <v>788</v>
      </c>
      <c r="T428" t="s">
        <v>394</v>
      </c>
      <c r="U428" t="s">
        <v>2794</v>
      </c>
      <c r="V428" t="s">
        <v>876</v>
      </c>
      <c r="W428">
        <v>35621</v>
      </c>
      <c r="X428">
        <v>28</v>
      </c>
      <c r="Y428" t="s">
        <v>2795</v>
      </c>
      <c r="Z428" t="s">
        <v>2796</v>
      </c>
      <c r="AA428" t="s">
        <v>842</v>
      </c>
      <c r="AB428" t="s">
        <v>851</v>
      </c>
      <c r="AC428" t="s">
        <v>815</v>
      </c>
      <c r="AD428" t="s">
        <v>2797</v>
      </c>
      <c r="AH428" t="s">
        <v>976</v>
      </c>
    </row>
    <row r="429" spans="1:35">
      <c r="A429">
        <v>427</v>
      </c>
      <c r="B429" t="s">
        <v>2798</v>
      </c>
      <c r="C429">
        <v>799</v>
      </c>
      <c r="D429" t="s">
        <v>981</v>
      </c>
      <c r="E429" t="s">
        <v>2584</v>
      </c>
      <c r="F429" t="s">
        <v>1144</v>
      </c>
      <c r="G429" t="s">
        <v>107</v>
      </c>
      <c r="H429" t="s">
        <v>1144</v>
      </c>
      <c r="I429" t="s">
        <v>2772</v>
      </c>
      <c r="J429" t="s">
        <v>2773</v>
      </c>
      <c r="N429" t="s">
        <v>978</v>
      </c>
      <c r="S429" t="s">
        <v>788</v>
      </c>
      <c r="T429" t="s">
        <v>406</v>
      </c>
      <c r="U429" t="s">
        <v>2799</v>
      </c>
      <c r="V429" t="s">
        <v>876</v>
      </c>
      <c r="W429" t="s">
        <v>2800</v>
      </c>
      <c r="X429">
        <v>24</v>
      </c>
      <c r="Y429" t="s">
        <v>2801</v>
      </c>
      <c r="Z429" t="s">
        <v>2802</v>
      </c>
      <c r="AA429" t="s">
        <v>842</v>
      </c>
      <c r="AB429" t="s">
        <v>851</v>
      </c>
      <c r="AC429" t="s">
        <v>815</v>
      </c>
      <c r="AD429" t="s">
        <v>815</v>
      </c>
      <c r="AE429" t="s">
        <v>2803</v>
      </c>
      <c r="AH429" t="s">
        <v>976</v>
      </c>
    </row>
    <row r="430" spans="1:35">
      <c r="A430">
        <v>428</v>
      </c>
      <c r="B430" t="s">
        <v>2804</v>
      </c>
      <c r="C430">
        <v>801</v>
      </c>
      <c r="D430" t="s">
        <v>1310</v>
      </c>
      <c r="E430" t="s">
        <v>2584</v>
      </c>
      <c r="F430" t="s">
        <v>1144</v>
      </c>
      <c r="G430" t="s">
        <v>107</v>
      </c>
      <c r="H430" t="s">
        <v>1144</v>
      </c>
      <c r="I430" t="s">
        <v>2772</v>
      </c>
      <c r="J430" t="s">
        <v>2773</v>
      </c>
      <c r="N430" t="s">
        <v>978</v>
      </c>
      <c r="S430" t="s">
        <v>788</v>
      </c>
      <c r="T430" t="s">
        <v>414</v>
      </c>
      <c r="U430" t="s">
        <v>2805</v>
      </c>
      <c r="V430" t="s">
        <v>876</v>
      </c>
      <c r="W430" t="s">
        <v>2806</v>
      </c>
      <c r="X430">
        <v>19</v>
      </c>
      <c r="Y430" t="s">
        <v>2807</v>
      </c>
      <c r="Z430" t="s">
        <v>2808</v>
      </c>
      <c r="AA430" t="s">
        <v>842</v>
      </c>
      <c r="AB430" t="s">
        <v>843</v>
      </c>
      <c r="AC430" t="s">
        <v>815</v>
      </c>
      <c r="AD430" t="s">
        <v>815</v>
      </c>
      <c r="AE430" t="s">
        <v>2809</v>
      </c>
      <c r="AH430" t="s">
        <v>976</v>
      </c>
    </row>
    <row r="431" spans="1:35">
      <c r="A431">
        <v>429</v>
      </c>
      <c r="B431" t="s">
        <v>2810</v>
      </c>
      <c r="C431">
        <v>803</v>
      </c>
      <c r="D431" t="s">
        <v>981</v>
      </c>
      <c r="E431" t="s">
        <v>2584</v>
      </c>
      <c r="F431" t="s">
        <v>1144</v>
      </c>
      <c r="G431" t="s">
        <v>107</v>
      </c>
      <c r="H431" t="s">
        <v>1144</v>
      </c>
      <c r="I431" t="s">
        <v>2772</v>
      </c>
      <c r="J431" t="s">
        <v>2773</v>
      </c>
      <c r="N431" t="s">
        <v>978</v>
      </c>
      <c r="O431" t="s">
        <v>308</v>
      </c>
      <c r="S431" t="s">
        <v>874</v>
      </c>
      <c r="T431" t="s">
        <v>2811</v>
      </c>
      <c r="U431" t="s">
        <v>2812</v>
      </c>
      <c r="V431" t="s">
        <v>876</v>
      </c>
      <c r="W431">
        <v>35825</v>
      </c>
      <c r="X431">
        <v>27</v>
      </c>
      <c r="Y431" t="s">
        <v>2813</v>
      </c>
      <c r="AA431" t="s">
        <v>842</v>
      </c>
      <c r="AB431" t="s">
        <v>843</v>
      </c>
      <c r="AC431" t="s">
        <v>815</v>
      </c>
      <c r="AD431" t="s">
        <v>815</v>
      </c>
      <c r="AE431" t="s">
        <v>1352</v>
      </c>
      <c r="AH431" t="s">
        <v>971</v>
      </c>
    </row>
    <row r="432" spans="1:35">
      <c r="A432">
        <v>430</v>
      </c>
      <c r="B432" t="s">
        <v>2814</v>
      </c>
      <c r="C432">
        <v>805</v>
      </c>
      <c r="D432" t="s">
        <v>981</v>
      </c>
      <c r="E432" t="s">
        <v>2584</v>
      </c>
      <c r="F432" t="s">
        <v>1144</v>
      </c>
      <c r="G432" t="s">
        <v>107</v>
      </c>
      <c r="H432" t="s">
        <v>1144</v>
      </c>
      <c r="I432" t="s">
        <v>2814</v>
      </c>
      <c r="J432" t="s">
        <v>2815</v>
      </c>
      <c r="K432" t="s">
        <v>2816</v>
      </c>
      <c r="N432" t="s">
        <v>2817</v>
      </c>
      <c r="P432" t="s">
        <v>49</v>
      </c>
      <c r="Q432" t="s">
        <v>168</v>
      </c>
      <c r="S432" t="s">
        <v>788</v>
      </c>
      <c r="T432" t="s">
        <v>330</v>
      </c>
      <c r="U432" t="s">
        <v>2818</v>
      </c>
      <c r="V432" t="s">
        <v>876</v>
      </c>
      <c r="W432">
        <v>32520</v>
      </c>
      <c r="X432">
        <v>37</v>
      </c>
      <c r="Y432" t="s">
        <v>2819</v>
      </c>
      <c r="Z432" t="s">
        <v>2820</v>
      </c>
      <c r="AA432" t="s">
        <v>793</v>
      </c>
      <c r="AB432" t="s">
        <v>794</v>
      </c>
      <c r="AC432" t="s">
        <v>815</v>
      </c>
      <c r="AD432" t="s">
        <v>2785</v>
      </c>
      <c r="AE432" t="s">
        <v>2821</v>
      </c>
      <c r="AH432" t="s">
        <v>1535</v>
      </c>
    </row>
    <row r="433" spans="1:34">
      <c r="A433">
        <v>431</v>
      </c>
      <c r="B433" t="s">
        <v>2815</v>
      </c>
      <c r="C433">
        <v>807</v>
      </c>
      <c r="D433" t="s">
        <v>981</v>
      </c>
      <c r="E433" t="s">
        <v>2584</v>
      </c>
      <c r="F433" t="s">
        <v>1144</v>
      </c>
      <c r="G433" t="s">
        <v>107</v>
      </c>
      <c r="H433" t="s">
        <v>1144</v>
      </c>
      <c r="I433" t="s">
        <v>2814</v>
      </c>
      <c r="J433" t="s">
        <v>2815</v>
      </c>
      <c r="K433" t="s">
        <v>2816</v>
      </c>
      <c r="N433" t="s">
        <v>2817</v>
      </c>
      <c r="P433" t="s">
        <v>62</v>
      </c>
      <c r="Q433" t="s">
        <v>548</v>
      </c>
      <c r="S433" t="s">
        <v>874</v>
      </c>
      <c r="T433" t="s">
        <v>343</v>
      </c>
      <c r="U433" t="s">
        <v>2822</v>
      </c>
      <c r="V433" t="s">
        <v>876</v>
      </c>
      <c r="W433">
        <v>35366</v>
      </c>
      <c r="X433">
        <v>29</v>
      </c>
      <c r="Y433" t="s">
        <v>2823</v>
      </c>
      <c r="Z433" t="s">
        <v>2824</v>
      </c>
      <c r="AA433" t="s">
        <v>842</v>
      </c>
      <c r="AB433" t="s">
        <v>851</v>
      </c>
      <c r="AC433" t="s">
        <v>815</v>
      </c>
      <c r="AD433" t="s">
        <v>815</v>
      </c>
      <c r="AE433" t="s">
        <v>2825</v>
      </c>
      <c r="AH433" t="s">
        <v>1852</v>
      </c>
    </row>
    <row r="434" spans="1:34">
      <c r="A434">
        <v>432</v>
      </c>
      <c r="B434" t="s">
        <v>2816</v>
      </c>
      <c r="C434">
        <v>809</v>
      </c>
      <c r="D434" t="s">
        <v>1310</v>
      </c>
      <c r="E434" t="s">
        <v>2584</v>
      </c>
      <c r="F434" t="s">
        <v>1144</v>
      </c>
      <c r="G434" t="s">
        <v>107</v>
      </c>
      <c r="H434" t="s">
        <v>1144</v>
      </c>
      <c r="I434" t="s">
        <v>2814</v>
      </c>
      <c r="J434" t="s">
        <v>2815</v>
      </c>
      <c r="K434" t="s">
        <v>2816</v>
      </c>
      <c r="N434" t="s">
        <v>2817</v>
      </c>
      <c r="P434" t="s">
        <v>62</v>
      </c>
      <c r="Q434" t="s">
        <v>548</v>
      </c>
      <c r="S434" t="s">
        <v>788</v>
      </c>
      <c r="T434" t="s">
        <v>423</v>
      </c>
      <c r="U434" t="s">
        <v>2826</v>
      </c>
      <c r="V434" t="s">
        <v>876</v>
      </c>
      <c r="W434">
        <v>38451</v>
      </c>
      <c r="X434">
        <v>20</v>
      </c>
      <c r="Y434" t="s">
        <v>2827</v>
      </c>
      <c r="Z434" t="s">
        <v>2828</v>
      </c>
      <c r="AA434" t="s">
        <v>842</v>
      </c>
      <c r="AB434" t="s">
        <v>851</v>
      </c>
      <c r="AC434" t="s">
        <v>815</v>
      </c>
      <c r="AD434" t="s">
        <v>1400</v>
      </c>
      <c r="AE434" t="s">
        <v>2829</v>
      </c>
      <c r="AH434" t="s">
        <v>1852</v>
      </c>
    </row>
    <row r="435" spans="1:34">
      <c r="A435">
        <v>433</v>
      </c>
      <c r="B435" t="s">
        <v>2830</v>
      </c>
      <c r="C435">
        <v>811</v>
      </c>
      <c r="D435" t="s">
        <v>981</v>
      </c>
      <c r="E435" t="s">
        <v>2584</v>
      </c>
      <c r="F435" t="s">
        <v>1144</v>
      </c>
      <c r="G435" t="s">
        <v>107</v>
      </c>
      <c r="H435" t="s">
        <v>1144</v>
      </c>
      <c r="I435" t="s">
        <v>2814</v>
      </c>
      <c r="J435" t="s">
        <v>2815</v>
      </c>
      <c r="K435" t="s">
        <v>2816</v>
      </c>
      <c r="N435" t="s">
        <v>2817</v>
      </c>
      <c r="S435" t="s">
        <v>874</v>
      </c>
      <c r="T435" t="s">
        <v>357</v>
      </c>
      <c r="U435" t="s">
        <v>2831</v>
      </c>
      <c r="V435" t="s">
        <v>876</v>
      </c>
      <c r="W435">
        <v>33267</v>
      </c>
      <c r="X435">
        <v>34</v>
      </c>
      <c r="Y435" t="s">
        <v>2832</v>
      </c>
      <c r="Z435" t="s">
        <v>2833</v>
      </c>
      <c r="AA435" t="s">
        <v>842</v>
      </c>
      <c r="AB435" t="s">
        <v>851</v>
      </c>
      <c r="AC435" t="s">
        <v>815</v>
      </c>
      <c r="AD435" t="s">
        <v>815</v>
      </c>
      <c r="AE435" t="s">
        <v>2834</v>
      </c>
      <c r="AH435" t="s">
        <v>1852</v>
      </c>
    </row>
    <row r="436" spans="1:34">
      <c r="A436">
        <v>434</v>
      </c>
      <c r="B436" t="s">
        <v>2835</v>
      </c>
      <c r="C436">
        <v>813</v>
      </c>
      <c r="D436" t="s">
        <v>981</v>
      </c>
      <c r="E436" t="s">
        <v>2584</v>
      </c>
      <c r="F436" t="s">
        <v>1144</v>
      </c>
      <c r="G436" t="s">
        <v>107</v>
      </c>
      <c r="H436" t="s">
        <v>1144</v>
      </c>
      <c r="I436" t="s">
        <v>2814</v>
      </c>
      <c r="J436" t="s">
        <v>2815</v>
      </c>
      <c r="K436" t="s">
        <v>2816</v>
      </c>
      <c r="N436" t="s">
        <v>2817</v>
      </c>
      <c r="S436" t="s">
        <v>874</v>
      </c>
      <c r="T436" t="s">
        <v>370</v>
      </c>
      <c r="U436" t="s">
        <v>2836</v>
      </c>
      <c r="V436" t="s">
        <v>876</v>
      </c>
      <c r="W436">
        <v>33415</v>
      </c>
      <c r="X436">
        <v>34</v>
      </c>
      <c r="Y436" t="s">
        <v>2837</v>
      </c>
      <c r="Z436" t="s">
        <v>2838</v>
      </c>
      <c r="AA436" t="s">
        <v>842</v>
      </c>
      <c r="AB436" t="s">
        <v>851</v>
      </c>
      <c r="AC436" t="s">
        <v>815</v>
      </c>
      <c r="AD436" t="s">
        <v>815</v>
      </c>
      <c r="AE436" t="s">
        <v>2839</v>
      </c>
      <c r="AF436" t="s">
        <v>1571</v>
      </c>
      <c r="AG436" t="s">
        <v>2840</v>
      </c>
      <c r="AH436" t="s">
        <v>1852</v>
      </c>
    </row>
    <row r="437" spans="1:34">
      <c r="A437">
        <v>435</v>
      </c>
      <c r="B437" t="s">
        <v>2841</v>
      </c>
      <c r="C437">
        <v>815</v>
      </c>
      <c r="D437" t="s">
        <v>981</v>
      </c>
      <c r="E437" t="s">
        <v>2584</v>
      </c>
      <c r="F437" t="s">
        <v>1144</v>
      </c>
      <c r="G437" t="s">
        <v>107</v>
      </c>
      <c r="H437" t="s">
        <v>1144</v>
      </c>
      <c r="I437" t="s">
        <v>2814</v>
      </c>
      <c r="J437" t="s">
        <v>2815</v>
      </c>
      <c r="K437" t="s">
        <v>2816</v>
      </c>
      <c r="N437" t="s">
        <v>2817</v>
      </c>
      <c r="S437" t="s">
        <v>874</v>
      </c>
      <c r="T437" t="s">
        <v>383</v>
      </c>
      <c r="U437" t="s">
        <v>2842</v>
      </c>
      <c r="V437" t="s">
        <v>876</v>
      </c>
      <c r="W437">
        <v>35523</v>
      </c>
      <c r="X437">
        <v>28</v>
      </c>
      <c r="Y437" t="s">
        <v>2843</v>
      </c>
      <c r="Z437" t="s">
        <v>2844</v>
      </c>
      <c r="AA437" t="s">
        <v>842</v>
      </c>
      <c r="AB437" t="s">
        <v>851</v>
      </c>
      <c r="AC437" t="s">
        <v>815</v>
      </c>
      <c r="AD437" t="s">
        <v>2845</v>
      </c>
      <c r="AE437" t="s">
        <v>2846</v>
      </c>
      <c r="AH437" t="s">
        <v>1852</v>
      </c>
    </row>
    <row r="438" spans="1:34">
      <c r="A438">
        <v>436</v>
      </c>
      <c r="B438" t="s">
        <v>2847</v>
      </c>
      <c r="C438">
        <v>817</v>
      </c>
      <c r="D438" t="s">
        <v>981</v>
      </c>
      <c r="E438" t="s">
        <v>2584</v>
      </c>
      <c r="F438" t="s">
        <v>1144</v>
      </c>
      <c r="G438" t="s">
        <v>107</v>
      </c>
      <c r="H438" t="s">
        <v>1144</v>
      </c>
      <c r="I438" t="s">
        <v>2814</v>
      </c>
      <c r="J438" t="s">
        <v>2815</v>
      </c>
      <c r="K438" t="s">
        <v>2816</v>
      </c>
      <c r="N438" t="s">
        <v>2817</v>
      </c>
      <c r="S438" t="s">
        <v>874</v>
      </c>
      <c r="T438" t="s">
        <v>395</v>
      </c>
      <c r="U438" t="s">
        <v>2848</v>
      </c>
      <c r="V438" t="s">
        <v>876</v>
      </c>
      <c r="W438">
        <v>35944</v>
      </c>
      <c r="X438">
        <v>27</v>
      </c>
      <c r="Y438" t="s">
        <v>2849</v>
      </c>
      <c r="Z438" t="s">
        <v>2850</v>
      </c>
      <c r="AA438" t="s">
        <v>842</v>
      </c>
      <c r="AB438" t="s">
        <v>843</v>
      </c>
      <c r="AC438" t="s">
        <v>815</v>
      </c>
      <c r="AD438" t="s">
        <v>1400</v>
      </c>
      <c r="AE438" t="s">
        <v>2851</v>
      </c>
      <c r="AH438" t="s">
        <v>1852</v>
      </c>
    </row>
    <row r="439" spans="1:34">
      <c r="A439">
        <v>437</v>
      </c>
      <c r="B439" t="s">
        <v>2852</v>
      </c>
      <c r="C439">
        <v>819</v>
      </c>
      <c r="D439" t="s">
        <v>981</v>
      </c>
      <c r="E439" t="s">
        <v>2584</v>
      </c>
      <c r="F439" t="s">
        <v>1144</v>
      </c>
      <c r="G439" t="s">
        <v>107</v>
      </c>
      <c r="H439" t="s">
        <v>1144</v>
      </c>
      <c r="I439" t="s">
        <v>2814</v>
      </c>
      <c r="J439" t="s">
        <v>2815</v>
      </c>
      <c r="K439" t="s">
        <v>2816</v>
      </c>
      <c r="N439" t="s">
        <v>2817</v>
      </c>
      <c r="S439" t="s">
        <v>874</v>
      </c>
      <c r="T439" t="s">
        <v>2853</v>
      </c>
      <c r="U439" t="s">
        <v>2854</v>
      </c>
      <c r="V439" t="s">
        <v>876</v>
      </c>
      <c r="W439">
        <v>36800</v>
      </c>
      <c r="X439">
        <v>25</v>
      </c>
      <c r="Y439" t="s">
        <v>2855</v>
      </c>
      <c r="Z439" t="s">
        <v>2856</v>
      </c>
      <c r="AA439" t="s">
        <v>842</v>
      </c>
      <c r="AB439" t="s">
        <v>851</v>
      </c>
      <c r="AC439" t="s">
        <v>815</v>
      </c>
      <c r="AD439" t="s">
        <v>1552</v>
      </c>
      <c r="AE439" t="s">
        <v>2857</v>
      </c>
      <c r="AH439" t="s">
        <v>1852</v>
      </c>
    </row>
    <row r="440" spans="1:34">
      <c r="A440">
        <v>438</v>
      </c>
      <c r="B440" t="s">
        <v>2858</v>
      </c>
      <c r="C440">
        <v>821</v>
      </c>
      <c r="D440" t="s">
        <v>981</v>
      </c>
      <c r="E440" t="s">
        <v>2584</v>
      </c>
      <c r="F440" t="s">
        <v>1144</v>
      </c>
      <c r="G440" t="s">
        <v>107</v>
      </c>
      <c r="H440" t="s">
        <v>1144</v>
      </c>
      <c r="I440" t="s">
        <v>2814</v>
      </c>
      <c r="J440" t="s">
        <v>2815</v>
      </c>
      <c r="K440" t="s">
        <v>2816</v>
      </c>
      <c r="N440" t="s">
        <v>2817</v>
      </c>
      <c r="S440" t="s">
        <v>788</v>
      </c>
      <c r="T440" t="s">
        <v>415</v>
      </c>
      <c r="U440" t="s">
        <v>2859</v>
      </c>
      <c r="V440" t="s">
        <v>876</v>
      </c>
      <c r="W440">
        <v>37404</v>
      </c>
      <c r="X440">
        <v>23</v>
      </c>
      <c r="Y440" t="s">
        <v>2860</v>
      </c>
      <c r="Z440" t="s">
        <v>2861</v>
      </c>
      <c r="AA440" t="s">
        <v>842</v>
      </c>
      <c r="AB440" t="s">
        <v>851</v>
      </c>
      <c r="AC440" t="s">
        <v>815</v>
      </c>
      <c r="AD440" t="s">
        <v>1400</v>
      </c>
      <c r="AE440" t="s">
        <v>2862</v>
      </c>
      <c r="AH440" t="s">
        <v>1852</v>
      </c>
    </row>
    <row r="441" spans="1:34">
      <c r="A441">
        <v>439</v>
      </c>
      <c r="B441" t="s">
        <v>2814</v>
      </c>
      <c r="C441">
        <v>822</v>
      </c>
      <c r="E441" t="s">
        <v>2584</v>
      </c>
      <c r="F441" t="s">
        <v>1144</v>
      </c>
      <c r="G441" t="s">
        <v>107</v>
      </c>
      <c r="H441" t="s">
        <v>1144</v>
      </c>
      <c r="I441" t="s">
        <v>2814</v>
      </c>
      <c r="J441" t="s">
        <v>2863</v>
      </c>
      <c r="N441" t="s">
        <v>2864</v>
      </c>
      <c r="P441" t="s">
        <v>49</v>
      </c>
      <c r="Q441" t="s">
        <v>168</v>
      </c>
      <c r="T441" t="s">
        <v>330</v>
      </c>
      <c r="U441" t="s">
        <v>2818</v>
      </c>
      <c r="V441" t="s">
        <v>876</v>
      </c>
      <c r="W441">
        <v>32520</v>
      </c>
      <c r="X441">
        <v>37</v>
      </c>
      <c r="AA441" t="s">
        <v>793</v>
      </c>
      <c r="AB441" t="s">
        <v>794</v>
      </c>
      <c r="AC441" t="s">
        <v>815</v>
      </c>
      <c r="AD441" t="s">
        <v>2785</v>
      </c>
      <c r="AE441" t="s">
        <v>2821</v>
      </c>
      <c r="AF441" t="s">
        <v>872</v>
      </c>
    </row>
    <row r="442" spans="1:34">
      <c r="A442">
        <v>440</v>
      </c>
      <c r="B442" t="s">
        <v>2863</v>
      </c>
      <c r="C442">
        <v>824</v>
      </c>
      <c r="D442" t="s">
        <v>981</v>
      </c>
      <c r="E442" t="s">
        <v>2584</v>
      </c>
      <c r="F442" t="s">
        <v>1144</v>
      </c>
      <c r="G442" t="s">
        <v>107</v>
      </c>
      <c r="H442" t="s">
        <v>1144</v>
      </c>
      <c r="I442" t="s">
        <v>2814</v>
      </c>
      <c r="J442" t="s">
        <v>2863</v>
      </c>
      <c r="N442" t="s">
        <v>2864</v>
      </c>
      <c r="O442" t="s">
        <v>308</v>
      </c>
      <c r="P442" t="s">
        <v>62</v>
      </c>
      <c r="Q442" t="s">
        <v>548</v>
      </c>
      <c r="S442" t="s">
        <v>874</v>
      </c>
      <c r="T442" t="s">
        <v>344</v>
      </c>
      <c r="U442" t="s">
        <v>2865</v>
      </c>
      <c r="V442" t="s">
        <v>876</v>
      </c>
      <c r="W442">
        <v>33996</v>
      </c>
      <c r="X442">
        <v>33</v>
      </c>
      <c r="Y442" t="s">
        <v>2866</v>
      </c>
      <c r="Z442" t="s">
        <v>2867</v>
      </c>
      <c r="AA442" t="s">
        <v>842</v>
      </c>
      <c r="AB442" t="s">
        <v>851</v>
      </c>
      <c r="AC442" t="s">
        <v>815</v>
      </c>
      <c r="AD442" t="s">
        <v>815</v>
      </c>
      <c r="AE442" t="s">
        <v>2868</v>
      </c>
      <c r="AH442" t="s">
        <v>1497</v>
      </c>
    </row>
    <row r="443" spans="1:34">
      <c r="A443">
        <v>441</v>
      </c>
      <c r="B443" t="s">
        <v>2869</v>
      </c>
      <c r="C443">
        <v>826</v>
      </c>
      <c r="D443" t="s">
        <v>981</v>
      </c>
      <c r="E443" t="s">
        <v>2584</v>
      </c>
      <c r="F443" t="s">
        <v>1144</v>
      </c>
      <c r="G443" t="s">
        <v>107</v>
      </c>
      <c r="H443" t="s">
        <v>1144</v>
      </c>
      <c r="I443" t="s">
        <v>2814</v>
      </c>
      <c r="J443" t="s">
        <v>2863</v>
      </c>
      <c r="N443" t="s">
        <v>2864</v>
      </c>
      <c r="S443" t="s">
        <v>788</v>
      </c>
      <c r="T443" t="s">
        <v>408</v>
      </c>
      <c r="U443" t="s">
        <v>2870</v>
      </c>
      <c r="V443" t="s">
        <v>876</v>
      </c>
      <c r="W443">
        <v>36875</v>
      </c>
      <c r="X443">
        <v>25</v>
      </c>
      <c r="Y443" t="s">
        <v>2591</v>
      </c>
      <c r="Z443" t="s">
        <v>2871</v>
      </c>
      <c r="AA443" t="s">
        <v>842</v>
      </c>
      <c r="AB443" t="s">
        <v>794</v>
      </c>
      <c r="AC443" t="s">
        <v>815</v>
      </c>
      <c r="AD443" t="s">
        <v>2872</v>
      </c>
      <c r="AE443" t="s">
        <v>2873</v>
      </c>
    </row>
    <row r="444" spans="1:34">
      <c r="A444">
        <v>442</v>
      </c>
      <c r="B444" t="s">
        <v>2874</v>
      </c>
      <c r="C444">
        <v>828</v>
      </c>
      <c r="D444" t="s">
        <v>981</v>
      </c>
      <c r="E444" t="s">
        <v>2584</v>
      </c>
      <c r="F444" t="s">
        <v>1144</v>
      </c>
      <c r="G444" t="s">
        <v>107</v>
      </c>
      <c r="H444" t="s">
        <v>1144</v>
      </c>
      <c r="I444" t="s">
        <v>2814</v>
      </c>
      <c r="J444" t="s">
        <v>2863</v>
      </c>
      <c r="N444" t="s">
        <v>2864</v>
      </c>
      <c r="S444" t="s">
        <v>788</v>
      </c>
      <c r="T444" t="s">
        <v>2875</v>
      </c>
      <c r="U444" t="s">
        <v>2876</v>
      </c>
      <c r="V444" t="s">
        <v>876</v>
      </c>
      <c r="W444">
        <v>35773</v>
      </c>
      <c r="X444">
        <v>28</v>
      </c>
      <c r="Z444" t="s">
        <v>2877</v>
      </c>
      <c r="AA444" t="s">
        <v>842</v>
      </c>
      <c r="AB444" t="s">
        <v>851</v>
      </c>
      <c r="AC444" t="s">
        <v>815</v>
      </c>
      <c r="AD444" t="s">
        <v>815</v>
      </c>
      <c r="AE444" t="s">
        <v>2878</v>
      </c>
      <c r="AH444" t="s">
        <v>1535</v>
      </c>
    </row>
    <row r="445" spans="1:34">
      <c r="A445">
        <v>443</v>
      </c>
      <c r="B445" t="s">
        <v>2879</v>
      </c>
      <c r="C445">
        <v>830</v>
      </c>
      <c r="D445" t="s">
        <v>811</v>
      </c>
      <c r="E445" t="s">
        <v>2584</v>
      </c>
      <c r="F445" t="s">
        <v>1144</v>
      </c>
      <c r="G445" t="s">
        <v>107</v>
      </c>
      <c r="H445" t="s">
        <v>1144</v>
      </c>
      <c r="I445" t="s">
        <v>2814</v>
      </c>
      <c r="J445" t="s">
        <v>2863</v>
      </c>
      <c r="N445" t="s">
        <v>2864</v>
      </c>
      <c r="O445" t="s">
        <v>308</v>
      </c>
      <c r="S445" t="s">
        <v>788</v>
      </c>
      <c r="T445" t="s">
        <v>358</v>
      </c>
      <c r="U445" t="s">
        <v>2880</v>
      </c>
      <c r="V445" t="s">
        <v>876</v>
      </c>
      <c r="W445">
        <v>35880</v>
      </c>
      <c r="X445">
        <v>27</v>
      </c>
      <c r="Y445" t="s">
        <v>2881</v>
      </c>
      <c r="Z445" t="s">
        <v>2882</v>
      </c>
      <c r="AA445" t="s">
        <v>842</v>
      </c>
      <c r="AB445" t="s">
        <v>843</v>
      </c>
      <c r="AC445" t="s">
        <v>809</v>
      </c>
      <c r="AD445" t="s">
        <v>1400</v>
      </c>
      <c r="AE445" t="s">
        <v>2883</v>
      </c>
      <c r="AH445" t="s">
        <v>1497</v>
      </c>
    </row>
    <row r="446" spans="1:34">
      <c r="A446">
        <v>444</v>
      </c>
      <c r="B446" t="s">
        <v>2884</v>
      </c>
      <c r="C446">
        <v>832</v>
      </c>
      <c r="D446" t="s">
        <v>981</v>
      </c>
      <c r="E446" t="s">
        <v>2584</v>
      </c>
      <c r="F446" t="s">
        <v>1144</v>
      </c>
      <c r="G446" t="s">
        <v>107</v>
      </c>
      <c r="H446" t="s">
        <v>1144</v>
      </c>
      <c r="I446" t="s">
        <v>2814</v>
      </c>
      <c r="J446" t="s">
        <v>2863</v>
      </c>
      <c r="N446" t="s">
        <v>2864</v>
      </c>
      <c r="O446" t="s">
        <v>308</v>
      </c>
      <c r="S446" t="s">
        <v>788</v>
      </c>
      <c r="T446" t="s">
        <v>371</v>
      </c>
      <c r="U446" t="s">
        <v>2885</v>
      </c>
      <c r="V446" t="s">
        <v>876</v>
      </c>
      <c r="W446">
        <v>36847</v>
      </c>
      <c r="X446">
        <v>25</v>
      </c>
      <c r="Y446" t="s">
        <v>2886</v>
      </c>
      <c r="Z446" t="s">
        <v>2887</v>
      </c>
      <c r="AA446" t="s">
        <v>842</v>
      </c>
      <c r="AB446" t="s">
        <v>843</v>
      </c>
      <c r="AC446" t="s">
        <v>815</v>
      </c>
      <c r="AD446" t="s">
        <v>1400</v>
      </c>
      <c r="AE446" t="s">
        <v>2888</v>
      </c>
      <c r="AH446" t="s">
        <v>1497</v>
      </c>
    </row>
    <row r="447" spans="1:34">
      <c r="A447">
        <v>445</v>
      </c>
      <c r="B447" t="s">
        <v>2889</v>
      </c>
      <c r="C447">
        <v>834</v>
      </c>
      <c r="D447" t="s">
        <v>981</v>
      </c>
      <c r="E447" t="s">
        <v>2584</v>
      </c>
      <c r="F447" t="s">
        <v>1144</v>
      </c>
      <c r="G447" t="s">
        <v>107</v>
      </c>
      <c r="H447" t="s">
        <v>1144</v>
      </c>
      <c r="I447" t="s">
        <v>2814</v>
      </c>
      <c r="J447" t="s">
        <v>2863</v>
      </c>
      <c r="N447" t="s">
        <v>2864</v>
      </c>
      <c r="O447" t="s">
        <v>308</v>
      </c>
      <c r="S447" t="s">
        <v>788</v>
      </c>
      <c r="T447" t="s">
        <v>384</v>
      </c>
      <c r="U447" t="s">
        <v>2890</v>
      </c>
      <c r="V447" t="s">
        <v>876</v>
      </c>
      <c r="W447">
        <v>36970</v>
      </c>
      <c r="X447">
        <v>24</v>
      </c>
      <c r="Y447" t="s">
        <v>2891</v>
      </c>
      <c r="Z447" t="s">
        <v>2892</v>
      </c>
      <c r="AA447" t="s">
        <v>842</v>
      </c>
      <c r="AB447" t="s">
        <v>843</v>
      </c>
      <c r="AC447" t="s">
        <v>815</v>
      </c>
      <c r="AD447" t="s">
        <v>815</v>
      </c>
      <c r="AE447" t="s">
        <v>1273</v>
      </c>
      <c r="AH447" t="s">
        <v>1224</v>
      </c>
    </row>
    <row r="448" spans="1:34">
      <c r="A448">
        <v>446</v>
      </c>
      <c r="B448" t="s">
        <v>2893</v>
      </c>
      <c r="C448">
        <v>836</v>
      </c>
      <c r="D448" t="s">
        <v>981</v>
      </c>
      <c r="E448" t="s">
        <v>2584</v>
      </c>
      <c r="F448" t="s">
        <v>1144</v>
      </c>
      <c r="G448" t="s">
        <v>107</v>
      </c>
      <c r="H448" t="s">
        <v>1144</v>
      </c>
      <c r="I448" t="s">
        <v>2814</v>
      </c>
      <c r="J448" t="s">
        <v>2863</v>
      </c>
      <c r="N448" t="s">
        <v>2864</v>
      </c>
      <c r="O448" t="s">
        <v>308</v>
      </c>
      <c r="S448" t="s">
        <v>788</v>
      </c>
      <c r="T448" t="s">
        <v>396</v>
      </c>
      <c r="U448" t="s">
        <v>2894</v>
      </c>
      <c r="V448" t="s">
        <v>876</v>
      </c>
      <c r="W448">
        <v>37663</v>
      </c>
      <c r="X448">
        <v>22</v>
      </c>
      <c r="Y448" t="s">
        <v>2895</v>
      </c>
      <c r="Z448" t="s">
        <v>2896</v>
      </c>
      <c r="AA448" t="s">
        <v>842</v>
      </c>
      <c r="AB448" t="s">
        <v>843</v>
      </c>
      <c r="AC448" t="s">
        <v>815</v>
      </c>
      <c r="AD448" t="s">
        <v>815</v>
      </c>
      <c r="AE448" t="s">
        <v>2897</v>
      </c>
      <c r="AH448" t="s">
        <v>1224</v>
      </c>
    </row>
    <row r="449" spans="1:35">
      <c r="A449">
        <v>447</v>
      </c>
      <c r="B449" t="s">
        <v>2898</v>
      </c>
      <c r="C449">
        <v>838</v>
      </c>
      <c r="D449" t="s">
        <v>1001</v>
      </c>
      <c r="E449" t="s">
        <v>236</v>
      </c>
      <c r="F449" t="s">
        <v>2898</v>
      </c>
      <c r="G449" t="s">
        <v>456</v>
      </c>
      <c r="H449" t="s">
        <v>2898</v>
      </c>
      <c r="I449" t="s">
        <v>2898</v>
      </c>
      <c r="J449" t="s">
        <v>786</v>
      </c>
      <c r="N449" t="s">
        <v>787</v>
      </c>
      <c r="P449" t="s">
        <v>982</v>
      </c>
      <c r="Q449" t="s">
        <v>163</v>
      </c>
      <c r="S449" t="s">
        <v>874</v>
      </c>
      <c r="T449" t="s">
        <v>456</v>
      </c>
      <c r="U449" t="s">
        <v>2899</v>
      </c>
      <c r="V449" t="s">
        <v>876</v>
      </c>
      <c r="W449">
        <v>25002</v>
      </c>
      <c r="X449">
        <v>57</v>
      </c>
      <c r="Y449" t="s">
        <v>2900</v>
      </c>
      <c r="Z449" t="s">
        <v>2901</v>
      </c>
      <c r="AA449" t="s">
        <v>802</v>
      </c>
      <c r="AB449" t="s">
        <v>794</v>
      </c>
      <c r="AC449" t="s">
        <v>236</v>
      </c>
      <c r="AD449" t="s">
        <v>236</v>
      </c>
      <c r="AE449" t="s">
        <v>865</v>
      </c>
    </row>
    <row r="450" spans="1:35">
      <c r="A450">
        <v>448</v>
      </c>
      <c r="B450" t="s">
        <v>2902</v>
      </c>
      <c r="C450">
        <v>840</v>
      </c>
      <c r="D450" t="s">
        <v>1001</v>
      </c>
      <c r="E450" t="s">
        <v>236</v>
      </c>
      <c r="F450" t="s">
        <v>2898</v>
      </c>
      <c r="G450" t="s">
        <v>456</v>
      </c>
      <c r="H450" t="s">
        <v>2898</v>
      </c>
      <c r="I450" t="s">
        <v>2898</v>
      </c>
      <c r="J450" t="s">
        <v>786</v>
      </c>
      <c r="N450" t="s">
        <v>787</v>
      </c>
      <c r="P450" t="s">
        <v>49</v>
      </c>
      <c r="Q450" t="s">
        <v>168</v>
      </c>
      <c r="S450" t="s">
        <v>898</v>
      </c>
      <c r="T450" t="s">
        <v>463</v>
      </c>
      <c r="U450" t="s">
        <v>2903</v>
      </c>
      <c r="V450" t="s">
        <v>876</v>
      </c>
      <c r="W450">
        <v>19177</v>
      </c>
      <c r="X450">
        <v>73</v>
      </c>
      <c r="Y450" t="s">
        <v>2904</v>
      </c>
      <c r="Z450" t="s">
        <v>2905</v>
      </c>
      <c r="AA450" t="s">
        <v>802</v>
      </c>
      <c r="AB450" t="s">
        <v>794</v>
      </c>
      <c r="AC450" t="s">
        <v>236</v>
      </c>
      <c r="AD450" t="s">
        <v>236</v>
      </c>
      <c r="AE450" t="s">
        <v>865</v>
      </c>
    </row>
    <row r="451" spans="1:35">
      <c r="A451">
        <v>449</v>
      </c>
      <c r="B451" t="s">
        <v>2906</v>
      </c>
      <c r="C451">
        <v>842</v>
      </c>
      <c r="D451" t="s">
        <v>1001</v>
      </c>
      <c r="E451" t="s">
        <v>236</v>
      </c>
      <c r="F451" t="s">
        <v>2898</v>
      </c>
      <c r="G451" t="s">
        <v>456</v>
      </c>
      <c r="H451" t="s">
        <v>2898</v>
      </c>
      <c r="I451" t="s">
        <v>2898</v>
      </c>
      <c r="J451" t="s">
        <v>786</v>
      </c>
      <c r="N451" t="s">
        <v>787</v>
      </c>
      <c r="P451" t="s">
        <v>49</v>
      </c>
      <c r="Q451" t="s">
        <v>168</v>
      </c>
      <c r="S451" t="s">
        <v>898</v>
      </c>
      <c r="T451" t="s">
        <v>470</v>
      </c>
      <c r="U451" t="s">
        <v>2907</v>
      </c>
      <c r="V451" t="s">
        <v>876</v>
      </c>
      <c r="W451">
        <v>18523</v>
      </c>
      <c r="X451">
        <v>75</v>
      </c>
      <c r="Y451" t="s">
        <v>2908</v>
      </c>
      <c r="Z451" t="s">
        <v>2909</v>
      </c>
      <c r="AA451" t="s">
        <v>802</v>
      </c>
      <c r="AB451" t="s">
        <v>794</v>
      </c>
      <c r="AC451" t="s">
        <v>236</v>
      </c>
      <c r="AD451" t="s">
        <v>236</v>
      </c>
      <c r="AE451" t="s">
        <v>865</v>
      </c>
    </row>
    <row r="452" spans="1:35">
      <c r="A452">
        <v>450</v>
      </c>
      <c r="B452" t="s">
        <v>2910</v>
      </c>
      <c r="C452">
        <v>844</v>
      </c>
      <c r="D452" t="s">
        <v>1001</v>
      </c>
      <c r="E452" t="s">
        <v>236</v>
      </c>
      <c r="F452" t="s">
        <v>2898</v>
      </c>
      <c r="G452" t="s">
        <v>456</v>
      </c>
      <c r="H452" t="s">
        <v>2898</v>
      </c>
      <c r="I452" t="s">
        <v>2898</v>
      </c>
      <c r="J452" t="s">
        <v>786</v>
      </c>
      <c r="N452" t="s">
        <v>787</v>
      </c>
      <c r="P452" t="s">
        <v>49</v>
      </c>
      <c r="Q452" t="s">
        <v>49</v>
      </c>
      <c r="S452" t="s">
        <v>874</v>
      </c>
      <c r="T452" t="s">
        <v>473</v>
      </c>
      <c r="U452" t="s">
        <v>2911</v>
      </c>
      <c r="V452" t="s">
        <v>876</v>
      </c>
      <c r="W452">
        <v>22938</v>
      </c>
      <c r="X452">
        <v>63</v>
      </c>
      <c r="Y452" t="s">
        <v>2912</v>
      </c>
      <c r="Z452" t="s">
        <v>2913</v>
      </c>
      <c r="AA452" t="s">
        <v>802</v>
      </c>
      <c r="AB452" t="s">
        <v>794</v>
      </c>
      <c r="AC452" t="s">
        <v>236</v>
      </c>
      <c r="AD452" t="s">
        <v>236</v>
      </c>
      <c r="AE452" t="s">
        <v>865</v>
      </c>
    </row>
    <row r="453" spans="1:35">
      <c r="A453">
        <v>451</v>
      </c>
      <c r="B453" t="s">
        <v>2914</v>
      </c>
      <c r="C453">
        <v>846</v>
      </c>
      <c r="D453" t="s">
        <v>1001</v>
      </c>
      <c r="E453" t="s">
        <v>236</v>
      </c>
      <c r="F453" t="s">
        <v>2898</v>
      </c>
      <c r="G453" t="s">
        <v>456</v>
      </c>
      <c r="H453" t="s">
        <v>2898</v>
      </c>
      <c r="I453" t="s">
        <v>2898</v>
      </c>
      <c r="J453" t="s">
        <v>786</v>
      </c>
      <c r="N453" t="s">
        <v>787</v>
      </c>
      <c r="P453" t="s">
        <v>49</v>
      </c>
      <c r="Q453" t="s">
        <v>168</v>
      </c>
      <c r="S453" t="s">
        <v>874</v>
      </c>
      <c r="T453" t="s">
        <v>478</v>
      </c>
      <c r="U453" t="s">
        <v>2915</v>
      </c>
      <c r="V453" t="s">
        <v>876</v>
      </c>
      <c r="W453">
        <v>23418</v>
      </c>
      <c r="X453">
        <v>61</v>
      </c>
      <c r="Y453" t="s">
        <v>2916</v>
      </c>
      <c r="Z453" t="s">
        <v>2917</v>
      </c>
      <c r="AA453" t="s">
        <v>802</v>
      </c>
      <c r="AB453" t="s">
        <v>794</v>
      </c>
      <c r="AC453" t="s">
        <v>236</v>
      </c>
      <c r="AD453" t="s">
        <v>236</v>
      </c>
      <c r="AE453" t="s">
        <v>865</v>
      </c>
    </row>
    <row r="454" spans="1:35">
      <c r="A454">
        <v>452</v>
      </c>
      <c r="B454" t="s">
        <v>2918</v>
      </c>
      <c r="C454">
        <v>848</v>
      </c>
      <c r="D454" t="s">
        <v>1001</v>
      </c>
      <c r="E454" t="s">
        <v>236</v>
      </c>
      <c r="F454" t="s">
        <v>2898</v>
      </c>
      <c r="G454" t="s">
        <v>456</v>
      </c>
      <c r="H454" t="s">
        <v>2898</v>
      </c>
      <c r="I454" t="s">
        <v>2898</v>
      </c>
      <c r="J454" t="s">
        <v>786</v>
      </c>
      <c r="N454" t="s">
        <v>787</v>
      </c>
      <c r="P454" t="s">
        <v>163</v>
      </c>
      <c r="Q454" t="s">
        <v>500</v>
      </c>
      <c r="S454" t="s">
        <v>874</v>
      </c>
      <c r="T454" t="s">
        <v>498</v>
      </c>
      <c r="U454" t="s">
        <v>2919</v>
      </c>
      <c r="V454" t="s">
        <v>876</v>
      </c>
      <c r="W454">
        <v>22147</v>
      </c>
      <c r="X454">
        <v>65</v>
      </c>
      <c r="Y454" t="s">
        <v>2920</v>
      </c>
      <c r="Z454" t="s">
        <v>2921</v>
      </c>
      <c r="AA454" t="s">
        <v>802</v>
      </c>
      <c r="AB454" t="s">
        <v>794</v>
      </c>
      <c r="AC454" t="s">
        <v>236</v>
      </c>
      <c r="AD454" t="s">
        <v>236</v>
      </c>
      <c r="AE454" t="s">
        <v>865</v>
      </c>
    </row>
    <row r="455" spans="1:35">
      <c r="A455">
        <v>453</v>
      </c>
      <c r="B455" t="s">
        <v>987</v>
      </c>
      <c r="C455">
        <v>849</v>
      </c>
      <c r="E455" t="s">
        <v>236</v>
      </c>
      <c r="F455" t="s">
        <v>2898</v>
      </c>
      <c r="G455" t="s">
        <v>456</v>
      </c>
      <c r="H455" t="s">
        <v>2898</v>
      </c>
      <c r="I455" t="s">
        <v>987</v>
      </c>
      <c r="J455" t="s">
        <v>2922</v>
      </c>
      <c r="K455" t="s">
        <v>2923</v>
      </c>
      <c r="N455" t="s">
        <v>828</v>
      </c>
      <c r="P455" t="s">
        <v>49</v>
      </c>
      <c r="Q455" t="s">
        <v>49</v>
      </c>
      <c r="T455" t="s">
        <v>75</v>
      </c>
      <c r="U455" t="s">
        <v>988</v>
      </c>
      <c r="V455" t="s">
        <v>790</v>
      </c>
      <c r="W455">
        <v>19202</v>
      </c>
      <c r="X455">
        <v>73</v>
      </c>
      <c r="Y455" t="s">
        <v>989</v>
      </c>
      <c r="Z455" t="s">
        <v>2924</v>
      </c>
      <c r="AA455" t="s">
        <v>802</v>
      </c>
      <c r="AB455" t="s">
        <v>794</v>
      </c>
      <c r="AC455" t="s">
        <v>809</v>
      </c>
      <c r="AD455" t="s">
        <v>795</v>
      </c>
      <c r="AE455" t="s">
        <v>804</v>
      </c>
      <c r="AF455" t="s">
        <v>872</v>
      </c>
    </row>
    <row r="456" spans="1:35">
      <c r="A456">
        <v>454</v>
      </c>
      <c r="B456" t="s">
        <v>2922</v>
      </c>
      <c r="C456">
        <v>851</v>
      </c>
      <c r="D456" t="s">
        <v>1001</v>
      </c>
      <c r="E456" t="s">
        <v>236</v>
      </c>
      <c r="F456" t="s">
        <v>2898</v>
      </c>
      <c r="G456" t="s">
        <v>456</v>
      </c>
      <c r="H456" t="s">
        <v>2898</v>
      </c>
      <c r="I456" t="s">
        <v>987</v>
      </c>
      <c r="J456" t="s">
        <v>2922</v>
      </c>
      <c r="K456" t="s">
        <v>2923</v>
      </c>
      <c r="N456" t="s">
        <v>828</v>
      </c>
      <c r="P456" t="s">
        <v>62</v>
      </c>
      <c r="Q456" t="s">
        <v>62</v>
      </c>
      <c r="S456" t="s">
        <v>898</v>
      </c>
      <c r="T456" t="s">
        <v>464</v>
      </c>
      <c r="U456" t="s">
        <v>2925</v>
      </c>
      <c r="V456" t="s">
        <v>790</v>
      </c>
      <c r="W456">
        <v>19613</v>
      </c>
      <c r="X456">
        <v>72</v>
      </c>
      <c r="Y456" t="s">
        <v>2926</v>
      </c>
      <c r="Z456" t="s">
        <v>2927</v>
      </c>
      <c r="AA456" t="s">
        <v>802</v>
      </c>
      <c r="AB456" t="s">
        <v>794</v>
      </c>
      <c r="AC456" t="s">
        <v>236</v>
      </c>
      <c r="AD456" t="s">
        <v>236</v>
      </c>
      <c r="AE456" t="s">
        <v>865</v>
      </c>
    </row>
    <row r="457" spans="1:35">
      <c r="A457">
        <v>455</v>
      </c>
      <c r="B457" t="s">
        <v>2923</v>
      </c>
      <c r="C457">
        <v>853</v>
      </c>
      <c r="D457" t="s">
        <v>1001</v>
      </c>
      <c r="E457" t="s">
        <v>236</v>
      </c>
      <c r="F457" t="s">
        <v>2898</v>
      </c>
      <c r="G457" t="s">
        <v>456</v>
      </c>
      <c r="H457" t="s">
        <v>2898</v>
      </c>
      <c r="I457" t="s">
        <v>987</v>
      </c>
      <c r="J457" t="s">
        <v>2922</v>
      </c>
      <c r="K457" t="s">
        <v>2923</v>
      </c>
      <c r="N457" t="s">
        <v>828</v>
      </c>
      <c r="P457" t="s">
        <v>62</v>
      </c>
      <c r="Q457" t="s">
        <v>62</v>
      </c>
      <c r="S457" t="s">
        <v>898</v>
      </c>
      <c r="T457" t="s">
        <v>2928</v>
      </c>
      <c r="U457" t="s">
        <v>2929</v>
      </c>
      <c r="V457" t="s">
        <v>790</v>
      </c>
      <c r="W457">
        <v>19281</v>
      </c>
      <c r="X457">
        <v>73</v>
      </c>
      <c r="Y457" t="s">
        <v>2930</v>
      </c>
      <c r="Z457" t="s">
        <v>2931</v>
      </c>
      <c r="AA457" t="s">
        <v>802</v>
      </c>
      <c r="AB457" t="s">
        <v>794</v>
      </c>
      <c r="AC457" t="s">
        <v>236</v>
      </c>
      <c r="AD457" t="s">
        <v>236</v>
      </c>
      <c r="AE457" t="s">
        <v>743</v>
      </c>
      <c r="AH457" t="s">
        <v>844</v>
      </c>
    </row>
    <row r="458" spans="1:35">
      <c r="A458">
        <v>456</v>
      </c>
      <c r="B458" t="s">
        <v>2932</v>
      </c>
      <c r="C458">
        <v>855</v>
      </c>
      <c r="D458" t="s">
        <v>1001</v>
      </c>
      <c r="E458" t="s">
        <v>236</v>
      </c>
      <c r="F458" t="s">
        <v>2898</v>
      </c>
      <c r="G458" t="s">
        <v>456</v>
      </c>
      <c r="H458" t="s">
        <v>2898</v>
      </c>
      <c r="I458" t="s">
        <v>987</v>
      </c>
      <c r="J458" t="s">
        <v>2922</v>
      </c>
      <c r="K458" t="s">
        <v>2923</v>
      </c>
      <c r="N458" t="s">
        <v>828</v>
      </c>
      <c r="S458" t="s">
        <v>799</v>
      </c>
      <c r="T458" t="s">
        <v>474</v>
      </c>
      <c r="U458" t="s">
        <v>2933</v>
      </c>
      <c r="V458" t="s">
        <v>790</v>
      </c>
      <c r="W458">
        <v>30981</v>
      </c>
      <c r="X458">
        <v>41</v>
      </c>
      <c r="Y458" t="s">
        <v>2934</v>
      </c>
      <c r="Z458" t="s">
        <v>2935</v>
      </c>
      <c r="AA458" t="s">
        <v>2936</v>
      </c>
      <c r="AB458" t="s">
        <v>794</v>
      </c>
      <c r="AC458" t="s">
        <v>236</v>
      </c>
      <c r="AD458" t="s">
        <v>236</v>
      </c>
      <c r="AE458" t="s">
        <v>865</v>
      </c>
    </row>
    <row r="459" spans="1:35">
      <c r="A459">
        <v>457</v>
      </c>
      <c r="B459" t="s">
        <v>2937</v>
      </c>
      <c r="C459">
        <v>857</v>
      </c>
      <c r="D459" t="s">
        <v>1001</v>
      </c>
      <c r="E459" t="s">
        <v>236</v>
      </c>
      <c r="F459" t="s">
        <v>2898</v>
      </c>
      <c r="G459" t="s">
        <v>456</v>
      </c>
      <c r="H459" t="s">
        <v>2898</v>
      </c>
      <c r="I459" t="s">
        <v>987</v>
      </c>
      <c r="J459" t="s">
        <v>2922</v>
      </c>
      <c r="K459" t="s">
        <v>2923</v>
      </c>
      <c r="N459" t="s">
        <v>828</v>
      </c>
      <c r="S459" t="s">
        <v>799</v>
      </c>
      <c r="T459" t="s">
        <v>2938</v>
      </c>
      <c r="U459" t="s">
        <v>2939</v>
      </c>
      <c r="V459" t="s">
        <v>790</v>
      </c>
      <c r="W459">
        <v>26339</v>
      </c>
      <c r="X459">
        <v>53</v>
      </c>
      <c r="Y459" t="s">
        <v>2940</v>
      </c>
      <c r="Z459" t="s">
        <v>2941</v>
      </c>
      <c r="AA459" t="s">
        <v>802</v>
      </c>
      <c r="AB459" t="s">
        <v>794</v>
      </c>
      <c r="AC459" t="s">
        <v>236</v>
      </c>
      <c r="AD459" t="s">
        <v>236</v>
      </c>
      <c r="AE459" t="s">
        <v>865</v>
      </c>
      <c r="AH459" t="s">
        <v>832</v>
      </c>
    </row>
    <row r="460" spans="1:35">
      <c r="A460">
        <v>458</v>
      </c>
      <c r="B460" t="s">
        <v>2942</v>
      </c>
      <c r="C460">
        <v>859</v>
      </c>
      <c r="D460" t="s">
        <v>1822</v>
      </c>
      <c r="E460" t="s">
        <v>236</v>
      </c>
      <c r="F460" t="s">
        <v>2898</v>
      </c>
      <c r="G460" t="s">
        <v>456</v>
      </c>
      <c r="H460" t="s">
        <v>2898</v>
      </c>
      <c r="I460" t="s">
        <v>987</v>
      </c>
      <c r="J460" t="s">
        <v>2922</v>
      </c>
      <c r="K460" t="s">
        <v>2923</v>
      </c>
      <c r="N460" t="s">
        <v>828</v>
      </c>
      <c r="S460" t="s">
        <v>799</v>
      </c>
      <c r="T460" t="s">
        <v>2943</v>
      </c>
      <c r="U460" t="s">
        <v>2944</v>
      </c>
      <c r="V460" t="s">
        <v>790</v>
      </c>
      <c r="W460">
        <v>22088</v>
      </c>
      <c r="X460">
        <v>65</v>
      </c>
      <c r="Y460" t="s">
        <v>2945</v>
      </c>
      <c r="Z460" t="s">
        <v>2946</v>
      </c>
      <c r="AA460" t="s">
        <v>842</v>
      </c>
      <c r="AB460" t="s">
        <v>851</v>
      </c>
      <c r="AC460" t="s">
        <v>809</v>
      </c>
      <c r="AD460" t="s">
        <v>809</v>
      </c>
      <c r="AE460" t="s">
        <v>2085</v>
      </c>
      <c r="AH460" t="s">
        <v>844</v>
      </c>
      <c r="AI460" t="s">
        <v>1863</v>
      </c>
    </row>
    <row r="461" spans="1:35">
      <c r="A461">
        <v>459</v>
      </c>
      <c r="B461" t="s">
        <v>2947</v>
      </c>
      <c r="C461">
        <v>861</v>
      </c>
      <c r="D461" t="s">
        <v>1001</v>
      </c>
      <c r="E461" t="s">
        <v>236</v>
      </c>
      <c r="F461" t="s">
        <v>2898</v>
      </c>
      <c r="G461" t="s">
        <v>456</v>
      </c>
      <c r="H461" t="s">
        <v>2898</v>
      </c>
      <c r="I461" t="s">
        <v>987</v>
      </c>
      <c r="J461" t="s">
        <v>2922</v>
      </c>
      <c r="K461" t="s">
        <v>2923</v>
      </c>
      <c r="N461" t="s">
        <v>828</v>
      </c>
      <c r="S461" t="s">
        <v>799</v>
      </c>
      <c r="T461" t="s">
        <v>2948</v>
      </c>
      <c r="U461" t="s">
        <v>2949</v>
      </c>
      <c r="V461" t="s">
        <v>790</v>
      </c>
      <c r="W461">
        <v>31482</v>
      </c>
      <c r="X461">
        <v>39</v>
      </c>
      <c r="Y461" t="s">
        <v>2950</v>
      </c>
      <c r="AA461" t="s">
        <v>842</v>
      </c>
      <c r="AB461" t="s">
        <v>843</v>
      </c>
      <c r="AC461" t="s">
        <v>236</v>
      </c>
      <c r="AD461" t="s">
        <v>236</v>
      </c>
      <c r="AE461" t="s">
        <v>865</v>
      </c>
      <c r="AG461" t="s">
        <v>2951</v>
      </c>
      <c r="AI461" t="s">
        <v>860</v>
      </c>
    </row>
    <row r="462" spans="1:35">
      <c r="A462">
        <v>460</v>
      </c>
      <c r="B462" t="s">
        <v>2952</v>
      </c>
      <c r="C462">
        <v>863</v>
      </c>
      <c r="D462" t="s">
        <v>1001</v>
      </c>
      <c r="E462" t="s">
        <v>236</v>
      </c>
      <c r="F462" t="s">
        <v>2898</v>
      </c>
      <c r="G462" t="s">
        <v>456</v>
      </c>
      <c r="H462" t="s">
        <v>2898</v>
      </c>
      <c r="I462" t="s">
        <v>987</v>
      </c>
      <c r="J462" t="s">
        <v>2922</v>
      </c>
      <c r="K462" t="s">
        <v>2923</v>
      </c>
      <c r="N462" t="s">
        <v>828</v>
      </c>
      <c r="S462" t="s">
        <v>799</v>
      </c>
      <c r="T462" t="s">
        <v>2953</v>
      </c>
      <c r="U462" t="s">
        <v>2954</v>
      </c>
      <c r="V462" t="s">
        <v>790</v>
      </c>
      <c r="W462">
        <v>32188</v>
      </c>
      <c r="X462">
        <v>37</v>
      </c>
      <c r="Y462" t="s">
        <v>2955</v>
      </c>
      <c r="AA462" t="s">
        <v>842</v>
      </c>
      <c r="AB462" t="s">
        <v>843</v>
      </c>
      <c r="AC462" t="s">
        <v>236</v>
      </c>
      <c r="AD462" t="s">
        <v>2529</v>
      </c>
      <c r="AE462" t="s">
        <v>1289</v>
      </c>
      <c r="AG462" t="s">
        <v>2951</v>
      </c>
      <c r="AH462" t="s">
        <v>844</v>
      </c>
      <c r="AI462" t="s">
        <v>860</v>
      </c>
    </row>
    <row r="463" spans="1:35">
      <c r="A463">
        <v>461</v>
      </c>
      <c r="B463" t="s">
        <v>2956</v>
      </c>
      <c r="C463">
        <v>865</v>
      </c>
      <c r="D463" t="s">
        <v>1001</v>
      </c>
      <c r="E463" t="s">
        <v>236</v>
      </c>
      <c r="F463" t="s">
        <v>2898</v>
      </c>
      <c r="G463" t="s">
        <v>456</v>
      </c>
      <c r="H463" t="s">
        <v>2898</v>
      </c>
      <c r="I463" t="s">
        <v>987</v>
      </c>
      <c r="J463" t="s">
        <v>2922</v>
      </c>
      <c r="K463" t="s">
        <v>2923</v>
      </c>
      <c r="N463" t="s">
        <v>828</v>
      </c>
      <c r="S463" t="s">
        <v>799</v>
      </c>
      <c r="T463" t="s">
        <v>2957</v>
      </c>
      <c r="U463" t="s">
        <v>2958</v>
      </c>
      <c r="V463" t="s">
        <v>790</v>
      </c>
      <c r="W463">
        <v>26922</v>
      </c>
      <c r="X463">
        <v>52</v>
      </c>
      <c r="Y463" t="s">
        <v>2959</v>
      </c>
      <c r="Z463" t="s">
        <v>2960</v>
      </c>
      <c r="AA463" t="s">
        <v>842</v>
      </c>
      <c r="AB463" t="s">
        <v>794</v>
      </c>
      <c r="AC463" t="s">
        <v>236</v>
      </c>
      <c r="AD463" t="s">
        <v>236</v>
      </c>
      <c r="AE463" t="s">
        <v>865</v>
      </c>
      <c r="AG463" t="s">
        <v>2951</v>
      </c>
      <c r="AI463" t="s">
        <v>860</v>
      </c>
    </row>
    <row r="464" spans="1:35">
      <c r="A464">
        <v>462</v>
      </c>
      <c r="B464" t="s">
        <v>2961</v>
      </c>
      <c r="C464">
        <v>867</v>
      </c>
      <c r="D464" t="s">
        <v>1001</v>
      </c>
      <c r="E464" t="s">
        <v>236</v>
      </c>
      <c r="F464" t="s">
        <v>2898</v>
      </c>
      <c r="G464" t="s">
        <v>456</v>
      </c>
      <c r="H464" t="s">
        <v>2898</v>
      </c>
      <c r="I464" t="s">
        <v>987</v>
      </c>
      <c r="J464" t="s">
        <v>2922</v>
      </c>
      <c r="K464" t="s">
        <v>2923</v>
      </c>
      <c r="N464" t="s">
        <v>828</v>
      </c>
      <c r="S464" t="s">
        <v>799</v>
      </c>
      <c r="T464" t="s">
        <v>2962</v>
      </c>
      <c r="U464" t="s">
        <v>2963</v>
      </c>
      <c r="V464" t="s">
        <v>790</v>
      </c>
      <c r="W464">
        <v>27828</v>
      </c>
      <c r="X464">
        <v>49</v>
      </c>
      <c r="Y464" t="s">
        <v>2964</v>
      </c>
      <c r="AA464" t="s">
        <v>842</v>
      </c>
      <c r="AB464" t="s">
        <v>851</v>
      </c>
      <c r="AC464" t="s">
        <v>236</v>
      </c>
      <c r="AD464" t="s">
        <v>236</v>
      </c>
      <c r="AE464" t="s">
        <v>865</v>
      </c>
      <c r="AG464" t="s">
        <v>2951</v>
      </c>
      <c r="AI464" t="s">
        <v>860</v>
      </c>
    </row>
    <row r="465" spans="1:35">
      <c r="A465">
        <v>463</v>
      </c>
      <c r="B465" t="s">
        <v>2965</v>
      </c>
      <c r="C465">
        <v>869</v>
      </c>
      <c r="D465" t="s">
        <v>1001</v>
      </c>
      <c r="E465" t="s">
        <v>236</v>
      </c>
      <c r="F465" t="s">
        <v>2898</v>
      </c>
      <c r="G465" t="s">
        <v>456</v>
      </c>
      <c r="H465" t="s">
        <v>2898</v>
      </c>
      <c r="I465" t="s">
        <v>2965</v>
      </c>
      <c r="J465" t="s">
        <v>2966</v>
      </c>
      <c r="K465" t="s">
        <v>990</v>
      </c>
      <c r="L465" t="s">
        <v>2967</v>
      </c>
      <c r="N465" t="s">
        <v>938</v>
      </c>
      <c r="P465" t="s">
        <v>49</v>
      </c>
      <c r="Q465" t="s">
        <v>49</v>
      </c>
      <c r="S465" t="s">
        <v>898</v>
      </c>
      <c r="T465" t="s">
        <v>457</v>
      </c>
      <c r="U465" t="s">
        <v>2968</v>
      </c>
      <c r="V465" t="s">
        <v>876</v>
      </c>
      <c r="W465">
        <v>17838</v>
      </c>
      <c r="X465">
        <v>77</v>
      </c>
      <c r="Y465" t="s">
        <v>2969</v>
      </c>
      <c r="Z465" t="s">
        <v>2970</v>
      </c>
      <c r="AA465" t="s">
        <v>802</v>
      </c>
      <c r="AB465" t="s">
        <v>794</v>
      </c>
      <c r="AC465" t="s">
        <v>236</v>
      </c>
      <c r="AD465" t="s">
        <v>236</v>
      </c>
      <c r="AE465" t="s">
        <v>865</v>
      </c>
    </row>
    <row r="466" spans="1:35">
      <c r="A466">
        <v>464</v>
      </c>
      <c r="B466" t="s">
        <v>2966</v>
      </c>
      <c r="C466">
        <v>871</v>
      </c>
      <c r="D466" t="s">
        <v>1001</v>
      </c>
      <c r="E466" t="s">
        <v>236</v>
      </c>
      <c r="F466" t="s">
        <v>2898</v>
      </c>
      <c r="G466" t="s">
        <v>456</v>
      </c>
      <c r="H466" t="s">
        <v>2898</v>
      </c>
      <c r="I466" t="s">
        <v>2965</v>
      </c>
      <c r="J466" t="s">
        <v>2966</v>
      </c>
      <c r="K466" t="s">
        <v>990</v>
      </c>
      <c r="L466" t="s">
        <v>2967</v>
      </c>
      <c r="N466" t="s">
        <v>938</v>
      </c>
      <c r="P466" t="s">
        <v>62</v>
      </c>
      <c r="Q466" t="s">
        <v>62</v>
      </c>
      <c r="S466" t="s">
        <v>898</v>
      </c>
      <c r="T466" t="s">
        <v>465</v>
      </c>
      <c r="U466" t="s">
        <v>2971</v>
      </c>
      <c r="V466" t="s">
        <v>876</v>
      </c>
      <c r="W466">
        <v>19108</v>
      </c>
      <c r="X466">
        <v>73</v>
      </c>
      <c r="Y466" t="s">
        <v>2972</v>
      </c>
      <c r="Z466" t="s">
        <v>2973</v>
      </c>
      <c r="AA466" t="s">
        <v>802</v>
      </c>
      <c r="AB466" t="s">
        <v>794</v>
      </c>
      <c r="AC466" t="s">
        <v>236</v>
      </c>
      <c r="AD466" t="s">
        <v>236</v>
      </c>
      <c r="AE466" t="s">
        <v>865</v>
      </c>
    </row>
    <row r="467" spans="1:35">
      <c r="A467">
        <v>465</v>
      </c>
      <c r="B467" t="s">
        <v>990</v>
      </c>
      <c r="C467">
        <v>872</v>
      </c>
      <c r="E467" t="s">
        <v>236</v>
      </c>
      <c r="F467" t="s">
        <v>2898</v>
      </c>
      <c r="G467" t="s">
        <v>456</v>
      </c>
      <c r="H467" t="s">
        <v>2898</v>
      </c>
      <c r="I467" t="s">
        <v>2965</v>
      </c>
      <c r="J467" t="s">
        <v>2966</v>
      </c>
      <c r="K467" t="s">
        <v>990</v>
      </c>
      <c r="L467" t="s">
        <v>2967</v>
      </c>
      <c r="N467" t="s">
        <v>938</v>
      </c>
      <c r="P467" t="s">
        <v>62</v>
      </c>
      <c r="Q467" t="s">
        <v>62</v>
      </c>
      <c r="T467" t="s">
        <v>87</v>
      </c>
      <c r="U467" t="s">
        <v>991</v>
      </c>
      <c r="V467" t="s">
        <v>876</v>
      </c>
      <c r="W467">
        <v>19466</v>
      </c>
      <c r="X467">
        <v>72</v>
      </c>
      <c r="Y467" t="s">
        <v>992</v>
      </c>
      <c r="Z467" t="s">
        <v>993</v>
      </c>
      <c r="AA467" t="s">
        <v>802</v>
      </c>
      <c r="AB467" t="s">
        <v>794</v>
      </c>
      <c r="AC467" t="s">
        <v>809</v>
      </c>
      <c r="AD467" t="s">
        <v>795</v>
      </c>
      <c r="AE467" t="s">
        <v>804</v>
      </c>
      <c r="AF467" t="s">
        <v>872</v>
      </c>
    </row>
    <row r="468" spans="1:35">
      <c r="A468">
        <v>466</v>
      </c>
      <c r="B468" t="s">
        <v>2967</v>
      </c>
      <c r="C468">
        <v>874</v>
      </c>
      <c r="D468" t="s">
        <v>1001</v>
      </c>
      <c r="E468" t="s">
        <v>236</v>
      </c>
      <c r="F468" t="s">
        <v>2898</v>
      </c>
      <c r="G468" t="s">
        <v>456</v>
      </c>
      <c r="H468" t="s">
        <v>2898</v>
      </c>
      <c r="I468" t="s">
        <v>2965</v>
      </c>
      <c r="J468" t="s">
        <v>2966</v>
      </c>
      <c r="K468" t="s">
        <v>990</v>
      </c>
      <c r="L468" t="s">
        <v>2967</v>
      </c>
      <c r="N468" t="s">
        <v>938</v>
      </c>
      <c r="P468" t="s">
        <v>62</v>
      </c>
      <c r="Q468" t="s">
        <v>62</v>
      </c>
      <c r="S468" t="s">
        <v>874</v>
      </c>
      <c r="T468" t="s">
        <v>475</v>
      </c>
      <c r="U468" t="s">
        <v>2974</v>
      </c>
      <c r="V468" t="s">
        <v>876</v>
      </c>
      <c r="W468">
        <v>22921</v>
      </c>
      <c r="X468">
        <v>63</v>
      </c>
      <c r="Y468" t="s">
        <v>2975</v>
      </c>
      <c r="Z468" t="s">
        <v>2976</v>
      </c>
      <c r="AA468" t="s">
        <v>802</v>
      </c>
      <c r="AB468" t="s">
        <v>794</v>
      </c>
      <c r="AC468" t="s">
        <v>236</v>
      </c>
      <c r="AD468" t="s">
        <v>236</v>
      </c>
      <c r="AE468" t="s">
        <v>865</v>
      </c>
    </row>
    <row r="469" spans="1:35">
      <c r="A469">
        <v>467</v>
      </c>
      <c r="B469" t="s">
        <v>2977</v>
      </c>
      <c r="C469">
        <v>876</v>
      </c>
      <c r="D469" t="s">
        <v>1001</v>
      </c>
      <c r="E469" t="s">
        <v>236</v>
      </c>
      <c r="F469" t="s">
        <v>2898</v>
      </c>
      <c r="G469" t="s">
        <v>456</v>
      </c>
      <c r="H469" t="s">
        <v>2898</v>
      </c>
      <c r="I469" t="s">
        <v>2965</v>
      </c>
      <c r="J469" t="s">
        <v>2966</v>
      </c>
      <c r="K469" t="s">
        <v>990</v>
      </c>
      <c r="L469" t="s">
        <v>2967</v>
      </c>
      <c r="N469" t="s">
        <v>938</v>
      </c>
      <c r="S469" t="s">
        <v>898</v>
      </c>
      <c r="T469" t="s">
        <v>479</v>
      </c>
      <c r="U469" t="s">
        <v>2978</v>
      </c>
      <c r="V469" t="s">
        <v>876</v>
      </c>
      <c r="W469">
        <v>18123</v>
      </c>
      <c r="X469">
        <v>76</v>
      </c>
      <c r="Y469" t="s">
        <v>2979</v>
      </c>
      <c r="Z469" t="s">
        <v>2980</v>
      </c>
      <c r="AA469" t="s">
        <v>802</v>
      </c>
      <c r="AB469" t="s">
        <v>794</v>
      </c>
      <c r="AC469" t="s">
        <v>236</v>
      </c>
      <c r="AD469" t="s">
        <v>236</v>
      </c>
      <c r="AE469" t="s">
        <v>865</v>
      </c>
    </row>
    <row r="470" spans="1:35">
      <c r="A470">
        <v>468</v>
      </c>
      <c r="B470" t="s">
        <v>2981</v>
      </c>
      <c r="C470">
        <v>878</v>
      </c>
      <c r="D470" t="s">
        <v>1001</v>
      </c>
      <c r="E470" t="s">
        <v>236</v>
      </c>
      <c r="F470" t="s">
        <v>2898</v>
      </c>
      <c r="G470" t="s">
        <v>456</v>
      </c>
      <c r="H470" t="s">
        <v>2898</v>
      </c>
      <c r="I470" t="s">
        <v>2965</v>
      </c>
      <c r="J470" t="s">
        <v>2966</v>
      </c>
      <c r="K470" t="s">
        <v>990</v>
      </c>
      <c r="L470" t="s">
        <v>2967</v>
      </c>
      <c r="N470" t="s">
        <v>938</v>
      </c>
      <c r="S470" t="s">
        <v>898</v>
      </c>
      <c r="T470" t="s">
        <v>485</v>
      </c>
      <c r="U470" t="s">
        <v>2982</v>
      </c>
      <c r="V470" t="s">
        <v>876</v>
      </c>
      <c r="W470">
        <v>20191</v>
      </c>
      <c r="X470">
        <v>70</v>
      </c>
      <c r="Y470">
        <v>77774810054</v>
      </c>
      <c r="Z470" t="s">
        <v>2983</v>
      </c>
      <c r="AA470" t="s">
        <v>802</v>
      </c>
      <c r="AB470" t="s">
        <v>794</v>
      </c>
      <c r="AC470" t="s">
        <v>236</v>
      </c>
      <c r="AD470" t="s">
        <v>236</v>
      </c>
      <c r="AE470" t="s">
        <v>865</v>
      </c>
    </row>
    <row r="471" spans="1:35">
      <c r="A471">
        <v>469</v>
      </c>
      <c r="B471" t="s">
        <v>2984</v>
      </c>
      <c r="C471">
        <v>880</v>
      </c>
      <c r="D471" t="s">
        <v>1001</v>
      </c>
      <c r="E471" t="s">
        <v>236</v>
      </c>
      <c r="F471" t="s">
        <v>2898</v>
      </c>
      <c r="G471" t="s">
        <v>456</v>
      </c>
      <c r="H471" t="s">
        <v>2898</v>
      </c>
      <c r="I471" t="s">
        <v>2965</v>
      </c>
      <c r="J471" t="s">
        <v>2966</v>
      </c>
      <c r="K471" t="s">
        <v>990</v>
      </c>
      <c r="L471" t="s">
        <v>2967</v>
      </c>
      <c r="N471" t="s">
        <v>938</v>
      </c>
      <c r="S471" t="s">
        <v>874</v>
      </c>
      <c r="T471" t="s">
        <v>486</v>
      </c>
      <c r="U471" t="s">
        <v>2985</v>
      </c>
      <c r="V471" t="s">
        <v>876</v>
      </c>
      <c r="W471">
        <v>20487</v>
      </c>
      <c r="X471">
        <v>69</v>
      </c>
      <c r="Y471" t="s">
        <v>2986</v>
      </c>
      <c r="AA471" t="s">
        <v>842</v>
      </c>
      <c r="AB471" t="s">
        <v>794</v>
      </c>
      <c r="AC471" t="s">
        <v>236</v>
      </c>
      <c r="AD471" t="s">
        <v>236</v>
      </c>
      <c r="AE471" t="s">
        <v>865</v>
      </c>
      <c r="AG471" t="s">
        <v>2987</v>
      </c>
      <c r="AI471" t="s">
        <v>2988</v>
      </c>
    </row>
    <row r="472" spans="1:35">
      <c r="A472">
        <v>470</v>
      </c>
      <c r="B472" t="s">
        <v>2989</v>
      </c>
      <c r="C472">
        <v>882</v>
      </c>
      <c r="D472" t="s">
        <v>1001</v>
      </c>
      <c r="E472" t="s">
        <v>236</v>
      </c>
      <c r="F472" t="s">
        <v>2898</v>
      </c>
      <c r="G472" t="s">
        <v>456</v>
      </c>
      <c r="H472" t="s">
        <v>2898</v>
      </c>
      <c r="I472" t="s">
        <v>2965</v>
      </c>
      <c r="J472" t="s">
        <v>2966</v>
      </c>
      <c r="K472" t="s">
        <v>990</v>
      </c>
      <c r="L472" t="s">
        <v>2967</v>
      </c>
      <c r="N472" t="s">
        <v>938</v>
      </c>
      <c r="S472" t="s">
        <v>874</v>
      </c>
      <c r="T472" t="s">
        <v>2990</v>
      </c>
      <c r="U472" t="s">
        <v>2991</v>
      </c>
      <c r="V472" t="s">
        <v>876</v>
      </c>
      <c r="W472">
        <v>26857</v>
      </c>
      <c r="X472">
        <v>52</v>
      </c>
      <c r="Y472" t="s">
        <v>2992</v>
      </c>
      <c r="AA472" t="s">
        <v>842</v>
      </c>
      <c r="AB472" t="s">
        <v>851</v>
      </c>
      <c r="AC472" t="s">
        <v>236</v>
      </c>
      <c r="AD472" t="s">
        <v>236</v>
      </c>
      <c r="AE472" t="s">
        <v>865</v>
      </c>
      <c r="AG472" t="s">
        <v>2951</v>
      </c>
      <c r="AI472" t="s">
        <v>860</v>
      </c>
    </row>
    <row r="473" spans="1:35">
      <c r="A473">
        <v>471</v>
      </c>
      <c r="B473" t="s">
        <v>2993</v>
      </c>
      <c r="C473">
        <v>884</v>
      </c>
      <c r="D473" t="s">
        <v>1001</v>
      </c>
      <c r="E473" t="s">
        <v>236</v>
      </c>
      <c r="F473" t="s">
        <v>2898</v>
      </c>
      <c r="G473" t="s">
        <v>456</v>
      </c>
      <c r="H473" t="s">
        <v>2898</v>
      </c>
      <c r="I473" t="s">
        <v>2965</v>
      </c>
      <c r="J473" t="s">
        <v>2966</v>
      </c>
      <c r="K473" t="s">
        <v>990</v>
      </c>
      <c r="L473" t="s">
        <v>2967</v>
      </c>
      <c r="N473" t="s">
        <v>938</v>
      </c>
      <c r="S473" t="s">
        <v>874</v>
      </c>
      <c r="T473" t="s">
        <v>2994</v>
      </c>
      <c r="U473" t="s">
        <v>2995</v>
      </c>
      <c r="V473" t="s">
        <v>876</v>
      </c>
      <c r="W473">
        <v>27734</v>
      </c>
      <c r="X473">
        <v>50</v>
      </c>
      <c r="Y473" t="s">
        <v>2996</v>
      </c>
      <c r="AA473" t="s">
        <v>842</v>
      </c>
      <c r="AB473" t="s">
        <v>851</v>
      </c>
      <c r="AC473" t="s">
        <v>236</v>
      </c>
      <c r="AD473" t="s">
        <v>236</v>
      </c>
      <c r="AE473" t="s">
        <v>865</v>
      </c>
      <c r="AG473" t="s">
        <v>2997</v>
      </c>
    </row>
    <row r="474" spans="1:35">
      <c r="A474">
        <v>472</v>
      </c>
      <c r="B474" t="s">
        <v>2998</v>
      </c>
      <c r="C474">
        <v>886</v>
      </c>
      <c r="D474" t="s">
        <v>1001</v>
      </c>
      <c r="E474" t="s">
        <v>236</v>
      </c>
      <c r="F474" t="s">
        <v>2898</v>
      </c>
      <c r="G474" t="s">
        <v>456</v>
      </c>
      <c r="H474" t="s">
        <v>2898</v>
      </c>
      <c r="I474" t="s">
        <v>2965</v>
      </c>
      <c r="J474" t="s">
        <v>2966</v>
      </c>
      <c r="K474" t="s">
        <v>990</v>
      </c>
      <c r="L474" t="s">
        <v>2967</v>
      </c>
      <c r="N474" t="s">
        <v>938</v>
      </c>
      <c r="S474" t="s">
        <v>788</v>
      </c>
      <c r="T474" t="s">
        <v>2999</v>
      </c>
      <c r="U474" t="s">
        <v>3000</v>
      </c>
      <c r="V474" t="s">
        <v>876</v>
      </c>
      <c r="W474">
        <v>36934</v>
      </c>
      <c r="X474">
        <v>24</v>
      </c>
      <c r="Y474" t="s">
        <v>3001</v>
      </c>
      <c r="AA474" t="s">
        <v>842</v>
      </c>
      <c r="AB474" t="s">
        <v>851</v>
      </c>
      <c r="AC474" t="s">
        <v>236</v>
      </c>
      <c r="AD474" t="s">
        <v>236</v>
      </c>
      <c r="AE474" t="s">
        <v>865</v>
      </c>
      <c r="AG474" t="s">
        <v>2951</v>
      </c>
      <c r="AI474" t="s">
        <v>860</v>
      </c>
    </row>
    <row r="475" spans="1:35">
      <c r="A475">
        <v>473</v>
      </c>
      <c r="B475" t="s">
        <v>2902</v>
      </c>
      <c r="C475">
        <v>887</v>
      </c>
      <c r="E475" t="s">
        <v>236</v>
      </c>
      <c r="F475" t="s">
        <v>2898</v>
      </c>
      <c r="G475" t="s">
        <v>456</v>
      </c>
      <c r="H475" t="s">
        <v>2898</v>
      </c>
      <c r="I475" t="s">
        <v>2902</v>
      </c>
      <c r="J475" t="s">
        <v>3002</v>
      </c>
      <c r="N475" t="s">
        <v>978</v>
      </c>
      <c r="P475" t="s">
        <v>49</v>
      </c>
      <c r="Q475" t="s">
        <v>168</v>
      </c>
      <c r="T475" t="s">
        <v>463</v>
      </c>
      <c r="U475" t="s">
        <v>2903</v>
      </c>
      <c r="V475" t="s">
        <v>876</v>
      </c>
      <c r="W475">
        <v>19031</v>
      </c>
      <c r="X475">
        <v>73</v>
      </c>
      <c r="Y475" t="s">
        <v>2904</v>
      </c>
      <c r="AA475" t="s">
        <v>802</v>
      </c>
      <c r="AB475" t="s">
        <v>794</v>
      </c>
      <c r="AC475" t="s">
        <v>236</v>
      </c>
      <c r="AD475" t="s">
        <v>236</v>
      </c>
      <c r="AE475" t="s">
        <v>865</v>
      </c>
      <c r="AF475" t="s">
        <v>872</v>
      </c>
    </row>
    <row r="476" spans="1:35">
      <c r="A476">
        <v>474</v>
      </c>
      <c r="B476" t="s">
        <v>3002</v>
      </c>
      <c r="C476">
        <v>889</v>
      </c>
      <c r="D476" t="s">
        <v>1001</v>
      </c>
      <c r="E476" t="s">
        <v>236</v>
      </c>
      <c r="F476" t="s">
        <v>2898</v>
      </c>
      <c r="G476" t="s">
        <v>456</v>
      </c>
      <c r="H476" t="s">
        <v>2898</v>
      </c>
      <c r="I476" t="s">
        <v>2902</v>
      </c>
      <c r="J476" t="s">
        <v>3002</v>
      </c>
      <c r="N476" t="s">
        <v>978</v>
      </c>
      <c r="P476" t="s">
        <v>62</v>
      </c>
      <c r="Q476" t="s">
        <v>62</v>
      </c>
      <c r="S476" t="s">
        <v>874</v>
      </c>
      <c r="T476" t="s">
        <v>3003</v>
      </c>
      <c r="U476" t="s">
        <v>3004</v>
      </c>
      <c r="V476" t="s">
        <v>876</v>
      </c>
      <c r="W476">
        <v>20886</v>
      </c>
      <c r="X476">
        <v>68</v>
      </c>
      <c r="Y476" t="s">
        <v>3005</v>
      </c>
      <c r="Z476" t="s">
        <v>3006</v>
      </c>
      <c r="AA476" t="s">
        <v>842</v>
      </c>
      <c r="AB476" t="s">
        <v>851</v>
      </c>
      <c r="AC476" t="s">
        <v>236</v>
      </c>
      <c r="AD476" t="s">
        <v>236</v>
      </c>
      <c r="AE476" t="s">
        <v>743</v>
      </c>
      <c r="AH476" t="s">
        <v>1535</v>
      </c>
    </row>
    <row r="477" spans="1:35">
      <c r="A477">
        <v>475</v>
      </c>
      <c r="B477" t="s">
        <v>3007</v>
      </c>
      <c r="C477">
        <v>891</v>
      </c>
      <c r="D477" t="s">
        <v>1001</v>
      </c>
      <c r="E477" t="s">
        <v>236</v>
      </c>
      <c r="F477" t="s">
        <v>2898</v>
      </c>
      <c r="G477" t="s">
        <v>456</v>
      </c>
      <c r="H477" t="s">
        <v>2898</v>
      </c>
      <c r="I477" t="s">
        <v>2902</v>
      </c>
      <c r="J477" t="s">
        <v>3002</v>
      </c>
      <c r="N477" t="s">
        <v>978</v>
      </c>
      <c r="S477" t="s">
        <v>898</v>
      </c>
      <c r="T477" t="s">
        <v>3008</v>
      </c>
      <c r="U477" t="s">
        <v>3009</v>
      </c>
      <c r="V477" t="s">
        <v>876</v>
      </c>
      <c r="W477">
        <v>19423</v>
      </c>
      <c r="X477">
        <v>72</v>
      </c>
      <c r="Y477" t="s">
        <v>3010</v>
      </c>
      <c r="Z477" t="s">
        <v>3011</v>
      </c>
      <c r="AA477" t="s">
        <v>802</v>
      </c>
      <c r="AB477" t="s">
        <v>794</v>
      </c>
      <c r="AC477" t="s">
        <v>236</v>
      </c>
      <c r="AD477" t="s">
        <v>236</v>
      </c>
      <c r="AE477" t="s">
        <v>865</v>
      </c>
      <c r="AH477" t="s">
        <v>832</v>
      </c>
    </row>
    <row r="478" spans="1:35">
      <c r="A478">
        <v>476</v>
      </c>
      <c r="B478" t="s">
        <v>3012</v>
      </c>
      <c r="C478">
        <v>893</v>
      </c>
      <c r="D478" t="s">
        <v>1001</v>
      </c>
      <c r="E478" t="s">
        <v>236</v>
      </c>
      <c r="F478" t="s">
        <v>2898</v>
      </c>
      <c r="G478" t="s">
        <v>456</v>
      </c>
      <c r="H478" t="s">
        <v>2898</v>
      </c>
      <c r="I478" t="s">
        <v>2902</v>
      </c>
      <c r="J478" t="s">
        <v>3002</v>
      </c>
      <c r="N478" t="s">
        <v>978</v>
      </c>
      <c r="S478" t="s">
        <v>874</v>
      </c>
      <c r="T478" t="s">
        <v>476</v>
      </c>
      <c r="U478" t="s">
        <v>3013</v>
      </c>
      <c r="V478" t="s">
        <v>876</v>
      </c>
      <c r="W478">
        <v>20639</v>
      </c>
      <c r="X478">
        <v>69</v>
      </c>
      <c r="Y478" t="s">
        <v>3014</v>
      </c>
      <c r="Z478" t="s">
        <v>3015</v>
      </c>
      <c r="AA478" t="s">
        <v>842</v>
      </c>
      <c r="AB478" t="s">
        <v>794</v>
      </c>
      <c r="AC478" t="s">
        <v>236</v>
      </c>
      <c r="AD478" t="s">
        <v>236</v>
      </c>
      <c r="AE478" t="s">
        <v>865</v>
      </c>
    </row>
    <row r="479" spans="1:35">
      <c r="A479">
        <v>477</v>
      </c>
      <c r="B479" t="s">
        <v>3016</v>
      </c>
      <c r="C479">
        <v>895</v>
      </c>
      <c r="D479" t="s">
        <v>1001</v>
      </c>
      <c r="E479" t="s">
        <v>236</v>
      </c>
      <c r="F479" t="s">
        <v>2898</v>
      </c>
      <c r="G479" t="s">
        <v>456</v>
      </c>
      <c r="H479" t="s">
        <v>2898</v>
      </c>
      <c r="I479" t="s">
        <v>2902</v>
      </c>
      <c r="J479" t="s">
        <v>3002</v>
      </c>
      <c r="N479" t="s">
        <v>978</v>
      </c>
      <c r="S479" t="s">
        <v>898</v>
      </c>
      <c r="T479" t="s">
        <v>3017</v>
      </c>
      <c r="U479" t="s">
        <v>3018</v>
      </c>
      <c r="V479" t="s">
        <v>876</v>
      </c>
      <c r="W479">
        <v>20280</v>
      </c>
      <c r="X479">
        <v>70</v>
      </c>
      <c r="Y479" t="s">
        <v>3019</v>
      </c>
      <c r="Z479" t="s">
        <v>3020</v>
      </c>
      <c r="AA479" t="s">
        <v>802</v>
      </c>
      <c r="AB479" t="s">
        <v>794</v>
      </c>
      <c r="AC479" t="s">
        <v>236</v>
      </c>
      <c r="AD479" t="s">
        <v>236</v>
      </c>
      <c r="AE479" t="s">
        <v>865</v>
      </c>
      <c r="AI479" t="s">
        <v>1863</v>
      </c>
    </row>
    <row r="480" spans="1:35">
      <c r="A480">
        <v>478</v>
      </c>
      <c r="B480" t="s">
        <v>3021</v>
      </c>
      <c r="C480">
        <v>897</v>
      </c>
      <c r="D480" t="s">
        <v>1001</v>
      </c>
      <c r="E480" t="s">
        <v>236</v>
      </c>
      <c r="F480" t="s">
        <v>2898</v>
      </c>
      <c r="G480" t="s">
        <v>456</v>
      </c>
      <c r="H480" t="s">
        <v>2898</v>
      </c>
      <c r="I480" t="s">
        <v>2902</v>
      </c>
      <c r="J480" t="s">
        <v>3002</v>
      </c>
      <c r="N480" t="s">
        <v>978</v>
      </c>
      <c r="S480" t="s">
        <v>874</v>
      </c>
      <c r="T480" t="s">
        <v>3022</v>
      </c>
      <c r="U480" t="s">
        <v>3023</v>
      </c>
      <c r="V480" t="s">
        <v>876</v>
      </c>
      <c r="W480">
        <v>22315</v>
      </c>
      <c r="X480">
        <v>64</v>
      </c>
      <c r="Y480" t="s">
        <v>3024</v>
      </c>
      <c r="Z480" t="s">
        <v>3025</v>
      </c>
      <c r="AA480" t="s">
        <v>802</v>
      </c>
      <c r="AB480" t="s">
        <v>794</v>
      </c>
      <c r="AC480" t="s">
        <v>236</v>
      </c>
      <c r="AD480" t="s">
        <v>236</v>
      </c>
      <c r="AH480" t="s">
        <v>832</v>
      </c>
    </row>
    <row r="481" spans="1:35">
      <c r="A481">
        <v>479</v>
      </c>
      <c r="B481" t="s">
        <v>3026</v>
      </c>
      <c r="C481">
        <v>899</v>
      </c>
      <c r="D481" t="s">
        <v>1001</v>
      </c>
      <c r="E481" t="s">
        <v>236</v>
      </c>
      <c r="F481" t="s">
        <v>2898</v>
      </c>
      <c r="G481" t="s">
        <v>456</v>
      </c>
      <c r="H481" t="s">
        <v>2898</v>
      </c>
      <c r="I481" t="s">
        <v>2902</v>
      </c>
      <c r="J481" t="s">
        <v>3002</v>
      </c>
      <c r="N481" t="s">
        <v>978</v>
      </c>
      <c r="S481" t="s">
        <v>874</v>
      </c>
      <c r="T481" t="s">
        <v>3027</v>
      </c>
      <c r="U481" t="s">
        <v>3028</v>
      </c>
      <c r="V481" t="s">
        <v>876</v>
      </c>
      <c r="W481">
        <v>28525</v>
      </c>
      <c r="X481">
        <v>47</v>
      </c>
      <c r="Y481" t="s">
        <v>3029</v>
      </c>
      <c r="Z481" t="s">
        <v>3030</v>
      </c>
      <c r="AA481" t="s">
        <v>802</v>
      </c>
      <c r="AB481" t="s">
        <v>794</v>
      </c>
      <c r="AC481" t="s">
        <v>236</v>
      </c>
      <c r="AD481" t="s">
        <v>236</v>
      </c>
      <c r="AE481" t="s">
        <v>865</v>
      </c>
      <c r="AH481" t="s">
        <v>844</v>
      </c>
    </row>
    <row r="482" spans="1:35">
      <c r="A482">
        <v>480</v>
      </c>
      <c r="B482" t="s">
        <v>3031</v>
      </c>
      <c r="C482">
        <v>901</v>
      </c>
      <c r="D482" t="s">
        <v>1001</v>
      </c>
      <c r="E482" t="s">
        <v>236</v>
      </c>
      <c r="F482" t="s">
        <v>2898</v>
      </c>
      <c r="G482" t="s">
        <v>456</v>
      </c>
      <c r="H482" t="s">
        <v>2898</v>
      </c>
      <c r="I482" t="s">
        <v>2902</v>
      </c>
      <c r="J482" t="s">
        <v>3002</v>
      </c>
      <c r="N482" t="s">
        <v>978</v>
      </c>
      <c r="S482" t="s">
        <v>874</v>
      </c>
      <c r="T482" t="s">
        <v>3032</v>
      </c>
      <c r="U482" t="s">
        <v>3033</v>
      </c>
      <c r="V482" t="s">
        <v>876</v>
      </c>
      <c r="W482">
        <v>32231</v>
      </c>
      <c r="X482">
        <v>37</v>
      </c>
      <c r="Y482" t="s">
        <v>3034</v>
      </c>
      <c r="Z482" t="s">
        <v>3035</v>
      </c>
      <c r="AA482" t="s">
        <v>842</v>
      </c>
      <c r="AB482" t="s">
        <v>851</v>
      </c>
      <c r="AC482" t="s">
        <v>236</v>
      </c>
      <c r="AD482" t="s">
        <v>236</v>
      </c>
      <c r="AH482" t="s">
        <v>844</v>
      </c>
    </row>
    <row r="483" spans="1:35">
      <c r="A483">
        <v>481</v>
      </c>
      <c r="B483" t="s">
        <v>3036</v>
      </c>
      <c r="C483">
        <v>903</v>
      </c>
      <c r="D483" t="s">
        <v>1001</v>
      </c>
      <c r="E483" t="s">
        <v>236</v>
      </c>
      <c r="F483" t="s">
        <v>2898</v>
      </c>
      <c r="G483" t="s">
        <v>456</v>
      </c>
      <c r="H483" t="s">
        <v>2898</v>
      </c>
      <c r="I483" t="s">
        <v>2902</v>
      </c>
      <c r="J483" t="s">
        <v>3002</v>
      </c>
      <c r="N483" t="s">
        <v>978</v>
      </c>
      <c r="S483" t="s">
        <v>874</v>
      </c>
      <c r="T483" t="s">
        <v>489</v>
      </c>
      <c r="U483" t="s">
        <v>3037</v>
      </c>
      <c r="V483" t="s">
        <v>876</v>
      </c>
      <c r="W483">
        <v>24589</v>
      </c>
      <c r="X483">
        <v>58</v>
      </c>
      <c r="Y483" t="s">
        <v>3038</v>
      </c>
      <c r="AA483" t="s">
        <v>842</v>
      </c>
      <c r="AB483" t="s">
        <v>851</v>
      </c>
      <c r="AC483" t="s">
        <v>236</v>
      </c>
      <c r="AD483" t="s">
        <v>236</v>
      </c>
      <c r="AE483" t="s">
        <v>865</v>
      </c>
      <c r="AH483" t="s">
        <v>1535</v>
      </c>
    </row>
    <row r="484" spans="1:35">
      <c r="A484">
        <v>482</v>
      </c>
      <c r="B484" t="s">
        <v>3039</v>
      </c>
      <c r="C484">
        <v>905</v>
      </c>
      <c r="D484" t="s">
        <v>1001</v>
      </c>
      <c r="E484" t="s">
        <v>236</v>
      </c>
      <c r="F484" t="s">
        <v>2898</v>
      </c>
      <c r="G484" t="s">
        <v>456</v>
      </c>
      <c r="H484" t="s">
        <v>2898</v>
      </c>
      <c r="I484" t="s">
        <v>2902</v>
      </c>
      <c r="J484" t="s">
        <v>3002</v>
      </c>
      <c r="N484" t="s">
        <v>978</v>
      </c>
      <c r="S484" t="s">
        <v>874</v>
      </c>
      <c r="T484" t="s">
        <v>3040</v>
      </c>
      <c r="U484" t="s">
        <v>3041</v>
      </c>
      <c r="V484" t="s">
        <v>876</v>
      </c>
      <c r="W484">
        <v>25240</v>
      </c>
      <c r="X484">
        <v>56</v>
      </c>
      <c r="Y484" t="s">
        <v>3042</v>
      </c>
      <c r="AA484" t="s">
        <v>842</v>
      </c>
      <c r="AB484" t="s">
        <v>843</v>
      </c>
      <c r="AC484" t="s">
        <v>236</v>
      </c>
      <c r="AD484" t="s">
        <v>236</v>
      </c>
      <c r="AE484" t="s">
        <v>865</v>
      </c>
      <c r="AG484" t="s">
        <v>3043</v>
      </c>
      <c r="AH484" t="s">
        <v>832</v>
      </c>
      <c r="AI484" t="s">
        <v>860</v>
      </c>
    </row>
    <row r="485" spans="1:35">
      <c r="A485">
        <v>483</v>
      </c>
      <c r="B485" t="s">
        <v>3044</v>
      </c>
      <c r="C485">
        <v>907</v>
      </c>
      <c r="D485" t="s">
        <v>1001</v>
      </c>
      <c r="E485" t="s">
        <v>236</v>
      </c>
      <c r="F485" t="s">
        <v>2898</v>
      </c>
      <c r="G485" t="s">
        <v>456</v>
      </c>
      <c r="H485" t="s">
        <v>2898</v>
      </c>
      <c r="I485" t="s">
        <v>2902</v>
      </c>
      <c r="J485" t="s">
        <v>3002</v>
      </c>
      <c r="N485" t="s">
        <v>978</v>
      </c>
      <c r="S485" t="s">
        <v>874</v>
      </c>
      <c r="T485" t="s">
        <v>3045</v>
      </c>
      <c r="U485" t="s">
        <v>3046</v>
      </c>
      <c r="V485" t="s">
        <v>876</v>
      </c>
      <c r="W485">
        <v>26317</v>
      </c>
      <c r="X485">
        <v>54</v>
      </c>
      <c r="Y485" t="s">
        <v>3047</v>
      </c>
      <c r="AA485" t="s">
        <v>842</v>
      </c>
      <c r="AB485" t="s">
        <v>843</v>
      </c>
      <c r="AC485" t="s">
        <v>236</v>
      </c>
      <c r="AD485" t="s">
        <v>236</v>
      </c>
      <c r="AE485" t="s">
        <v>865</v>
      </c>
      <c r="AG485" t="s">
        <v>3048</v>
      </c>
      <c r="AH485" t="s">
        <v>832</v>
      </c>
      <c r="AI485" t="s">
        <v>860</v>
      </c>
    </row>
    <row r="486" spans="1:35">
      <c r="A486">
        <v>484</v>
      </c>
      <c r="B486" t="s">
        <v>3049</v>
      </c>
      <c r="C486">
        <v>909</v>
      </c>
      <c r="D486" t="s">
        <v>1001</v>
      </c>
      <c r="E486" t="s">
        <v>236</v>
      </c>
      <c r="F486" t="s">
        <v>2898</v>
      </c>
      <c r="G486" t="s">
        <v>456</v>
      </c>
      <c r="H486" t="s">
        <v>2898</v>
      </c>
      <c r="I486" t="s">
        <v>2902</v>
      </c>
      <c r="J486" t="s">
        <v>3002</v>
      </c>
      <c r="N486" t="s">
        <v>978</v>
      </c>
      <c r="S486" t="s">
        <v>874</v>
      </c>
      <c r="T486" t="s">
        <v>3050</v>
      </c>
      <c r="U486" t="s">
        <v>3051</v>
      </c>
      <c r="V486" t="s">
        <v>876</v>
      </c>
      <c r="W486">
        <v>22333</v>
      </c>
      <c r="X486">
        <v>64</v>
      </c>
      <c r="Y486" t="s">
        <v>3052</v>
      </c>
      <c r="AA486" t="s">
        <v>842</v>
      </c>
      <c r="AB486" t="s">
        <v>843</v>
      </c>
      <c r="AC486" t="s">
        <v>236</v>
      </c>
      <c r="AD486" t="s">
        <v>236</v>
      </c>
      <c r="AG486" t="s">
        <v>3053</v>
      </c>
      <c r="AH486" t="s">
        <v>844</v>
      </c>
      <c r="AI486" t="s">
        <v>1284</v>
      </c>
    </row>
    <row r="487" spans="1:35">
      <c r="A487">
        <v>485</v>
      </c>
      <c r="B487" t="s">
        <v>2906</v>
      </c>
      <c r="C487">
        <v>910</v>
      </c>
      <c r="E487" t="s">
        <v>3054</v>
      </c>
      <c r="F487" t="s">
        <v>2898</v>
      </c>
      <c r="G487" t="s">
        <v>484</v>
      </c>
      <c r="H487" t="s">
        <v>2918</v>
      </c>
      <c r="I487" t="s">
        <v>2906</v>
      </c>
      <c r="J487" t="s">
        <v>3055</v>
      </c>
      <c r="N487" t="s">
        <v>2372</v>
      </c>
      <c r="P487" t="s">
        <v>49</v>
      </c>
      <c r="Q487" t="s">
        <v>168</v>
      </c>
      <c r="T487" t="s">
        <v>470</v>
      </c>
      <c r="U487" t="s">
        <v>2907</v>
      </c>
      <c r="V487" t="s">
        <v>876</v>
      </c>
      <c r="W487">
        <v>18523</v>
      </c>
      <c r="X487">
        <v>75</v>
      </c>
      <c r="Y487" t="s">
        <v>2908</v>
      </c>
      <c r="Z487" t="s">
        <v>2909</v>
      </c>
      <c r="AA487" t="s">
        <v>802</v>
      </c>
      <c r="AB487" t="s">
        <v>794</v>
      </c>
      <c r="AC487" t="s">
        <v>236</v>
      </c>
      <c r="AD487" t="s">
        <v>236</v>
      </c>
      <c r="AE487" t="s">
        <v>865</v>
      </c>
      <c r="AF487" t="s">
        <v>872</v>
      </c>
    </row>
    <row r="488" spans="1:35">
      <c r="A488">
        <v>486</v>
      </c>
      <c r="B488" t="s">
        <v>3055</v>
      </c>
      <c r="C488">
        <v>912</v>
      </c>
      <c r="D488" t="s">
        <v>1001</v>
      </c>
      <c r="E488" t="s">
        <v>3054</v>
      </c>
      <c r="F488" t="s">
        <v>2898</v>
      </c>
      <c r="G488" t="s">
        <v>484</v>
      </c>
      <c r="H488" t="s">
        <v>2918</v>
      </c>
      <c r="I488" t="s">
        <v>2906</v>
      </c>
      <c r="J488" t="s">
        <v>3055</v>
      </c>
      <c r="N488" t="s">
        <v>2372</v>
      </c>
      <c r="P488" t="s">
        <v>62</v>
      </c>
      <c r="Q488" t="s">
        <v>548</v>
      </c>
      <c r="S488" t="s">
        <v>898</v>
      </c>
      <c r="T488" t="s">
        <v>501</v>
      </c>
      <c r="U488" t="s">
        <v>3056</v>
      </c>
      <c r="V488" t="s">
        <v>876</v>
      </c>
      <c r="W488">
        <v>19573</v>
      </c>
      <c r="X488">
        <v>72</v>
      </c>
      <c r="Y488" t="s">
        <v>3057</v>
      </c>
      <c r="Z488" t="s">
        <v>3058</v>
      </c>
      <c r="AA488" t="s">
        <v>842</v>
      </c>
      <c r="AB488" t="s">
        <v>794</v>
      </c>
      <c r="AC488" t="s">
        <v>236</v>
      </c>
      <c r="AD488" t="s">
        <v>236</v>
      </c>
      <c r="AE488" t="s">
        <v>3059</v>
      </c>
      <c r="AH488" t="s">
        <v>867</v>
      </c>
    </row>
    <row r="489" spans="1:35">
      <c r="A489">
        <v>487</v>
      </c>
      <c r="B489" t="s">
        <v>3060</v>
      </c>
      <c r="C489">
        <v>914</v>
      </c>
      <c r="D489" t="s">
        <v>1001</v>
      </c>
      <c r="E489" t="s">
        <v>3054</v>
      </c>
      <c r="F489" t="s">
        <v>2898</v>
      </c>
      <c r="G489" t="s">
        <v>484</v>
      </c>
      <c r="H489" t="s">
        <v>2918</v>
      </c>
      <c r="I489" t="s">
        <v>2906</v>
      </c>
      <c r="J489" t="s">
        <v>3055</v>
      </c>
      <c r="N489" t="s">
        <v>2372</v>
      </c>
      <c r="S489" t="s">
        <v>898</v>
      </c>
      <c r="T489" t="s">
        <v>509</v>
      </c>
      <c r="U489" t="s">
        <v>3061</v>
      </c>
      <c r="V489" t="s">
        <v>876</v>
      </c>
      <c r="W489">
        <v>19429</v>
      </c>
      <c r="X489">
        <v>72</v>
      </c>
      <c r="Y489" t="s">
        <v>3062</v>
      </c>
      <c r="Z489" t="s">
        <v>3063</v>
      </c>
      <c r="AA489" t="s">
        <v>842</v>
      </c>
      <c r="AB489" t="s">
        <v>794</v>
      </c>
      <c r="AC489" t="s">
        <v>236</v>
      </c>
      <c r="AD489" t="s">
        <v>236</v>
      </c>
      <c r="AE489" t="s">
        <v>3064</v>
      </c>
      <c r="AH489" t="s">
        <v>867</v>
      </c>
    </row>
    <row r="490" spans="1:35">
      <c r="A490">
        <v>488</v>
      </c>
      <c r="B490" t="s">
        <v>3065</v>
      </c>
      <c r="C490">
        <v>916</v>
      </c>
      <c r="D490" t="s">
        <v>1001</v>
      </c>
      <c r="E490" t="s">
        <v>3054</v>
      </c>
      <c r="F490" t="s">
        <v>2898</v>
      </c>
      <c r="G490" t="s">
        <v>484</v>
      </c>
      <c r="H490" t="s">
        <v>2918</v>
      </c>
      <c r="I490" t="s">
        <v>2906</v>
      </c>
      <c r="J490" t="s">
        <v>3055</v>
      </c>
      <c r="N490" t="s">
        <v>2372</v>
      </c>
      <c r="S490" t="s">
        <v>898</v>
      </c>
      <c r="T490" t="s">
        <v>517</v>
      </c>
      <c r="U490" t="s">
        <v>3066</v>
      </c>
      <c r="V490" t="s">
        <v>876</v>
      </c>
      <c r="W490">
        <v>19754</v>
      </c>
      <c r="X490">
        <v>71</v>
      </c>
      <c r="Y490" t="s">
        <v>3067</v>
      </c>
      <c r="Z490" t="s">
        <v>3068</v>
      </c>
      <c r="AA490" t="s">
        <v>802</v>
      </c>
      <c r="AB490" t="s">
        <v>794</v>
      </c>
      <c r="AC490" t="s">
        <v>236</v>
      </c>
      <c r="AD490" t="s">
        <v>236</v>
      </c>
      <c r="AE490" t="s">
        <v>3069</v>
      </c>
      <c r="AH490" t="s">
        <v>867</v>
      </c>
    </row>
    <row r="491" spans="1:35">
      <c r="A491">
        <v>489</v>
      </c>
      <c r="B491" t="s">
        <v>3070</v>
      </c>
      <c r="C491">
        <v>918</v>
      </c>
      <c r="D491" t="s">
        <v>1001</v>
      </c>
      <c r="E491" t="s">
        <v>3054</v>
      </c>
      <c r="F491" t="s">
        <v>2898</v>
      </c>
      <c r="G491" t="s">
        <v>484</v>
      </c>
      <c r="H491" t="s">
        <v>2918</v>
      </c>
      <c r="I491" t="s">
        <v>2906</v>
      </c>
      <c r="J491" t="s">
        <v>3055</v>
      </c>
      <c r="N491" t="s">
        <v>2372</v>
      </c>
      <c r="S491" t="s">
        <v>874</v>
      </c>
      <c r="T491" t="s">
        <v>525</v>
      </c>
      <c r="U491" t="s">
        <v>3071</v>
      </c>
      <c r="V491" t="s">
        <v>876</v>
      </c>
      <c r="W491">
        <v>27624</v>
      </c>
      <c r="X491">
        <v>50</v>
      </c>
      <c r="Y491" t="s">
        <v>3072</v>
      </c>
      <c r="Z491" t="s">
        <v>3073</v>
      </c>
      <c r="AA491" t="s">
        <v>842</v>
      </c>
      <c r="AB491" t="s">
        <v>794</v>
      </c>
      <c r="AC491" t="s">
        <v>236</v>
      </c>
      <c r="AD491" t="s">
        <v>236</v>
      </c>
      <c r="AE491" t="s">
        <v>865</v>
      </c>
      <c r="AG491" t="s">
        <v>3074</v>
      </c>
    </row>
    <row r="492" spans="1:35">
      <c r="A492">
        <v>490</v>
      </c>
      <c r="B492" t="s">
        <v>3075</v>
      </c>
      <c r="C492">
        <v>920</v>
      </c>
      <c r="D492" t="s">
        <v>1001</v>
      </c>
      <c r="E492" t="s">
        <v>3054</v>
      </c>
      <c r="F492" t="s">
        <v>2898</v>
      </c>
      <c r="G492" t="s">
        <v>484</v>
      </c>
      <c r="H492" t="s">
        <v>2918</v>
      </c>
      <c r="I492" t="s">
        <v>2906</v>
      </c>
      <c r="J492" t="s">
        <v>3055</v>
      </c>
      <c r="N492" t="s">
        <v>2372</v>
      </c>
      <c r="S492" t="s">
        <v>874</v>
      </c>
      <c r="T492" t="s">
        <v>3076</v>
      </c>
      <c r="U492" t="s">
        <v>3077</v>
      </c>
      <c r="V492" t="s">
        <v>876</v>
      </c>
      <c r="W492">
        <v>31364</v>
      </c>
      <c r="X492">
        <v>40</v>
      </c>
      <c r="Y492" t="s">
        <v>3078</v>
      </c>
      <c r="Z492" t="s">
        <v>3079</v>
      </c>
      <c r="AA492" t="s">
        <v>842</v>
      </c>
      <c r="AB492" t="s">
        <v>843</v>
      </c>
      <c r="AC492" t="s">
        <v>236</v>
      </c>
      <c r="AD492" t="s">
        <v>2529</v>
      </c>
      <c r="AE492" t="s">
        <v>1289</v>
      </c>
      <c r="AH492" t="s">
        <v>844</v>
      </c>
    </row>
    <row r="493" spans="1:35">
      <c r="A493">
        <v>491</v>
      </c>
      <c r="B493" t="s">
        <v>3080</v>
      </c>
      <c r="C493">
        <v>922</v>
      </c>
      <c r="D493" t="s">
        <v>1001</v>
      </c>
      <c r="E493" t="s">
        <v>3054</v>
      </c>
      <c r="F493" t="s">
        <v>2898</v>
      </c>
      <c r="G493" t="s">
        <v>484</v>
      </c>
      <c r="H493" t="s">
        <v>2918</v>
      </c>
      <c r="I493" t="s">
        <v>2906</v>
      </c>
      <c r="J493" t="s">
        <v>3055</v>
      </c>
      <c r="N493" t="s">
        <v>2372</v>
      </c>
      <c r="S493" t="s">
        <v>874</v>
      </c>
      <c r="T493" t="s">
        <v>3081</v>
      </c>
      <c r="U493" t="s">
        <v>3082</v>
      </c>
      <c r="V493" t="s">
        <v>876</v>
      </c>
      <c r="W493">
        <v>21555</v>
      </c>
      <c r="X493">
        <v>67</v>
      </c>
      <c r="Y493" t="s">
        <v>3083</v>
      </c>
      <c r="Z493" t="s">
        <v>3084</v>
      </c>
      <c r="AA493" t="s">
        <v>802</v>
      </c>
      <c r="AB493" t="s">
        <v>794</v>
      </c>
      <c r="AC493" t="s">
        <v>236</v>
      </c>
      <c r="AD493" t="s">
        <v>236</v>
      </c>
      <c r="AE493" t="s">
        <v>865</v>
      </c>
      <c r="AH493" t="s">
        <v>867</v>
      </c>
    </row>
    <row r="494" spans="1:35">
      <c r="A494">
        <v>492</v>
      </c>
      <c r="B494" t="s">
        <v>3085</v>
      </c>
      <c r="C494">
        <v>924</v>
      </c>
      <c r="D494" t="s">
        <v>1001</v>
      </c>
      <c r="E494" t="s">
        <v>3054</v>
      </c>
      <c r="F494" t="s">
        <v>2898</v>
      </c>
      <c r="G494" t="s">
        <v>484</v>
      </c>
      <c r="H494" t="s">
        <v>2918</v>
      </c>
      <c r="I494" t="s">
        <v>2906</v>
      </c>
      <c r="J494" t="s">
        <v>3055</v>
      </c>
      <c r="N494" t="s">
        <v>2372</v>
      </c>
      <c r="S494" t="s">
        <v>874</v>
      </c>
      <c r="T494" t="s">
        <v>544</v>
      </c>
      <c r="U494" t="s">
        <v>3086</v>
      </c>
      <c r="V494" t="s">
        <v>876</v>
      </c>
      <c r="W494">
        <v>21988</v>
      </c>
      <c r="X494">
        <v>65</v>
      </c>
      <c r="Y494" t="s">
        <v>3087</v>
      </c>
      <c r="Z494" t="s">
        <v>3088</v>
      </c>
      <c r="AA494" t="s">
        <v>842</v>
      </c>
      <c r="AB494" t="s">
        <v>843</v>
      </c>
      <c r="AC494" t="s">
        <v>236</v>
      </c>
      <c r="AD494" t="s">
        <v>236</v>
      </c>
      <c r="AE494" t="s">
        <v>865</v>
      </c>
      <c r="AH494" t="s">
        <v>867</v>
      </c>
    </row>
    <row r="495" spans="1:35">
      <c r="A495">
        <v>493</v>
      </c>
      <c r="B495" t="s">
        <v>3089</v>
      </c>
      <c r="C495">
        <v>926</v>
      </c>
      <c r="D495" t="s">
        <v>1001</v>
      </c>
      <c r="E495" t="s">
        <v>3054</v>
      </c>
      <c r="F495" t="s">
        <v>2898</v>
      </c>
      <c r="G495" t="s">
        <v>484</v>
      </c>
      <c r="H495" t="s">
        <v>2918</v>
      </c>
      <c r="I495" t="s">
        <v>2906</v>
      </c>
      <c r="J495" t="s">
        <v>3055</v>
      </c>
      <c r="N495" t="s">
        <v>2372</v>
      </c>
      <c r="S495" t="s">
        <v>898</v>
      </c>
      <c r="T495" t="s">
        <v>3090</v>
      </c>
      <c r="U495" t="s">
        <v>3091</v>
      </c>
      <c r="V495" t="s">
        <v>876</v>
      </c>
      <c r="W495">
        <v>18799</v>
      </c>
      <c r="X495">
        <v>74</v>
      </c>
      <c r="Y495" t="s">
        <v>3092</v>
      </c>
      <c r="Z495" t="s">
        <v>3093</v>
      </c>
      <c r="AA495" t="s">
        <v>842</v>
      </c>
      <c r="AB495" t="s">
        <v>794</v>
      </c>
      <c r="AC495" t="s">
        <v>236</v>
      </c>
      <c r="AD495" t="s">
        <v>236</v>
      </c>
      <c r="AE495" t="s">
        <v>3064</v>
      </c>
      <c r="AG495" t="s">
        <v>3094</v>
      </c>
      <c r="AH495" t="s">
        <v>867</v>
      </c>
      <c r="AI495" t="s">
        <v>860</v>
      </c>
    </row>
    <row r="496" spans="1:35">
      <c r="A496">
        <v>494</v>
      </c>
      <c r="B496" t="s">
        <v>3095</v>
      </c>
      <c r="C496">
        <v>928</v>
      </c>
      <c r="D496" t="s">
        <v>1001</v>
      </c>
      <c r="E496" t="s">
        <v>3054</v>
      </c>
      <c r="F496" t="s">
        <v>2898</v>
      </c>
      <c r="G496" t="s">
        <v>484</v>
      </c>
      <c r="H496" t="s">
        <v>2918</v>
      </c>
      <c r="I496" t="s">
        <v>2906</v>
      </c>
      <c r="J496" t="s">
        <v>3055</v>
      </c>
      <c r="N496" t="s">
        <v>2372</v>
      </c>
      <c r="S496" t="s">
        <v>898</v>
      </c>
      <c r="T496" t="s">
        <v>3096</v>
      </c>
      <c r="U496" t="s">
        <v>3097</v>
      </c>
      <c r="V496" t="s">
        <v>876</v>
      </c>
      <c r="W496">
        <v>19719</v>
      </c>
      <c r="X496">
        <v>72</v>
      </c>
      <c r="Y496" t="s">
        <v>3098</v>
      </c>
      <c r="Z496" t="s">
        <v>3099</v>
      </c>
      <c r="AA496" t="s">
        <v>842</v>
      </c>
      <c r="AB496" t="s">
        <v>843</v>
      </c>
      <c r="AC496" t="s">
        <v>236</v>
      </c>
      <c r="AD496" t="s">
        <v>236</v>
      </c>
      <c r="AE496" t="s">
        <v>3069</v>
      </c>
      <c r="AG496" t="s">
        <v>3100</v>
      </c>
      <c r="AH496" t="s">
        <v>867</v>
      </c>
      <c r="AI496" t="s">
        <v>860</v>
      </c>
    </row>
    <row r="497" spans="1:35">
      <c r="A497">
        <v>495</v>
      </c>
      <c r="B497" t="s">
        <v>3101</v>
      </c>
      <c r="C497">
        <v>930</v>
      </c>
      <c r="D497" t="s">
        <v>1001</v>
      </c>
      <c r="E497" t="s">
        <v>3054</v>
      </c>
      <c r="F497" t="s">
        <v>2898</v>
      </c>
      <c r="G497" t="s">
        <v>484</v>
      </c>
      <c r="H497" t="s">
        <v>2918</v>
      </c>
      <c r="I497" t="s">
        <v>2906</v>
      </c>
      <c r="J497" t="s">
        <v>3055</v>
      </c>
      <c r="N497" t="s">
        <v>2372</v>
      </c>
      <c r="S497" t="s">
        <v>874</v>
      </c>
      <c r="T497" t="s">
        <v>559</v>
      </c>
      <c r="U497" t="s">
        <v>3102</v>
      </c>
      <c r="V497" t="s">
        <v>876</v>
      </c>
      <c r="W497">
        <v>23913</v>
      </c>
      <c r="X497">
        <v>60</v>
      </c>
      <c r="Y497" t="s">
        <v>3103</v>
      </c>
      <c r="Z497" t="s">
        <v>3104</v>
      </c>
      <c r="AA497" t="s">
        <v>842</v>
      </c>
      <c r="AB497" t="s">
        <v>843</v>
      </c>
      <c r="AC497" t="s">
        <v>236</v>
      </c>
      <c r="AD497" t="s">
        <v>236</v>
      </c>
      <c r="AE497" t="s">
        <v>865</v>
      </c>
      <c r="AG497" t="s">
        <v>3105</v>
      </c>
      <c r="AH497" t="s">
        <v>867</v>
      </c>
      <c r="AI497" t="s">
        <v>860</v>
      </c>
    </row>
    <row r="498" spans="1:35">
      <c r="A498">
        <v>496</v>
      </c>
      <c r="B498" t="s">
        <v>2906</v>
      </c>
      <c r="C498">
        <v>931</v>
      </c>
      <c r="E498" t="s">
        <v>3054</v>
      </c>
      <c r="F498" t="s">
        <v>2898</v>
      </c>
      <c r="G498" t="s">
        <v>484</v>
      </c>
      <c r="H498" t="s">
        <v>2918</v>
      </c>
      <c r="I498" t="s">
        <v>2906</v>
      </c>
      <c r="J498" t="s">
        <v>786</v>
      </c>
      <c r="N498" t="s">
        <v>2425</v>
      </c>
      <c r="P498" t="s">
        <v>49</v>
      </c>
      <c r="Q498" t="s">
        <v>168</v>
      </c>
      <c r="T498" t="s">
        <v>470</v>
      </c>
      <c r="U498" t="s">
        <v>2907</v>
      </c>
      <c r="V498" t="s">
        <v>876</v>
      </c>
      <c r="W498">
        <v>18523</v>
      </c>
      <c r="X498">
        <v>75</v>
      </c>
      <c r="Y498" t="s">
        <v>2908</v>
      </c>
      <c r="AA498" t="s">
        <v>802</v>
      </c>
      <c r="AB498" t="s">
        <v>794</v>
      </c>
      <c r="AC498" t="s">
        <v>236</v>
      </c>
      <c r="AD498" t="s">
        <v>236</v>
      </c>
      <c r="AE498" t="s">
        <v>865</v>
      </c>
      <c r="AF498" t="s">
        <v>872</v>
      </c>
    </row>
    <row r="499" spans="1:35">
      <c r="A499">
        <v>497</v>
      </c>
      <c r="B499" t="s">
        <v>3106</v>
      </c>
      <c r="C499">
        <v>933</v>
      </c>
      <c r="D499" t="s">
        <v>1001</v>
      </c>
      <c r="E499" t="s">
        <v>3054</v>
      </c>
      <c r="F499" t="s">
        <v>2898</v>
      </c>
      <c r="G499" t="s">
        <v>484</v>
      </c>
      <c r="H499" t="s">
        <v>2918</v>
      </c>
      <c r="I499" t="s">
        <v>2906</v>
      </c>
      <c r="J499" t="s">
        <v>786</v>
      </c>
      <c r="N499" t="s">
        <v>2425</v>
      </c>
      <c r="S499" t="s">
        <v>898</v>
      </c>
      <c r="T499" t="s">
        <v>502</v>
      </c>
      <c r="U499" t="s">
        <v>3107</v>
      </c>
      <c r="V499" t="s">
        <v>876</v>
      </c>
      <c r="W499">
        <v>19948</v>
      </c>
      <c r="X499">
        <v>71</v>
      </c>
      <c r="Y499" t="s">
        <v>3108</v>
      </c>
      <c r="Z499" t="s">
        <v>3109</v>
      </c>
      <c r="AA499" t="s">
        <v>842</v>
      </c>
      <c r="AB499" t="s">
        <v>851</v>
      </c>
      <c r="AC499" t="s">
        <v>236</v>
      </c>
      <c r="AD499" t="s">
        <v>236</v>
      </c>
      <c r="AE499" t="s">
        <v>865</v>
      </c>
      <c r="AH499" t="s">
        <v>1497</v>
      </c>
    </row>
    <row r="500" spans="1:35">
      <c r="A500">
        <v>498</v>
      </c>
      <c r="B500" t="s">
        <v>3110</v>
      </c>
      <c r="C500">
        <v>935</v>
      </c>
      <c r="D500" t="s">
        <v>811</v>
      </c>
      <c r="E500" t="s">
        <v>3054</v>
      </c>
      <c r="F500" t="s">
        <v>2898</v>
      </c>
      <c r="G500" t="s">
        <v>484</v>
      </c>
      <c r="H500" t="s">
        <v>2918</v>
      </c>
      <c r="I500" t="s">
        <v>2906</v>
      </c>
      <c r="J500" t="s">
        <v>786</v>
      </c>
      <c r="N500" t="s">
        <v>2425</v>
      </c>
      <c r="S500" t="s">
        <v>874</v>
      </c>
      <c r="T500" t="s">
        <v>510</v>
      </c>
      <c r="U500" t="s">
        <v>3111</v>
      </c>
      <c r="V500" t="s">
        <v>876</v>
      </c>
      <c r="W500">
        <v>20806</v>
      </c>
      <c r="X500">
        <v>69</v>
      </c>
      <c r="Y500" t="s">
        <v>3112</v>
      </c>
      <c r="Z500" t="s">
        <v>3113</v>
      </c>
      <c r="AA500" t="s">
        <v>842</v>
      </c>
      <c r="AB500" t="s">
        <v>843</v>
      </c>
      <c r="AC500" t="s">
        <v>713</v>
      </c>
      <c r="AD500" t="s">
        <v>713</v>
      </c>
      <c r="AE500" t="s">
        <v>3114</v>
      </c>
      <c r="AH500" t="s">
        <v>1497</v>
      </c>
    </row>
    <row r="501" spans="1:35">
      <c r="A501">
        <v>499</v>
      </c>
      <c r="B501" t="s">
        <v>3115</v>
      </c>
      <c r="C501">
        <v>937</v>
      </c>
      <c r="D501" t="s">
        <v>1001</v>
      </c>
      <c r="E501" t="s">
        <v>3054</v>
      </c>
      <c r="F501" t="s">
        <v>2898</v>
      </c>
      <c r="G501" t="s">
        <v>484</v>
      </c>
      <c r="H501" t="s">
        <v>2918</v>
      </c>
      <c r="I501" t="s">
        <v>2906</v>
      </c>
      <c r="J501" t="s">
        <v>786</v>
      </c>
      <c r="N501" t="s">
        <v>2425</v>
      </c>
      <c r="S501" t="s">
        <v>874</v>
      </c>
      <c r="T501" t="s">
        <v>518</v>
      </c>
      <c r="U501" t="s">
        <v>3116</v>
      </c>
      <c r="V501" t="s">
        <v>876</v>
      </c>
      <c r="W501">
        <v>21342</v>
      </c>
      <c r="X501">
        <v>67</v>
      </c>
      <c r="Y501" t="s">
        <v>3117</v>
      </c>
      <c r="Z501" t="s">
        <v>3118</v>
      </c>
      <c r="AA501" t="s">
        <v>842</v>
      </c>
      <c r="AB501" t="s">
        <v>851</v>
      </c>
      <c r="AC501" t="s">
        <v>236</v>
      </c>
      <c r="AD501" t="s">
        <v>236</v>
      </c>
      <c r="AE501" t="s">
        <v>865</v>
      </c>
      <c r="AH501" t="s">
        <v>1497</v>
      </c>
    </row>
    <row r="502" spans="1:35">
      <c r="A502">
        <v>500</v>
      </c>
      <c r="B502" t="s">
        <v>3119</v>
      </c>
      <c r="C502">
        <v>939</v>
      </c>
      <c r="D502" t="s">
        <v>1001</v>
      </c>
      <c r="E502" t="s">
        <v>3054</v>
      </c>
      <c r="F502" t="s">
        <v>2898</v>
      </c>
      <c r="G502" t="s">
        <v>484</v>
      </c>
      <c r="H502" t="s">
        <v>2918</v>
      </c>
      <c r="I502" t="s">
        <v>2906</v>
      </c>
      <c r="J502" t="s">
        <v>786</v>
      </c>
      <c r="N502" t="s">
        <v>2425</v>
      </c>
      <c r="S502" t="s">
        <v>874</v>
      </c>
      <c r="T502" t="s">
        <v>526</v>
      </c>
      <c r="U502" t="s">
        <v>3120</v>
      </c>
      <c r="V502" t="s">
        <v>876</v>
      </c>
      <c r="W502">
        <v>22495</v>
      </c>
      <c r="X502">
        <v>64</v>
      </c>
      <c r="Y502" t="s">
        <v>3121</v>
      </c>
      <c r="Z502" t="s">
        <v>3122</v>
      </c>
      <c r="AA502" t="s">
        <v>842</v>
      </c>
      <c r="AB502" t="s">
        <v>851</v>
      </c>
      <c r="AC502" t="s">
        <v>236</v>
      </c>
      <c r="AD502" t="s">
        <v>236</v>
      </c>
      <c r="AE502" t="s">
        <v>865</v>
      </c>
      <c r="AH502" t="s">
        <v>1497</v>
      </c>
    </row>
    <row r="503" spans="1:35">
      <c r="A503">
        <v>501</v>
      </c>
      <c r="B503" t="s">
        <v>3123</v>
      </c>
      <c r="C503">
        <v>941</v>
      </c>
      <c r="D503" t="s">
        <v>1001</v>
      </c>
      <c r="E503" t="s">
        <v>3054</v>
      </c>
      <c r="F503" t="s">
        <v>2898</v>
      </c>
      <c r="G503" t="s">
        <v>484</v>
      </c>
      <c r="H503" t="s">
        <v>2918</v>
      </c>
      <c r="I503" t="s">
        <v>2906</v>
      </c>
      <c r="J503" t="s">
        <v>786</v>
      </c>
      <c r="N503" t="s">
        <v>2425</v>
      </c>
      <c r="S503" t="s">
        <v>874</v>
      </c>
      <c r="T503" t="s">
        <v>533</v>
      </c>
      <c r="U503" t="s">
        <v>3124</v>
      </c>
      <c r="V503" t="s">
        <v>876</v>
      </c>
      <c r="W503">
        <v>23608</v>
      </c>
      <c r="X503">
        <v>61</v>
      </c>
      <c r="Y503" t="s">
        <v>3125</v>
      </c>
      <c r="Z503" t="s">
        <v>3126</v>
      </c>
      <c r="AA503" t="s">
        <v>842</v>
      </c>
      <c r="AB503" t="s">
        <v>843</v>
      </c>
      <c r="AC503" t="s">
        <v>236</v>
      </c>
      <c r="AD503" t="s">
        <v>236</v>
      </c>
      <c r="AE503" t="s">
        <v>3127</v>
      </c>
      <c r="AH503" t="s">
        <v>1497</v>
      </c>
    </row>
    <row r="504" spans="1:35">
      <c r="A504">
        <v>502</v>
      </c>
      <c r="B504" t="s">
        <v>2914</v>
      </c>
      <c r="C504">
        <v>942</v>
      </c>
      <c r="E504" t="s">
        <v>3054</v>
      </c>
      <c r="F504" t="s">
        <v>2898</v>
      </c>
      <c r="G504" t="s">
        <v>484</v>
      </c>
      <c r="H504" t="s">
        <v>2918</v>
      </c>
      <c r="I504" t="s">
        <v>2914</v>
      </c>
      <c r="J504" t="s">
        <v>3128</v>
      </c>
      <c r="N504" t="s">
        <v>3129</v>
      </c>
      <c r="P504" t="s">
        <v>49</v>
      </c>
      <c r="Q504" t="s">
        <v>168</v>
      </c>
      <c r="T504" t="s">
        <v>478</v>
      </c>
      <c r="U504" t="s">
        <v>2915</v>
      </c>
      <c r="V504" t="s">
        <v>876</v>
      </c>
      <c r="W504">
        <v>23418</v>
      </c>
      <c r="X504">
        <v>61</v>
      </c>
      <c r="Y504" t="s">
        <v>2916</v>
      </c>
      <c r="AA504" t="s">
        <v>842</v>
      </c>
      <c r="AB504" t="s">
        <v>794</v>
      </c>
      <c r="AC504" t="s">
        <v>236</v>
      </c>
      <c r="AD504" t="s">
        <v>236</v>
      </c>
      <c r="AE504" t="s">
        <v>865</v>
      </c>
      <c r="AF504" t="s">
        <v>872</v>
      </c>
    </row>
    <row r="505" spans="1:35">
      <c r="A505">
        <v>503</v>
      </c>
      <c r="B505" t="s">
        <v>3128</v>
      </c>
      <c r="C505">
        <v>944</v>
      </c>
      <c r="D505" t="s">
        <v>1001</v>
      </c>
      <c r="E505" t="s">
        <v>3054</v>
      </c>
      <c r="F505" t="s">
        <v>2898</v>
      </c>
      <c r="G505" t="s">
        <v>484</v>
      </c>
      <c r="H505" t="s">
        <v>2918</v>
      </c>
      <c r="I505" t="s">
        <v>2914</v>
      </c>
      <c r="J505" t="s">
        <v>3128</v>
      </c>
      <c r="N505" t="s">
        <v>3129</v>
      </c>
      <c r="P505" t="s">
        <v>62</v>
      </c>
      <c r="Q505" t="s">
        <v>548</v>
      </c>
      <c r="S505" t="s">
        <v>874</v>
      </c>
      <c r="T505" t="s">
        <v>503</v>
      </c>
      <c r="U505" t="s">
        <v>3130</v>
      </c>
      <c r="V505" t="s">
        <v>876</v>
      </c>
      <c r="W505">
        <v>29204</v>
      </c>
      <c r="X505">
        <v>46</v>
      </c>
      <c r="Y505" t="s">
        <v>3131</v>
      </c>
      <c r="Z505" t="s">
        <v>3132</v>
      </c>
      <c r="AA505" t="s">
        <v>842</v>
      </c>
      <c r="AB505" t="s">
        <v>851</v>
      </c>
      <c r="AC505" t="s">
        <v>236</v>
      </c>
      <c r="AD505" t="s">
        <v>236</v>
      </c>
      <c r="AE505" t="s">
        <v>865</v>
      </c>
      <c r="AH505" t="s">
        <v>867</v>
      </c>
    </row>
    <row r="506" spans="1:35">
      <c r="A506">
        <v>504</v>
      </c>
      <c r="B506" t="s">
        <v>3133</v>
      </c>
      <c r="C506">
        <v>946</v>
      </c>
      <c r="D506" t="s">
        <v>1001</v>
      </c>
      <c r="E506" t="s">
        <v>3054</v>
      </c>
      <c r="F506" t="s">
        <v>2898</v>
      </c>
      <c r="G506" t="s">
        <v>484</v>
      </c>
      <c r="H506" t="s">
        <v>2918</v>
      </c>
      <c r="I506" t="s">
        <v>2914</v>
      </c>
      <c r="J506" t="s">
        <v>3128</v>
      </c>
      <c r="N506" t="s">
        <v>3129</v>
      </c>
      <c r="S506" t="s">
        <v>874</v>
      </c>
      <c r="T506" t="s">
        <v>511</v>
      </c>
      <c r="U506" t="s">
        <v>3134</v>
      </c>
      <c r="V506" t="s">
        <v>876</v>
      </c>
      <c r="W506">
        <v>33409</v>
      </c>
      <c r="X506">
        <v>34</v>
      </c>
      <c r="Y506" t="s">
        <v>3135</v>
      </c>
      <c r="Z506" t="s">
        <v>3136</v>
      </c>
      <c r="AA506" t="s">
        <v>802</v>
      </c>
      <c r="AB506" t="s">
        <v>794</v>
      </c>
      <c r="AC506" t="s">
        <v>236</v>
      </c>
      <c r="AD506" t="s">
        <v>236</v>
      </c>
      <c r="AE506" t="s">
        <v>865</v>
      </c>
    </row>
    <row r="507" spans="1:35">
      <c r="A507">
        <v>505</v>
      </c>
      <c r="B507" t="s">
        <v>3137</v>
      </c>
      <c r="C507">
        <v>948</v>
      </c>
      <c r="D507" t="s">
        <v>1001</v>
      </c>
      <c r="E507" t="s">
        <v>3054</v>
      </c>
      <c r="F507" t="s">
        <v>2898</v>
      </c>
      <c r="G507" t="s">
        <v>484</v>
      </c>
      <c r="H507" t="s">
        <v>2918</v>
      </c>
      <c r="I507" t="s">
        <v>2914</v>
      </c>
      <c r="J507" t="s">
        <v>3128</v>
      </c>
      <c r="N507" t="s">
        <v>3129</v>
      </c>
      <c r="S507" t="s">
        <v>874</v>
      </c>
      <c r="T507" t="s">
        <v>519</v>
      </c>
      <c r="U507" t="s">
        <v>3138</v>
      </c>
      <c r="V507" t="s">
        <v>876</v>
      </c>
      <c r="W507">
        <v>31186</v>
      </c>
      <c r="X507">
        <v>40</v>
      </c>
      <c r="Y507" t="s">
        <v>3139</v>
      </c>
      <c r="Z507" t="s">
        <v>3140</v>
      </c>
      <c r="AA507" t="s">
        <v>802</v>
      </c>
      <c r="AB507" t="s">
        <v>794</v>
      </c>
      <c r="AC507" t="s">
        <v>236</v>
      </c>
      <c r="AD507" t="s">
        <v>236</v>
      </c>
      <c r="AE507" t="s">
        <v>865</v>
      </c>
    </row>
    <row r="508" spans="1:35">
      <c r="A508">
        <v>506</v>
      </c>
      <c r="B508" t="s">
        <v>3141</v>
      </c>
      <c r="C508">
        <v>950</v>
      </c>
      <c r="D508" t="s">
        <v>1001</v>
      </c>
      <c r="E508" t="s">
        <v>3054</v>
      </c>
      <c r="F508" t="s">
        <v>2898</v>
      </c>
      <c r="G508" t="s">
        <v>484</v>
      </c>
      <c r="H508" t="s">
        <v>2918</v>
      </c>
      <c r="I508" t="s">
        <v>2914</v>
      </c>
      <c r="J508" t="s">
        <v>3128</v>
      </c>
      <c r="N508" t="s">
        <v>3129</v>
      </c>
      <c r="S508" t="s">
        <v>874</v>
      </c>
      <c r="T508" t="s">
        <v>527</v>
      </c>
      <c r="U508" t="s">
        <v>3142</v>
      </c>
      <c r="V508" t="s">
        <v>876</v>
      </c>
      <c r="W508">
        <v>27491</v>
      </c>
      <c r="X508">
        <v>50</v>
      </c>
      <c r="Y508" t="s">
        <v>3143</v>
      </c>
      <c r="Z508" t="s">
        <v>3144</v>
      </c>
      <c r="AA508" t="s">
        <v>842</v>
      </c>
      <c r="AB508" t="s">
        <v>851</v>
      </c>
      <c r="AC508" t="s">
        <v>236</v>
      </c>
      <c r="AD508" t="s">
        <v>236</v>
      </c>
      <c r="AE508" t="s">
        <v>3145</v>
      </c>
      <c r="AH508" t="s">
        <v>867</v>
      </c>
    </row>
    <row r="509" spans="1:35">
      <c r="A509">
        <v>507</v>
      </c>
      <c r="B509" t="s">
        <v>3146</v>
      </c>
      <c r="C509">
        <v>952</v>
      </c>
      <c r="D509" t="s">
        <v>1001</v>
      </c>
      <c r="E509" t="s">
        <v>3054</v>
      </c>
      <c r="F509" t="s">
        <v>2898</v>
      </c>
      <c r="G509" t="s">
        <v>484</v>
      </c>
      <c r="H509" t="s">
        <v>2918</v>
      </c>
      <c r="I509" t="s">
        <v>2914</v>
      </c>
      <c r="J509" t="s">
        <v>3128</v>
      </c>
      <c r="N509" t="s">
        <v>3129</v>
      </c>
      <c r="S509" t="s">
        <v>874</v>
      </c>
      <c r="T509" t="s">
        <v>534</v>
      </c>
      <c r="U509" t="s">
        <v>3147</v>
      </c>
      <c r="V509" t="s">
        <v>876</v>
      </c>
      <c r="W509">
        <v>28459</v>
      </c>
      <c r="X509">
        <v>48</v>
      </c>
      <c r="Y509" t="s">
        <v>3148</v>
      </c>
      <c r="Z509" t="s">
        <v>3149</v>
      </c>
      <c r="AA509" t="s">
        <v>842</v>
      </c>
      <c r="AB509" t="s">
        <v>851</v>
      </c>
      <c r="AC509" t="s">
        <v>236</v>
      </c>
      <c r="AD509" t="s">
        <v>236</v>
      </c>
      <c r="AE509" t="s">
        <v>3150</v>
      </c>
      <c r="AH509" t="s">
        <v>867</v>
      </c>
    </row>
    <row r="510" spans="1:35">
      <c r="A510">
        <v>508</v>
      </c>
      <c r="B510" t="s">
        <v>3151</v>
      </c>
      <c r="C510">
        <v>954</v>
      </c>
      <c r="D510" t="s">
        <v>1001</v>
      </c>
      <c r="E510" t="s">
        <v>3054</v>
      </c>
      <c r="F510" t="s">
        <v>2898</v>
      </c>
      <c r="G510" t="s">
        <v>484</v>
      </c>
      <c r="H510" t="s">
        <v>2918</v>
      </c>
      <c r="I510" t="s">
        <v>2914</v>
      </c>
      <c r="J510" t="s">
        <v>3128</v>
      </c>
      <c r="N510" t="s">
        <v>3129</v>
      </c>
      <c r="S510" t="s">
        <v>874</v>
      </c>
      <c r="T510" t="s">
        <v>540</v>
      </c>
      <c r="U510" t="s">
        <v>3152</v>
      </c>
      <c r="V510" t="s">
        <v>876</v>
      </c>
      <c r="W510">
        <v>29948</v>
      </c>
      <c r="X510">
        <v>44</v>
      </c>
      <c r="Y510" t="s">
        <v>3153</v>
      </c>
      <c r="Z510" t="s">
        <v>3154</v>
      </c>
      <c r="AA510" t="s">
        <v>842</v>
      </c>
      <c r="AB510" t="s">
        <v>851</v>
      </c>
      <c r="AC510" t="s">
        <v>236</v>
      </c>
      <c r="AD510" t="s">
        <v>236</v>
      </c>
      <c r="AE510" t="s">
        <v>865</v>
      </c>
      <c r="AH510" t="s">
        <v>867</v>
      </c>
    </row>
    <row r="511" spans="1:35">
      <c r="A511">
        <v>509</v>
      </c>
      <c r="B511" t="s">
        <v>3155</v>
      </c>
      <c r="C511">
        <v>956</v>
      </c>
      <c r="D511" t="s">
        <v>1001</v>
      </c>
      <c r="E511" t="s">
        <v>3054</v>
      </c>
      <c r="F511" t="s">
        <v>2898</v>
      </c>
      <c r="G511" t="s">
        <v>484</v>
      </c>
      <c r="H511" t="s">
        <v>2918</v>
      </c>
      <c r="I511" t="s">
        <v>2914</v>
      </c>
      <c r="J511" t="s">
        <v>3128</v>
      </c>
      <c r="N511" t="s">
        <v>3129</v>
      </c>
      <c r="S511" t="s">
        <v>874</v>
      </c>
      <c r="T511" t="s">
        <v>545</v>
      </c>
      <c r="U511" t="s">
        <v>3156</v>
      </c>
      <c r="V511" t="s">
        <v>876</v>
      </c>
      <c r="W511">
        <v>30545</v>
      </c>
      <c r="X511">
        <v>42</v>
      </c>
      <c r="Y511" t="s">
        <v>3157</v>
      </c>
      <c r="Z511" t="s">
        <v>3158</v>
      </c>
      <c r="AA511" t="s">
        <v>802</v>
      </c>
      <c r="AB511" t="s">
        <v>794</v>
      </c>
      <c r="AC511" t="s">
        <v>236</v>
      </c>
      <c r="AD511" t="s">
        <v>236</v>
      </c>
      <c r="AE511" t="s">
        <v>3159</v>
      </c>
      <c r="AH511" t="s">
        <v>867</v>
      </c>
    </row>
    <row r="512" spans="1:35">
      <c r="A512">
        <v>510</v>
      </c>
      <c r="B512" t="s">
        <v>3160</v>
      </c>
      <c r="C512">
        <v>958</v>
      </c>
      <c r="D512" t="s">
        <v>1001</v>
      </c>
      <c r="E512" t="s">
        <v>3054</v>
      </c>
      <c r="F512" t="s">
        <v>2898</v>
      </c>
      <c r="G512" t="s">
        <v>484</v>
      </c>
      <c r="H512" t="s">
        <v>2918</v>
      </c>
      <c r="I512" t="s">
        <v>2914</v>
      </c>
      <c r="J512" t="s">
        <v>3128</v>
      </c>
      <c r="N512" t="s">
        <v>3129</v>
      </c>
      <c r="S512" t="s">
        <v>874</v>
      </c>
      <c r="T512" t="s">
        <v>551</v>
      </c>
      <c r="U512" t="s">
        <v>3161</v>
      </c>
      <c r="V512" t="s">
        <v>876</v>
      </c>
      <c r="W512">
        <v>34130</v>
      </c>
      <c r="X512">
        <v>32</v>
      </c>
      <c r="Y512" t="s">
        <v>3162</v>
      </c>
      <c r="AA512" t="s">
        <v>842</v>
      </c>
      <c r="AB512" t="s">
        <v>843</v>
      </c>
      <c r="AC512" t="s">
        <v>236</v>
      </c>
      <c r="AD512" t="s">
        <v>236</v>
      </c>
      <c r="AE512" t="s">
        <v>3163</v>
      </c>
      <c r="AH512" t="s">
        <v>867</v>
      </c>
    </row>
    <row r="513" spans="1:35">
      <c r="A513">
        <v>511</v>
      </c>
      <c r="B513" t="s">
        <v>3164</v>
      </c>
      <c r="C513">
        <v>960</v>
      </c>
      <c r="D513" t="s">
        <v>1001</v>
      </c>
      <c r="E513" t="s">
        <v>3054</v>
      </c>
      <c r="F513" t="s">
        <v>2898</v>
      </c>
      <c r="G513" t="s">
        <v>484</v>
      </c>
      <c r="H513" t="s">
        <v>2918</v>
      </c>
      <c r="I513" t="s">
        <v>2914</v>
      </c>
      <c r="J513" t="s">
        <v>3128</v>
      </c>
      <c r="N513" t="s">
        <v>3129</v>
      </c>
      <c r="S513" t="s">
        <v>874</v>
      </c>
      <c r="T513" t="s">
        <v>3165</v>
      </c>
      <c r="U513" t="s">
        <v>3166</v>
      </c>
      <c r="V513" t="s">
        <v>876</v>
      </c>
      <c r="W513">
        <v>29575</v>
      </c>
      <c r="X513">
        <v>45</v>
      </c>
      <c r="Y513" t="s">
        <v>3167</v>
      </c>
      <c r="AA513" t="s">
        <v>842</v>
      </c>
      <c r="AB513" t="s">
        <v>843</v>
      </c>
      <c r="AC513" t="s">
        <v>236</v>
      </c>
      <c r="AD513" t="s">
        <v>236</v>
      </c>
      <c r="AE513" t="s">
        <v>865</v>
      </c>
      <c r="AG513" t="s">
        <v>3100</v>
      </c>
      <c r="AH513" t="s">
        <v>867</v>
      </c>
      <c r="AI513" t="s">
        <v>860</v>
      </c>
    </row>
    <row r="514" spans="1:35">
      <c r="A514">
        <v>512</v>
      </c>
      <c r="B514" t="s">
        <v>3168</v>
      </c>
      <c r="C514">
        <v>962</v>
      </c>
      <c r="D514" t="s">
        <v>1001</v>
      </c>
      <c r="E514" t="s">
        <v>3054</v>
      </c>
      <c r="F514" t="s">
        <v>2898</v>
      </c>
      <c r="G514" t="s">
        <v>484</v>
      </c>
      <c r="H514" t="s">
        <v>2918</v>
      </c>
      <c r="I514" t="s">
        <v>2914</v>
      </c>
      <c r="J514" t="s">
        <v>3128</v>
      </c>
      <c r="N514" t="s">
        <v>3129</v>
      </c>
      <c r="S514" t="s">
        <v>874</v>
      </c>
      <c r="T514" t="s">
        <v>3169</v>
      </c>
      <c r="U514" t="s">
        <v>3170</v>
      </c>
      <c r="V514" t="s">
        <v>876</v>
      </c>
      <c r="W514">
        <v>22440</v>
      </c>
      <c r="X514">
        <v>64</v>
      </c>
      <c r="Y514" t="s">
        <v>3171</v>
      </c>
      <c r="AA514" t="s">
        <v>842</v>
      </c>
      <c r="AB514" t="s">
        <v>843</v>
      </c>
      <c r="AC514" t="s">
        <v>236</v>
      </c>
      <c r="AD514" t="s">
        <v>236</v>
      </c>
      <c r="AE514" t="s">
        <v>865</v>
      </c>
      <c r="AG514" t="s">
        <v>3172</v>
      </c>
      <c r="AH514" t="s">
        <v>867</v>
      </c>
      <c r="AI514" t="s">
        <v>860</v>
      </c>
    </row>
    <row r="515" spans="1:35">
      <c r="A515">
        <v>513</v>
      </c>
      <c r="B515" t="s">
        <v>3173</v>
      </c>
      <c r="C515">
        <v>964</v>
      </c>
      <c r="D515" t="s">
        <v>1001</v>
      </c>
      <c r="E515" t="s">
        <v>3054</v>
      </c>
      <c r="F515" t="s">
        <v>2898</v>
      </c>
      <c r="G515" t="s">
        <v>484</v>
      </c>
      <c r="H515" t="s">
        <v>2918</v>
      </c>
      <c r="I515" t="s">
        <v>2914</v>
      </c>
      <c r="J515" t="s">
        <v>3128</v>
      </c>
      <c r="N515" t="s">
        <v>3129</v>
      </c>
      <c r="S515" t="s">
        <v>874</v>
      </c>
      <c r="T515" t="s">
        <v>3174</v>
      </c>
      <c r="U515" t="s">
        <v>3175</v>
      </c>
      <c r="V515" t="s">
        <v>876</v>
      </c>
      <c r="W515">
        <v>26500</v>
      </c>
      <c r="X515">
        <v>53</v>
      </c>
      <c r="Y515" t="s">
        <v>3176</v>
      </c>
      <c r="AA515" t="s">
        <v>842</v>
      </c>
      <c r="AB515" t="s">
        <v>843</v>
      </c>
      <c r="AC515" t="s">
        <v>236</v>
      </c>
      <c r="AD515" t="s">
        <v>236</v>
      </c>
      <c r="AE515" t="s">
        <v>865</v>
      </c>
      <c r="AG515" t="s">
        <v>3172</v>
      </c>
      <c r="AH515" t="s">
        <v>867</v>
      </c>
      <c r="AI515" t="s">
        <v>860</v>
      </c>
    </row>
    <row r="516" spans="1:35">
      <c r="A516">
        <v>514</v>
      </c>
      <c r="B516" t="s">
        <v>3177</v>
      </c>
      <c r="C516">
        <v>966</v>
      </c>
      <c r="D516" t="s">
        <v>1001</v>
      </c>
      <c r="E516" t="s">
        <v>3054</v>
      </c>
      <c r="F516" t="s">
        <v>2898</v>
      </c>
      <c r="G516" t="s">
        <v>484</v>
      </c>
      <c r="H516" t="s">
        <v>2918</v>
      </c>
      <c r="I516" t="s">
        <v>2914</v>
      </c>
      <c r="J516" t="s">
        <v>3128</v>
      </c>
      <c r="N516" t="s">
        <v>3129</v>
      </c>
      <c r="S516" t="s">
        <v>874</v>
      </c>
      <c r="T516" t="s">
        <v>3178</v>
      </c>
      <c r="U516" t="s">
        <v>3179</v>
      </c>
      <c r="V516" t="s">
        <v>876</v>
      </c>
      <c r="W516">
        <v>33645</v>
      </c>
      <c r="X516">
        <v>33</v>
      </c>
      <c r="Y516" t="s">
        <v>3180</v>
      </c>
      <c r="AA516" t="s">
        <v>842</v>
      </c>
      <c r="AB516" t="s">
        <v>843</v>
      </c>
      <c r="AC516" t="s">
        <v>236</v>
      </c>
      <c r="AD516" t="s">
        <v>236</v>
      </c>
      <c r="AE516" t="s">
        <v>865</v>
      </c>
      <c r="AG516" t="s">
        <v>3181</v>
      </c>
      <c r="AH516" t="s">
        <v>867</v>
      </c>
      <c r="AI516" t="s">
        <v>860</v>
      </c>
    </row>
    <row r="517" spans="1:35">
      <c r="A517">
        <v>515</v>
      </c>
      <c r="B517" t="s">
        <v>2914</v>
      </c>
      <c r="C517">
        <v>967</v>
      </c>
      <c r="E517" t="s">
        <v>3054</v>
      </c>
      <c r="F517" t="s">
        <v>2898</v>
      </c>
      <c r="G517" t="s">
        <v>484</v>
      </c>
      <c r="H517" t="s">
        <v>2918</v>
      </c>
      <c r="I517" t="s">
        <v>2914</v>
      </c>
      <c r="J517" t="s">
        <v>3182</v>
      </c>
      <c r="N517" t="s">
        <v>3183</v>
      </c>
      <c r="P517" t="s">
        <v>49</v>
      </c>
      <c r="Q517" t="s">
        <v>168</v>
      </c>
      <c r="T517" t="s">
        <v>478</v>
      </c>
      <c r="U517" t="s">
        <v>2915</v>
      </c>
      <c r="V517" t="s">
        <v>876</v>
      </c>
      <c r="W517">
        <v>23418</v>
      </c>
      <c r="X517">
        <v>61</v>
      </c>
      <c r="Y517" t="s">
        <v>2916</v>
      </c>
      <c r="Z517" t="s">
        <v>2917</v>
      </c>
      <c r="AA517" t="s">
        <v>842</v>
      </c>
      <c r="AB517" t="s">
        <v>794</v>
      </c>
      <c r="AC517" t="s">
        <v>236</v>
      </c>
      <c r="AD517" t="s">
        <v>236</v>
      </c>
      <c r="AE517" t="s">
        <v>865</v>
      </c>
      <c r="AF517" t="s">
        <v>872</v>
      </c>
    </row>
    <row r="518" spans="1:35">
      <c r="A518">
        <v>516</v>
      </c>
      <c r="B518" t="s">
        <v>3182</v>
      </c>
      <c r="C518">
        <v>969</v>
      </c>
      <c r="D518" t="s">
        <v>811</v>
      </c>
      <c r="E518" t="s">
        <v>3054</v>
      </c>
      <c r="F518" t="s">
        <v>2898</v>
      </c>
      <c r="G518" t="s">
        <v>484</v>
      </c>
      <c r="H518" t="s">
        <v>2918</v>
      </c>
      <c r="I518" t="s">
        <v>2914</v>
      </c>
      <c r="N518" t="s">
        <v>3183</v>
      </c>
      <c r="O518" t="s">
        <v>308</v>
      </c>
      <c r="S518" t="s">
        <v>874</v>
      </c>
      <c r="T518" t="s">
        <v>504</v>
      </c>
      <c r="U518" t="s">
        <v>3184</v>
      </c>
      <c r="V518" t="s">
        <v>876</v>
      </c>
      <c r="W518">
        <v>22251</v>
      </c>
      <c r="X518">
        <v>65</v>
      </c>
      <c r="Y518" t="s">
        <v>3185</v>
      </c>
      <c r="Z518" t="s">
        <v>3186</v>
      </c>
      <c r="AA518" t="s">
        <v>842</v>
      </c>
      <c r="AB518" t="s">
        <v>851</v>
      </c>
      <c r="AC518" t="s">
        <v>942</v>
      </c>
      <c r="AD518" t="s">
        <v>942</v>
      </c>
      <c r="AE518" t="s">
        <v>2179</v>
      </c>
      <c r="AH518" t="s">
        <v>1087</v>
      </c>
    </row>
    <row r="519" spans="1:35">
      <c r="A519">
        <v>517</v>
      </c>
      <c r="B519" t="s">
        <v>3187</v>
      </c>
      <c r="C519">
        <v>971</v>
      </c>
      <c r="D519" t="s">
        <v>1841</v>
      </c>
      <c r="E519" t="s">
        <v>3054</v>
      </c>
      <c r="F519" t="s">
        <v>2898</v>
      </c>
      <c r="G519" t="s">
        <v>484</v>
      </c>
      <c r="H519" t="s">
        <v>2918</v>
      </c>
      <c r="I519" t="s">
        <v>2914</v>
      </c>
      <c r="N519" t="s">
        <v>3183</v>
      </c>
      <c r="O519" t="s">
        <v>308</v>
      </c>
      <c r="S519" t="s">
        <v>874</v>
      </c>
      <c r="T519" t="s">
        <v>512</v>
      </c>
      <c r="U519" t="s">
        <v>3188</v>
      </c>
      <c r="V519" t="s">
        <v>876</v>
      </c>
      <c r="W519">
        <v>23509</v>
      </c>
      <c r="X519">
        <v>61</v>
      </c>
      <c r="Y519" t="s">
        <v>3189</v>
      </c>
      <c r="Z519" t="s">
        <v>3190</v>
      </c>
      <c r="AA519" t="s">
        <v>842</v>
      </c>
      <c r="AB519" t="s">
        <v>843</v>
      </c>
      <c r="AC519" t="s">
        <v>236</v>
      </c>
      <c r="AD519" t="s">
        <v>236</v>
      </c>
      <c r="AE519" t="s">
        <v>1846</v>
      </c>
      <c r="AH519" t="s">
        <v>1087</v>
      </c>
    </row>
    <row r="520" spans="1:35">
      <c r="A520">
        <v>518</v>
      </c>
      <c r="B520" t="s">
        <v>3191</v>
      </c>
      <c r="C520">
        <v>973</v>
      </c>
      <c r="D520" t="s">
        <v>1841</v>
      </c>
      <c r="E520" t="s">
        <v>3054</v>
      </c>
      <c r="F520" t="s">
        <v>2898</v>
      </c>
      <c r="G520" t="s">
        <v>484</v>
      </c>
      <c r="H520" t="s">
        <v>2918</v>
      </c>
      <c r="I520" t="s">
        <v>2914</v>
      </c>
      <c r="N520" t="s">
        <v>3183</v>
      </c>
      <c r="O520" t="s">
        <v>308</v>
      </c>
      <c r="S520" t="s">
        <v>874</v>
      </c>
      <c r="T520" t="s">
        <v>520</v>
      </c>
      <c r="U520" t="s">
        <v>3192</v>
      </c>
      <c r="V520" t="s">
        <v>876</v>
      </c>
      <c r="W520">
        <v>24081</v>
      </c>
      <c r="X520">
        <v>60</v>
      </c>
      <c r="Y520" t="s">
        <v>3193</v>
      </c>
      <c r="Z520" t="s">
        <v>3194</v>
      </c>
      <c r="AA520" t="s">
        <v>842</v>
      </c>
      <c r="AB520" t="s">
        <v>851</v>
      </c>
      <c r="AC520" t="s">
        <v>236</v>
      </c>
      <c r="AD520" t="s">
        <v>236</v>
      </c>
      <c r="AE520" t="s">
        <v>744</v>
      </c>
      <c r="AH520" t="s">
        <v>1087</v>
      </c>
    </row>
    <row r="521" spans="1:35">
      <c r="A521">
        <v>519</v>
      </c>
      <c r="B521" t="s">
        <v>3195</v>
      </c>
      <c r="C521">
        <v>975</v>
      </c>
      <c r="D521" t="s">
        <v>1841</v>
      </c>
      <c r="E521" t="s">
        <v>3054</v>
      </c>
      <c r="F521" t="s">
        <v>2898</v>
      </c>
      <c r="G521" t="s">
        <v>484</v>
      </c>
      <c r="H521" t="s">
        <v>2918</v>
      </c>
      <c r="I521" t="s">
        <v>2914</v>
      </c>
      <c r="N521" t="s">
        <v>3183</v>
      </c>
      <c r="O521" t="s">
        <v>308</v>
      </c>
      <c r="S521" t="s">
        <v>874</v>
      </c>
      <c r="T521" t="s">
        <v>528</v>
      </c>
      <c r="U521" t="s">
        <v>3196</v>
      </c>
      <c r="V521" t="s">
        <v>876</v>
      </c>
      <c r="W521">
        <v>25716</v>
      </c>
      <c r="X521">
        <v>55</v>
      </c>
      <c r="Y521" t="s">
        <v>3197</v>
      </c>
      <c r="Z521" t="s">
        <v>3198</v>
      </c>
      <c r="AA521" t="s">
        <v>842</v>
      </c>
      <c r="AB521" t="s">
        <v>851</v>
      </c>
      <c r="AC521" t="s">
        <v>236</v>
      </c>
      <c r="AD521" t="s">
        <v>236</v>
      </c>
      <c r="AE521" t="s">
        <v>3199</v>
      </c>
      <c r="AH521" t="s">
        <v>1087</v>
      </c>
    </row>
    <row r="522" spans="1:35">
      <c r="A522">
        <v>520</v>
      </c>
      <c r="B522" t="s">
        <v>3200</v>
      </c>
      <c r="C522">
        <v>977</v>
      </c>
      <c r="D522" t="s">
        <v>811</v>
      </c>
      <c r="E522" t="s">
        <v>3054</v>
      </c>
      <c r="F522" t="s">
        <v>2898</v>
      </c>
      <c r="G522" t="s">
        <v>484</v>
      </c>
      <c r="H522" t="s">
        <v>2918</v>
      </c>
      <c r="I522" t="s">
        <v>2914</v>
      </c>
      <c r="N522" t="s">
        <v>3183</v>
      </c>
      <c r="O522" t="s">
        <v>308</v>
      </c>
      <c r="S522" t="s">
        <v>874</v>
      </c>
      <c r="T522" t="s">
        <v>535</v>
      </c>
      <c r="U522" t="s">
        <v>3201</v>
      </c>
      <c r="V522" t="s">
        <v>876</v>
      </c>
      <c r="W522">
        <v>26041</v>
      </c>
      <c r="X522">
        <v>54</v>
      </c>
      <c r="Y522" t="s">
        <v>3202</v>
      </c>
      <c r="Z522" t="s">
        <v>3203</v>
      </c>
      <c r="AA522" t="s">
        <v>842</v>
      </c>
      <c r="AB522" t="s">
        <v>843</v>
      </c>
      <c r="AC522" t="s">
        <v>809</v>
      </c>
      <c r="AD522" t="s">
        <v>809</v>
      </c>
      <c r="AE522" t="s">
        <v>2085</v>
      </c>
      <c r="AH522" t="s">
        <v>1087</v>
      </c>
    </row>
    <row r="523" spans="1:35">
      <c r="A523">
        <v>521</v>
      </c>
      <c r="B523" t="s">
        <v>3204</v>
      </c>
      <c r="C523">
        <v>979</v>
      </c>
      <c r="D523" t="s">
        <v>1841</v>
      </c>
      <c r="E523" t="s">
        <v>3054</v>
      </c>
      <c r="F523" t="s">
        <v>2898</v>
      </c>
      <c r="G523" t="s">
        <v>484</v>
      </c>
      <c r="H523" t="s">
        <v>2918</v>
      </c>
      <c r="I523" t="s">
        <v>2914</v>
      </c>
      <c r="N523" t="s">
        <v>3183</v>
      </c>
      <c r="O523" t="s">
        <v>308</v>
      </c>
      <c r="S523" t="s">
        <v>874</v>
      </c>
      <c r="T523" t="s">
        <v>541</v>
      </c>
      <c r="U523" t="s">
        <v>3205</v>
      </c>
      <c r="V523" t="s">
        <v>876</v>
      </c>
      <c r="W523">
        <v>26626</v>
      </c>
      <c r="X523">
        <v>53</v>
      </c>
      <c r="Y523" t="s">
        <v>3206</v>
      </c>
      <c r="AA523" t="s">
        <v>842</v>
      </c>
      <c r="AB523" t="s">
        <v>843</v>
      </c>
      <c r="AC523" t="s">
        <v>236</v>
      </c>
      <c r="AD523" t="s">
        <v>236</v>
      </c>
      <c r="AE523" t="s">
        <v>3207</v>
      </c>
      <c r="AG523" t="s">
        <v>2511</v>
      </c>
      <c r="AH523" t="s">
        <v>1087</v>
      </c>
    </row>
    <row r="524" spans="1:35">
      <c r="A524">
        <v>522</v>
      </c>
      <c r="B524" t="s">
        <v>3208</v>
      </c>
      <c r="C524">
        <v>981</v>
      </c>
      <c r="D524" t="s">
        <v>1841</v>
      </c>
      <c r="E524" t="s">
        <v>3054</v>
      </c>
      <c r="F524" t="s">
        <v>2898</v>
      </c>
      <c r="G524" t="s">
        <v>484</v>
      </c>
      <c r="H524" t="s">
        <v>2918</v>
      </c>
      <c r="I524" t="s">
        <v>2914</v>
      </c>
      <c r="N524" t="s">
        <v>3183</v>
      </c>
      <c r="O524" t="s">
        <v>308</v>
      </c>
      <c r="S524" t="s">
        <v>874</v>
      </c>
      <c r="T524" t="s">
        <v>546</v>
      </c>
      <c r="U524" t="s">
        <v>3209</v>
      </c>
      <c r="V524" t="s">
        <v>876</v>
      </c>
      <c r="W524">
        <v>27940</v>
      </c>
      <c r="X524">
        <v>49</v>
      </c>
      <c r="Y524" t="s">
        <v>3210</v>
      </c>
      <c r="Z524" t="s">
        <v>3211</v>
      </c>
      <c r="AA524" t="s">
        <v>842</v>
      </c>
      <c r="AB524" t="s">
        <v>851</v>
      </c>
      <c r="AC524" t="s">
        <v>236</v>
      </c>
      <c r="AD524" t="s">
        <v>236</v>
      </c>
      <c r="AE524" t="s">
        <v>3212</v>
      </c>
      <c r="AH524" t="s">
        <v>1087</v>
      </c>
    </row>
    <row r="525" spans="1:35">
      <c r="A525">
        <v>523</v>
      </c>
      <c r="B525" t="s">
        <v>3213</v>
      </c>
      <c r="C525">
        <v>983</v>
      </c>
      <c r="D525" t="s">
        <v>811</v>
      </c>
      <c r="E525" t="s">
        <v>3054</v>
      </c>
      <c r="F525" t="s">
        <v>2898</v>
      </c>
      <c r="G525" t="s">
        <v>484</v>
      </c>
      <c r="H525" t="s">
        <v>2918</v>
      </c>
      <c r="I525" t="s">
        <v>2914</v>
      </c>
      <c r="N525" t="s">
        <v>3183</v>
      </c>
      <c r="O525" t="s">
        <v>308</v>
      </c>
      <c r="S525" t="s">
        <v>874</v>
      </c>
      <c r="T525" t="s">
        <v>552</v>
      </c>
      <c r="U525" t="s">
        <v>3214</v>
      </c>
      <c r="V525" t="s">
        <v>876</v>
      </c>
      <c r="W525">
        <v>31512</v>
      </c>
      <c r="X525">
        <v>39</v>
      </c>
      <c r="Y525" t="s">
        <v>3215</v>
      </c>
      <c r="Z525" t="s">
        <v>3216</v>
      </c>
      <c r="AA525" t="s">
        <v>842</v>
      </c>
      <c r="AB525" t="s">
        <v>843</v>
      </c>
      <c r="AC525" t="s">
        <v>809</v>
      </c>
      <c r="AD525" t="s">
        <v>809</v>
      </c>
      <c r="AE525" t="s">
        <v>2085</v>
      </c>
      <c r="AH525" t="s">
        <v>1087</v>
      </c>
    </row>
    <row r="526" spans="1:35">
      <c r="A526">
        <v>524</v>
      </c>
      <c r="B526" t="s">
        <v>2918</v>
      </c>
      <c r="C526">
        <v>984</v>
      </c>
      <c r="E526" t="s">
        <v>3054</v>
      </c>
      <c r="F526" t="s">
        <v>2898</v>
      </c>
      <c r="G526" t="s">
        <v>484</v>
      </c>
      <c r="H526" t="s">
        <v>2918</v>
      </c>
      <c r="I526" t="s">
        <v>2918</v>
      </c>
      <c r="J526" t="s">
        <v>3217</v>
      </c>
      <c r="K526" t="s">
        <v>3218</v>
      </c>
      <c r="N526" t="s">
        <v>3219</v>
      </c>
      <c r="P526" t="s">
        <v>163</v>
      </c>
      <c r="Q526" t="s">
        <v>500</v>
      </c>
      <c r="R526" t="s">
        <v>49</v>
      </c>
      <c r="T526" t="s">
        <v>498</v>
      </c>
      <c r="U526" t="s">
        <v>2919</v>
      </c>
      <c r="V526" t="s">
        <v>876</v>
      </c>
      <c r="W526">
        <v>22147</v>
      </c>
      <c r="X526">
        <v>65</v>
      </c>
      <c r="Y526" t="s">
        <v>2920</v>
      </c>
      <c r="AA526" t="s">
        <v>842</v>
      </c>
      <c r="AB526" t="s">
        <v>794</v>
      </c>
      <c r="AC526" t="s">
        <v>236</v>
      </c>
      <c r="AD526" t="s">
        <v>236</v>
      </c>
      <c r="AE526" t="s">
        <v>865</v>
      </c>
      <c r="AF526" t="s">
        <v>872</v>
      </c>
    </row>
    <row r="527" spans="1:35">
      <c r="A527">
        <v>525</v>
      </c>
      <c r="B527" t="s">
        <v>3217</v>
      </c>
      <c r="C527">
        <v>986</v>
      </c>
      <c r="D527" t="s">
        <v>1822</v>
      </c>
      <c r="E527" t="s">
        <v>3054</v>
      </c>
      <c r="F527" t="s">
        <v>2898</v>
      </c>
      <c r="G527" t="s">
        <v>484</v>
      </c>
      <c r="H527" t="s">
        <v>2918</v>
      </c>
      <c r="I527" t="s">
        <v>2918</v>
      </c>
      <c r="J527" t="s">
        <v>3217</v>
      </c>
      <c r="K527" t="s">
        <v>3218</v>
      </c>
      <c r="N527" t="s">
        <v>3219</v>
      </c>
      <c r="P527" t="s">
        <v>62</v>
      </c>
      <c r="Q527" t="s">
        <v>548</v>
      </c>
      <c r="S527" t="s">
        <v>874</v>
      </c>
      <c r="T527" t="s">
        <v>3220</v>
      </c>
      <c r="U527" t="s">
        <v>3221</v>
      </c>
      <c r="V527" t="s">
        <v>876</v>
      </c>
      <c r="W527">
        <v>22474</v>
      </c>
      <c r="X527">
        <v>64</v>
      </c>
      <c r="Y527" t="s">
        <v>3222</v>
      </c>
      <c r="Z527" t="s">
        <v>3223</v>
      </c>
      <c r="AA527" t="s">
        <v>842</v>
      </c>
      <c r="AB527" t="s">
        <v>851</v>
      </c>
      <c r="AC527" t="s">
        <v>942</v>
      </c>
      <c r="AD527" t="s">
        <v>942</v>
      </c>
      <c r="AE527" t="s">
        <v>2179</v>
      </c>
      <c r="AH527" t="s">
        <v>903</v>
      </c>
      <c r="AI527" t="s">
        <v>1863</v>
      </c>
    </row>
    <row r="528" spans="1:35">
      <c r="A528">
        <v>526</v>
      </c>
      <c r="B528" t="s">
        <v>3224</v>
      </c>
      <c r="C528">
        <v>988</v>
      </c>
      <c r="D528" t="s">
        <v>1841</v>
      </c>
      <c r="E528" t="s">
        <v>3054</v>
      </c>
      <c r="F528" t="s">
        <v>2898</v>
      </c>
      <c r="G528" t="s">
        <v>484</v>
      </c>
      <c r="H528" t="s">
        <v>2918</v>
      </c>
      <c r="I528" t="s">
        <v>2918</v>
      </c>
      <c r="J528" t="s">
        <v>3217</v>
      </c>
      <c r="K528" t="s">
        <v>3218</v>
      </c>
      <c r="N528" t="s">
        <v>3219</v>
      </c>
      <c r="S528" t="s">
        <v>898</v>
      </c>
      <c r="T528" t="s">
        <v>3225</v>
      </c>
      <c r="U528" t="s">
        <v>3226</v>
      </c>
      <c r="V528" t="s">
        <v>876</v>
      </c>
      <c r="W528">
        <v>18510</v>
      </c>
      <c r="X528">
        <v>75</v>
      </c>
      <c r="Y528" t="s">
        <v>3227</v>
      </c>
      <c r="Z528" t="s">
        <v>3228</v>
      </c>
      <c r="AA528" t="s">
        <v>842</v>
      </c>
      <c r="AB528" t="s">
        <v>851</v>
      </c>
      <c r="AC528" t="s">
        <v>236</v>
      </c>
      <c r="AD528" t="s">
        <v>236</v>
      </c>
      <c r="AE528" t="s">
        <v>3229</v>
      </c>
      <c r="AH528" t="s">
        <v>903</v>
      </c>
      <c r="AI528" t="s">
        <v>1863</v>
      </c>
    </row>
    <row r="529" spans="1:35">
      <c r="A529">
        <v>527</v>
      </c>
      <c r="B529" t="s">
        <v>3230</v>
      </c>
      <c r="C529">
        <v>990</v>
      </c>
      <c r="D529" t="s">
        <v>1841</v>
      </c>
      <c r="E529" t="s">
        <v>3054</v>
      </c>
      <c r="F529" t="s">
        <v>2898</v>
      </c>
      <c r="G529" t="s">
        <v>484</v>
      </c>
      <c r="H529" t="s">
        <v>2918</v>
      </c>
      <c r="I529" t="s">
        <v>2918</v>
      </c>
      <c r="J529" t="s">
        <v>3217</v>
      </c>
      <c r="K529" t="s">
        <v>3218</v>
      </c>
      <c r="N529" t="s">
        <v>3219</v>
      </c>
      <c r="S529" t="s">
        <v>874</v>
      </c>
      <c r="T529" t="s">
        <v>3231</v>
      </c>
      <c r="U529" t="s">
        <v>3232</v>
      </c>
      <c r="V529" t="s">
        <v>876</v>
      </c>
      <c r="W529">
        <v>20474</v>
      </c>
      <c r="X529">
        <v>70</v>
      </c>
      <c r="Y529" t="s">
        <v>3233</v>
      </c>
      <c r="Z529" t="s">
        <v>3234</v>
      </c>
      <c r="AA529" t="s">
        <v>842</v>
      </c>
      <c r="AB529" t="s">
        <v>851</v>
      </c>
      <c r="AC529" t="s">
        <v>236</v>
      </c>
      <c r="AD529" t="s">
        <v>236</v>
      </c>
      <c r="AE529" t="s">
        <v>743</v>
      </c>
      <c r="AH529" t="s">
        <v>903</v>
      </c>
      <c r="AI529" t="s">
        <v>1863</v>
      </c>
    </row>
    <row r="530" spans="1:35">
      <c r="A530">
        <v>528</v>
      </c>
      <c r="B530" t="s">
        <v>3235</v>
      </c>
      <c r="C530">
        <v>992</v>
      </c>
      <c r="D530" t="s">
        <v>1841</v>
      </c>
      <c r="E530" t="s">
        <v>3054</v>
      </c>
      <c r="F530" t="s">
        <v>2898</v>
      </c>
      <c r="G530" t="s">
        <v>484</v>
      </c>
      <c r="H530" t="s">
        <v>2918</v>
      </c>
      <c r="I530" t="s">
        <v>2918</v>
      </c>
      <c r="J530" t="s">
        <v>3217</v>
      </c>
      <c r="K530" t="s">
        <v>3218</v>
      </c>
      <c r="N530" t="s">
        <v>3219</v>
      </c>
      <c r="S530" t="s">
        <v>874</v>
      </c>
      <c r="T530" t="s">
        <v>3236</v>
      </c>
      <c r="U530" t="s">
        <v>3237</v>
      </c>
      <c r="V530" t="s">
        <v>876</v>
      </c>
      <c r="W530">
        <v>22535</v>
      </c>
      <c r="X530">
        <v>64</v>
      </c>
      <c r="Y530" t="s">
        <v>3238</v>
      </c>
      <c r="Z530" t="s">
        <v>3239</v>
      </c>
      <c r="AA530" t="s">
        <v>842</v>
      </c>
      <c r="AB530" t="s">
        <v>843</v>
      </c>
      <c r="AC530" t="s">
        <v>236</v>
      </c>
      <c r="AD530" t="s">
        <v>236</v>
      </c>
      <c r="AE530" t="s">
        <v>3240</v>
      </c>
      <c r="AH530" t="s">
        <v>903</v>
      </c>
      <c r="AI530" t="s">
        <v>1863</v>
      </c>
    </row>
    <row r="531" spans="1:35">
      <c r="A531">
        <v>529</v>
      </c>
      <c r="B531" t="s">
        <v>3241</v>
      </c>
      <c r="C531">
        <v>994</v>
      </c>
      <c r="D531" t="s">
        <v>1841</v>
      </c>
      <c r="E531" t="s">
        <v>3054</v>
      </c>
      <c r="F531" t="s">
        <v>2898</v>
      </c>
      <c r="G531" t="s">
        <v>484</v>
      </c>
      <c r="H531" t="s">
        <v>2918</v>
      </c>
      <c r="I531" t="s">
        <v>2918</v>
      </c>
      <c r="J531" t="s">
        <v>3217</v>
      </c>
      <c r="K531" t="s">
        <v>3218</v>
      </c>
      <c r="N531" t="s">
        <v>3219</v>
      </c>
      <c r="S531" t="s">
        <v>874</v>
      </c>
      <c r="T531" t="s">
        <v>3242</v>
      </c>
      <c r="U531" t="s">
        <v>3243</v>
      </c>
      <c r="V531" t="s">
        <v>876</v>
      </c>
      <c r="W531">
        <v>22940</v>
      </c>
      <c r="X531">
        <v>63</v>
      </c>
      <c r="Y531" t="s">
        <v>3244</v>
      </c>
      <c r="Z531" t="s">
        <v>3245</v>
      </c>
      <c r="AA531" t="s">
        <v>842</v>
      </c>
      <c r="AB531" t="s">
        <v>843</v>
      </c>
      <c r="AC531" t="s">
        <v>236</v>
      </c>
      <c r="AD531" t="s">
        <v>236</v>
      </c>
      <c r="AE531" t="s">
        <v>3246</v>
      </c>
      <c r="AH531" t="s">
        <v>903</v>
      </c>
      <c r="AI531" t="s">
        <v>1863</v>
      </c>
    </row>
    <row r="532" spans="1:35">
      <c r="A532">
        <v>530</v>
      </c>
      <c r="B532" t="s">
        <v>3218</v>
      </c>
      <c r="C532">
        <v>996</v>
      </c>
      <c r="D532" t="s">
        <v>1822</v>
      </c>
      <c r="E532" t="s">
        <v>3054</v>
      </c>
      <c r="F532" t="s">
        <v>2898</v>
      </c>
      <c r="G532" t="s">
        <v>484</v>
      </c>
      <c r="H532" t="s">
        <v>2918</v>
      </c>
      <c r="I532" t="s">
        <v>2918</v>
      </c>
      <c r="J532" t="s">
        <v>3217</v>
      </c>
      <c r="K532" t="s">
        <v>3218</v>
      </c>
      <c r="N532" t="s">
        <v>3219</v>
      </c>
      <c r="P532" t="s">
        <v>62</v>
      </c>
      <c r="Q532" t="s">
        <v>548</v>
      </c>
      <c r="S532" t="s">
        <v>898</v>
      </c>
      <c r="T532" t="s">
        <v>3247</v>
      </c>
      <c r="U532" t="s">
        <v>3248</v>
      </c>
      <c r="V532" t="s">
        <v>876</v>
      </c>
      <c r="W532">
        <v>20435</v>
      </c>
      <c r="X532">
        <v>70</v>
      </c>
      <c r="Y532" t="s">
        <v>3249</v>
      </c>
      <c r="Z532" t="s">
        <v>3250</v>
      </c>
      <c r="AA532" t="s">
        <v>842</v>
      </c>
      <c r="AB532" t="s">
        <v>851</v>
      </c>
      <c r="AC532" t="s">
        <v>942</v>
      </c>
      <c r="AD532" t="s">
        <v>942</v>
      </c>
      <c r="AE532" t="s">
        <v>2179</v>
      </c>
      <c r="AH532" t="s">
        <v>903</v>
      </c>
      <c r="AI532" t="s">
        <v>1863</v>
      </c>
    </row>
    <row r="533" spans="1:35">
      <c r="A533">
        <v>531</v>
      </c>
      <c r="B533" t="s">
        <v>3251</v>
      </c>
      <c r="C533">
        <v>998</v>
      </c>
      <c r="D533" t="s">
        <v>981</v>
      </c>
      <c r="E533" t="s">
        <v>3054</v>
      </c>
      <c r="F533" t="s">
        <v>2898</v>
      </c>
      <c r="G533" t="s">
        <v>484</v>
      </c>
      <c r="H533" t="s">
        <v>2918</v>
      </c>
      <c r="I533" t="s">
        <v>2918</v>
      </c>
      <c r="J533" t="s">
        <v>3217</v>
      </c>
      <c r="K533" t="s">
        <v>3218</v>
      </c>
      <c r="N533" t="s">
        <v>3219</v>
      </c>
      <c r="S533" t="s">
        <v>898</v>
      </c>
      <c r="T533" t="s">
        <v>3252</v>
      </c>
      <c r="U533" t="s">
        <v>3253</v>
      </c>
      <c r="V533" t="s">
        <v>876</v>
      </c>
      <c r="W533">
        <v>18484</v>
      </c>
      <c r="X533">
        <v>75</v>
      </c>
      <c r="Y533" t="s">
        <v>3254</v>
      </c>
      <c r="Z533" t="s">
        <v>3255</v>
      </c>
      <c r="AA533" t="s">
        <v>802</v>
      </c>
      <c r="AB533" t="s">
        <v>794</v>
      </c>
      <c r="AC533" t="s">
        <v>815</v>
      </c>
      <c r="AD533" t="s">
        <v>1400</v>
      </c>
      <c r="AE533" t="s">
        <v>3256</v>
      </c>
      <c r="AH533" t="s">
        <v>903</v>
      </c>
    </row>
    <row r="534" spans="1:35">
      <c r="A534">
        <v>532</v>
      </c>
      <c r="B534" t="s">
        <v>3257</v>
      </c>
      <c r="C534">
        <v>1000</v>
      </c>
      <c r="D534" t="s">
        <v>981</v>
      </c>
      <c r="E534" t="s">
        <v>3054</v>
      </c>
      <c r="F534" t="s">
        <v>2898</v>
      </c>
      <c r="G534" t="s">
        <v>484</v>
      </c>
      <c r="H534" t="s">
        <v>2918</v>
      </c>
      <c r="I534" t="s">
        <v>2918</v>
      </c>
      <c r="J534" t="s">
        <v>3217</v>
      </c>
      <c r="K534" t="s">
        <v>3218</v>
      </c>
      <c r="N534" t="s">
        <v>3219</v>
      </c>
      <c r="S534" t="s">
        <v>874</v>
      </c>
      <c r="T534" t="s">
        <v>3258</v>
      </c>
      <c r="U534" t="s">
        <v>3259</v>
      </c>
      <c r="V534" t="s">
        <v>876</v>
      </c>
      <c r="W534">
        <v>22162</v>
      </c>
      <c r="X534">
        <v>65</v>
      </c>
      <c r="Y534" t="s">
        <v>3222</v>
      </c>
      <c r="Z534" t="s">
        <v>3260</v>
      </c>
      <c r="AA534" t="s">
        <v>802</v>
      </c>
      <c r="AB534" t="s">
        <v>794</v>
      </c>
      <c r="AC534" t="s">
        <v>815</v>
      </c>
      <c r="AD534" t="s">
        <v>815</v>
      </c>
      <c r="AE534" t="s">
        <v>2496</v>
      </c>
      <c r="AH534" t="s">
        <v>903</v>
      </c>
    </row>
    <row r="535" spans="1:35">
      <c r="A535">
        <v>533</v>
      </c>
      <c r="B535" t="s">
        <v>3261</v>
      </c>
      <c r="C535">
        <v>1002</v>
      </c>
      <c r="D535" t="s">
        <v>981</v>
      </c>
      <c r="E535" t="s">
        <v>3054</v>
      </c>
      <c r="F535" t="s">
        <v>2898</v>
      </c>
      <c r="G535" t="s">
        <v>484</v>
      </c>
      <c r="H535" t="s">
        <v>2918</v>
      </c>
      <c r="I535" t="s">
        <v>2918</v>
      </c>
      <c r="J535" t="s">
        <v>3217</v>
      </c>
      <c r="K535" t="s">
        <v>3218</v>
      </c>
      <c r="N535" t="s">
        <v>3219</v>
      </c>
      <c r="S535" t="s">
        <v>874</v>
      </c>
      <c r="T535" t="s">
        <v>3262</v>
      </c>
      <c r="U535" t="s">
        <v>3263</v>
      </c>
      <c r="V535" t="s">
        <v>876</v>
      </c>
      <c r="W535">
        <v>23624</v>
      </c>
      <c r="X535">
        <v>61</v>
      </c>
      <c r="Y535" t="s">
        <v>3264</v>
      </c>
      <c r="Z535" t="s">
        <v>3265</v>
      </c>
      <c r="AA535" t="s">
        <v>842</v>
      </c>
      <c r="AB535" t="s">
        <v>843</v>
      </c>
      <c r="AC535" t="s">
        <v>815</v>
      </c>
      <c r="AD535" t="s">
        <v>815</v>
      </c>
      <c r="AE535" t="s">
        <v>2383</v>
      </c>
      <c r="AH535" t="s">
        <v>903</v>
      </c>
    </row>
    <row r="536" spans="1:35">
      <c r="A536">
        <v>534</v>
      </c>
      <c r="B536" t="s">
        <v>3266</v>
      </c>
      <c r="C536">
        <v>1004</v>
      </c>
      <c r="D536" t="s">
        <v>1001</v>
      </c>
      <c r="E536" t="s">
        <v>3054</v>
      </c>
      <c r="F536" t="s">
        <v>2898</v>
      </c>
      <c r="G536" t="s">
        <v>484</v>
      </c>
      <c r="H536" t="s">
        <v>2918</v>
      </c>
      <c r="I536" t="s">
        <v>2918</v>
      </c>
      <c r="J536" t="s">
        <v>3217</v>
      </c>
      <c r="K536" t="s">
        <v>3218</v>
      </c>
      <c r="N536" t="s">
        <v>3219</v>
      </c>
      <c r="O536" t="s">
        <v>308</v>
      </c>
      <c r="S536" t="s">
        <v>898</v>
      </c>
      <c r="T536" t="s">
        <v>3267</v>
      </c>
      <c r="U536" t="s">
        <v>3268</v>
      </c>
      <c r="V536" t="s">
        <v>876</v>
      </c>
      <c r="W536">
        <v>16115</v>
      </c>
      <c r="X536">
        <v>81</v>
      </c>
      <c r="Y536" t="s">
        <v>3269</v>
      </c>
      <c r="Z536" t="s">
        <v>3270</v>
      </c>
      <c r="AA536" t="s">
        <v>842</v>
      </c>
      <c r="AB536" t="s">
        <v>843</v>
      </c>
      <c r="AC536" t="s">
        <v>236</v>
      </c>
      <c r="AD536" t="s">
        <v>236</v>
      </c>
      <c r="AE536" t="s">
        <v>865</v>
      </c>
      <c r="AH536" t="s">
        <v>1950</v>
      </c>
    </row>
    <row r="537" spans="1:35">
      <c r="A537">
        <v>535</v>
      </c>
      <c r="B537" t="s">
        <v>3271</v>
      </c>
      <c r="C537">
        <v>1006</v>
      </c>
      <c r="D537" t="s">
        <v>1001</v>
      </c>
      <c r="E537" t="s">
        <v>3054</v>
      </c>
      <c r="F537" t="s">
        <v>2898</v>
      </c>
      <c r="G537" t="s">
        <v>484</v>
      </c>
      <c r="H537" t="s">
        <v>2918</v>
      </c>
      <c r="I537" t="s">
        <v>2918</v>
      </c>
      <c r="J537" t="s">
        <v>3217</v>
      </c>
      <c r="K537" t="s">
        <v>3218</v>
      </c>
      <c r="N537" t="s">
        <v>3219</v>
      </c>
      <c r="O537" t="s">
        <v>308</v>
      </c>
      <c r="S537" t="s">
        <v>874</v>
      </c>
      <c r="T537" t="s">
        <v>564</v>
      </c>
      <c r="U537" t="s">
        <v>3272</v>
      </c>
      <c r="V537" t="s">
        <v>876</v>
      </c>
      <c r="W537">
        <v>23037</v>
      </c>
      <c r="X537">
        <v>63</v>
      </c>
      <c r="Y537" t="s">
        <v>3273</v>
      </c>
      <c r="Z537" t="s">
        <v>3274</v>
      </c>
      <c r="AA537" t="s">
        <v>842</v>
      </c>
      <c r="AB537" t="s">
        <v>843</v>
      </c>
      <c r="AC537" t="s">
        <v>236</v>
      </c>
      <c r="AD537" t="s">
        <v>236</v>
      </c>
      <c r="AE537" t="s">
        <v>865</v>
      </c>
      <c r="AH537" t="s">
        <v>1950</v>
      </c>
    </row>
    <row r="538" spans="1:35">
      <c r="A538">
        <v>536</v>
      </c>
      <c r="B538" t="s">
        <v>2918</v>
      </c>
      <c r="C538">
        <v>1007</v>
      </c>
      <c r="E538" t="s">
        <v>3054</v>
      </c>
      <c r="F538" t="s">
        <v>2898</v>
      </c>
      <c r="G538" t="s">
        <v>484</v>
      </c>
      <c r="H538" t="s">
        <v>2918</v>
      </c>
      <c r="I538" t="s">
        <v>2918</v>
      </c>
      <c r="N538" t="s">
        <v>3275</v>
      </c>
      <c r="P538" t="s">
        <v>163</v>
      </c>
      <c r="Q538" t="s">
        <v>500</v>
      </c>
      <c r="R538" t="s">
        <v>49</v>
      </c>
      <c r="T538" t="s">
        <v>498</v>
      </c>
      <c r="U538" t="s">
        <v>2919</v>
      </c>
      <c r="V538" t="s">
        <v>876</v>
      </c>
      <c r="W538">
        <v>22147</v>
      </c>
      <c r="X538">
        <v>65</v>
      </c>
      <c r="Y538" t="s">
        <v>2920</v>
      </c>
      <c r="AA538" t="s">
        <v>842</v>
      </c>
      <c r="AB538" t="s">
        <v>794</v>
      </c>
      <c r="AC538" t="s">
        <v>236</v>
      </c>
      <c r="AD538" t="s">
        <v>236</v>
      </c>
      <c r="AE538" t="s">
        <v>865</v>
      </c>
      <c r="AF538" t="s">
        <v>872</v>
      </c>
    </row>
    <row r="539" spans="1:35">
      <c r="A539">
        <v>537</v>
      </c>
      <c r="B539" t="s">
        <v>3276</v>
      </c>
      <c r="C539">
        <v>1009</v>
      </c>
      <c r="D539" t="s">
        <v>1001</v>
      </c>
      <c r="E539" t="s">
        <v>3054</v>
      </c>
      <c r="F539" t="s">
        <v>2898</v>
      </c>
      <c r="G539" t="s">
        <v>484</v>
      </c>
      <c r="H539" t="s">
        <v>2918</v>
      </c>
      <c r="I539" t="s">
        <v>2918</v>
      </c>
      <c r="N539" t="s">
        <v>3275</v>
      </c>
      <c r="O539" t="s">
        <v>308</v>
      </c>
      <c r="S539" t="s">
        <v>898</v>
      </c>
      <c r="T539" t="s">
        <v>732</v>
      </c>
      <c r="U539" t="s">
        <v>3277</v>
      </c>
      <c r="V539" t="s">
        <v>876</v>
      </c>
      <c r="W539">
        <v>17991</v>
      </c>
      <c r="X539">
        <v>76</v>
      </c>
      <c r="Y539" t="s">
        <v>3278</v>
      </c>
      <c r="AA539" t="s">
        <v>842</v>
      </c>
      <c r="AB539" t="s">
        <v>843</v>
      </c>
      <c r="AC539" t="s">
        <v>236</v>
      </c>
      <c r="AD539" t="s">
        <v>236</v>
      </c>
      <c r="AE539" t="s">
        <v>865</v>
      </c>
      <c r="AH539" t="s">
        <v>1295</v>
      </c>
    </row>
    <row r="540" spans="1:35">
      <c r="A540">
        <v>538</v>
      </c>
      <c r="B540" t="s">
        <v>3279</v>
      </c>
      <c r="C540">
        <v>1011</v>
      </c>
      <c r="D540" t="s">
        <v>1001</v>
      </c>
      <c r="E540" t="s">
        <v>3054</v>
      </c>
      <c r="F540" t="s">
        <v>2898</v>
      </c>
      <c r="G540" t="s">
        <v>484</v>
      </c>
      <c r="H540" t="s">
        <v>2918</v>
      </c>
      <c r="I540" t="s">
        <v>2918</v>
      </c>
      <c r="N540" t="s">
        <v>3275</v>
      </c>
      <c r="O540" t="s">
        <v>308</v>
      </c>
      <c r="S540" t="s">
        <v>898</v>
      </c>
      <c r="T540" t="s">
        <v>733</v>
      </c>
      <c r="U540" t="s">
        <v>3280</v>
      </c>
      <c r="V540" t="s">
        <v>876</v>
      </c>
      <c r="W540">
        <v>19626</v>
      </c>
      <c r="X540">
        <v>72</v>
      </c>
      <c r="Y540" t="s">
        <v>3281</v>
      </c>
      <c r="AA540" t="s">
        <v>842</v>
      </c>
      <c r="AB540" t="s">
        <v>843</v>
      </c>
      <c r="AC540" t="s">
        <v>236</v>
      </c>
      <c r="AD540" t="s">
        <v>236</v>
      </c>
      <c r="AE540" t="s">
        <v>865</v>
      </c>
      <c r="AH540" t="s">
        <v>1295</v>
      </c>
    </row>
    <row r="541" spans="1:35">
      <c r="A541">
        <v>539</v>
      </c>
      <c r="B541" t="s">
        <v>3282</v>
      </c>
      <c r="C541">
        <v>1013</v>
      </c>
      <c r="D541" t="s">
        <v>1001</v>
      </c>
      <c r="E541" t="s">
        <v>3054</v>
      </c>
      <c r="F541" t="s">
        <v>2898</v>
      </c>
      <c r="G541" t="s">
        <v>484</v>
      </c>
      <c r="H541" t="s">
        <v>2918</v>
      </c>
      <c r="I541" t="s">
        <v>2918</v>
      </c>
      <c r="N541" t="s">
        <v>3275</v>
      </c>
      <c r="O541" t="s">
        <v>308</v>
      </c>
      <c r="S541" t="s">
        <v>898</v>
      </c>
      <c r="T541" t="s">
        <v>734</v>
      </c>
      <c r="U541" t="s">
        <v>3283</v>
      </c>
      <c r="V541" t="s">
        <v>876</v>
      </c>
      <c r="W541">
        <v>19756</v>
      </c>
      <c r="X541">
        <v>71</v>
      </c>
      <c r="Y541" t="s">
        <v>3284</v>
      </c>
      <c r="AA541" t="s">
        <v>842</v>
      </c>
      <c r="AB541" t="s">
        <v>843</v>
      </c>
      <c r="AC541" t="s">
        <v>236</v>
      </c>
      <c r="AD541" t="s">
        <v>236</v>
      </c>
      <c r="AE541" t="s">
        <v>865</v>
      </c>
      <c r="AH541" t="s">
        <v>1295</v>
      </c>
    </row>
    <row r="542" spans="1:35">
      <c r="A542">
        <v>540</v>
      </c>
      <c r="B542" t="s">
        <v>3285</v>
      </c>
      <c r="C542">
        <v>1015</v>
      </c>
      <c r="D542" t="s">
        <v>1001</v>
      </c>
      <c r="E542" t="s">
        <v>3054</v>
      </c>
      <c r="F542" t="s">
        <v>2898</v>
      </c>
      <c r="G542" t="s">
        <v>484</v>
      </c>
      <c r="H542" t="s">
        <v>2918</v>
      </c>
      <c r="I542" t="s">
        <v>2918</v>
      </c>
      <c r="N542" t="s">
        <v>3275</v>
      </c>
      <c r="O542" t="s">
        <v>308</v>
      </c>
      <c r="S542" t="s">
        <v>874</v>
      </c>
      <c r="T542" t="s">
        <v>735</v>
      </c>
      <c r="U542" t="s">
        <v>3286</v>
      </c>
      <c r="V542" t="s">
        <v>876</v>
      </c>
      <c r="W542">
        <v>21689</v>
      </c>
      <c r="X542">
        <v>66</v>
      </c>
      <c r="Y542" t="s">
        <v>3287</v>
      </c>
      <c r="AA542" t="s">
        <v>842</v>
      </c>
      <c r="AB542" t="s">
        <v>843</v>
      </c>
      <c r="AC542" t="s">
        <v>236</v>
      </c>
      <c r="AD542" t="s">
        <v>236</v>
      </c>
      <c r="AE542" t="s">
        <v>865</v>
      </c>
      <c r="AH542" t="s">
        <v>1295</v>
      </c>
    </row>
    <row r="543" spans="1:35">
      <c r="A543">
        <v>541</v>
      </c>
      <c r="B543" t="s">
        <v>3288</v>
      </c>
      <c r="C543">
        <v>1017</v>
      </c>
      <c r="D543" t="s">
        <v>1001</v>
      </c>
      <c r="E543" t="s">
        <v>3054</v>
      </c>
      <c r="F543" t="s">
        <v>2898</v>
      </c>
      <c r="G543" t="s">
        <v>484</v>
      </c>
      <c r="H543" t="s">
        <v>2918</v>
      </c>
      <c r="I543" t="s">
        <v>2918</v>
      </c>
      <c r="N543" t="s">
        <v>3275</v>
      </c>
      <c r="O543" t="s">
        <v>308</v>
      </c>
      <c r="S543" t="s">
        <v>874</v>
      </c>
      <c r="T543" t="s">
        <v>736</v>
      </c>
      <c r="U543" t="s">
        <v>3289</v>
      </c>
      <c r="V543" t="s">
        <v>876</v>
      </c>
      <c r="W543">
        <v>23132</v>
      </c>
      <c r="X543">
        <v>62</v>
      </c>
      <c r="Y543" t="s">
        <v>3290</v>
      </c>
      <c r="AA543" t="s">
        <v>842</v>
      </c>
      <c r="AB543" t="s">
        <v>843</v>
      </c>
      <c r="AC543" t="s">
        <v>236</v>
      </c>
      <c r="AD543" t="s">
        <v>236</v>
      </c>
      <c r="AE543" t="s">
        <v>865</v>
      </c>
      <c r="AH543" t="s">
        <v>1295</v>
      </c>
    </row>
    <row r="544" spans="1:35">
      <c r="A544">
        <v>542</v>
      </c>
      <c r="B544" t="s">
        <v>3291</v>
      </c>
      <c r="C544">
        <v>1019</v>
      </c>
      <c r="D544" t="s">
        <v>1841</v>
      </c>
      <c r="E544" t="s">
        <v>3292</v>
      </c>
      <c r="F544" t="s">
        <v>3291</v>
      </c>
      <c r="G544" t="s">
        <v>459</v>
      </c>
      <c r="H544" t="s">
        <v>3291</v>
      </c>
      <c r="I544" t="s">
        <v>3291</v>
      </c>
      <c r="J544" t="s">
        <v>3293</v>
      </c>
      <c r="N544" t="s">
        <v>787</v>
      </c>
      <c r="P544" t="s">
        <v>982</v>
      </c>
      <c r="Q544" t="s">
        <v>163</v>
      </c>
      <c r="R544" t="s">
        <v>49</v>
      </c>
      <c r="S544" t="s">
        <v>874</v>
      </c>
      <c r="T544" t="s">
        <v>459</v>
      </c>
      <c r="U544" t="s">
        <v>3294</v>
      </c>
      <c r="V544" t="s">
        <v>876</v>
      </c>
      <c r="W544">
        <v>28590</v>
      </c>
      <c r="X544">
        <v>47</v>
      </c>
      <c r="Y544" t="s">
        <v>3295</v>
      </c>
      <c r="Z544" t="s">
        <v>3296</v>
      </c>
      <c r="AA544" t="s">
        <v>802</v>
      </c>
      <c r="AB544" t="s">
        <v>794</v>
      </c>
      <c r="AC544" t="s">
        <v>236</v>
      </c>
      <c r="AD544" t="s">
        <v>236</v>
      </c>
      <c r="AE544" t="s">
        <v>3297</v>
      </c>
      <c r="AI544" t="s">
        <v>1863</v>
      </c>
    </row>
    <row r="545" spans="1:35">
      <c r="A545">
        <v>544</v>
      </c>
      <c r="B545" t="s">
        <v>3293</v>
      </c>
      <c r="C545">
        <v>514</v>
      </c>
      <c r="D545" t="s">
        <v>1841</v>
      </c>
      <c r="E545" t="s">
        <v>3292</v>
      </c>
      <c r="F545" t="s">
        <v>3291</v>
      </c>
      <c r="G545" t="s">
        <v>459</v>
      </c>
      <c r="H545" t="s">
        <v>3291</v>
      </c>
      <c r="I545" t="s">
        <v>3291</v>
      </c>
      <c r="J545" t="s">
        <v>3293</v>
      </c>
      <c r="N545" t="s">
        <v>787</v>
      </c>
      <c r="P545" t="s">
        <v>62</v>
      </c>
      <c r="Q545" t="s">
        <v>548</v>
      </c>
      <c r="S545" t="s">
        <v>788</v>
      </c>
      <c r="T545" t="s">
        <v>3298</v>
      </c>
      <c r="U545" t="s">
        <v>3299</v>
      </c>
      <c r="V545" t="s">
        <v>876</v>
      </c>
      <c r="W545">
        <v>36654</v>
      </c>
      <c r="X545">
        <v>25</v>
      </c>
      <c r="Y545" t="s">
        <v>3300</v>
      </c>
      <c r="Z545" t="s">
        <v>3301</v>
      </c>
      <c r="AA545" t="s">
        <v>842</v>
      </c>
      <c r="AB545" t="s">
        <v>851</v>
      </c>
      <c r="AC545" t="s">
        <v>236</v>
      </c>
      <c r="AD545" t="s">
        <v>236</v>
      </c>
      <c r="AE545" t="s">
        <v>3302</v>
      </c>
      <c r="AG545" t="s">
        <v>3303</v>
      </c>
      <c r="AH545" t="s">
        <v>903</v>
      </c>
      <c r="AI545" t="s">
        <v>1863</v>
      </c>
    </row>
    <row r="546" spans="1:35">
      <c r="A546">
        <v>543</v>
      </c>
      <c r="B546" t="s">
        <v>2149</v>
      </c>
      <c r="C546">
        <v>1023</v>
      </c>
      <c r="D546" t="s">
        <v>1841</v>
      </c>
      <c r="E546" t="s">
        <v>783</v>
      </c>
      <c r="F546" t="s">
        <v>3291</v>
      </c>
      <c r="G546" t="s">
        <v>459</v>
      </c>
      <c r="H546" t="s">
        <v>3291</v>
      </c>
      <c r="I546" t="s">
        <v>3291</v>
      </c>
      <c r="J546" t="s">
        <v>3293</v>
      </c>
      <c r="N546" t="s">
        <v>787</v>
      </c>
      <c r="P546" t="s">
        <v>49</v>
      </c>
      <c r="Q546" t="s">
        <v>49</v>
      </c>
      <c r="S546" t="s">
        <v>788</v>
      </c>
      <c r="T546" t="s">
        <v>174</v>
      </c>
      <c r="U546" t="s">
        <v>2151</v>
      </c>
      <c r="V546" t="s">
        <v>876</v>
      </c>
      <c r="W546">
        <v>36505</v>
      </c>
      <c r="X546">
        <v>26</v>
      </c>
      <c r="Y546" t="s">
        <v>2152</v>
      </c>
      <c r="Z546" t="s">
        <v>3304</v>
      </c>
      <c r="AA546" t="s">
        <v>793</v>
      </c>
      <c r="AB546" t="s">
        <v>794</v>
      </c>
      <c r="AC546" t="s">
        <v>236</v>
      </c>
      <c r="AD546" t="s">
        <v>236</v>
      </c>
      <c r="AE546" t="s">
        <v>3297</v>
      </c>
      <c r="AH546" t="s">
        <v>1535</v>
      </c>
    </row>
    <row r="547" spans="1:35">
      <c r="A547">
        <v>545</v>
      </c>
      <c r="B547" t="s">
        <v>3305</v>
      </c>
      <c r="C547">
        <v>1025</v>
      </c>
      <c r="D547" t="s">
        <v>1841</v>
      </c>
      <c r="E547" t="s">
        <v>3292</v>
      </c>
      <c r="F547" t="s">
        <v>3291</v>
      </c>
      <c r="G547" t="s">
        <v>459</v>
      </c>
      <c r="H547" t="s">
        <v>3291</v>
      </c>
      <c r="I547" t="s">
        <v>3291</v>
      </c>
      <c r="J547" t="s">
        <v>3293</v>
      </c>
      <c r="N547" t="s">
        <v>787</v>
      </c>
      <c r="S547" t="s">
        <v>874</v>
      </c>
      <c r="T547" t="s">
        <v>3306</v>
      </c>
      <c r="U547" t="s">
        <v>3307</v>
      </c>
      <c r="V547" t="s">
        <v>876</v>
      </c>
      <c r="W547">
        <v>32251</v>
      </c>
      <c r="X547">
        <v>37</v>
      </c>
      <c r="Y547" t="s">
        <v>3308</v>
      </c>
      <c r="Z547" t="s">
        <v>3309</v>
      </c>
      <c r="AA547" t="s">
        <v>842</v>
      </c>
      <c r="AB547" t="s">
        <v>843</v>
      </c>
      <c r="AC547" t="s">
        <v>236</v>
      </c>
      <c r="AD547" t="s">
        <v>1797</v>
      </c>
      <c r="AE547" t="s">
        <v>3310</v>
      </c>
      <c r="AG547" t="s">
        <v>1827</v>
      </c>
      <c r="AH547" t="s">
        <v>903</v>
      </c>
      <c r="AI547" t="s">
        <v>860</v>
      </c>
    </row>
    <row r="548" spans="1:35">
      <c r="A548">
        <v>546</v>
      </c>
      <c r="B548" t="s">
        <v>3311</v>
      </c>
      <c r="C548">
        <v>1027</v>
      </c>
      <c r="D548" t="s">
        <v>1841</v>
      </c>
      <c r="E548" t="s">
        <v>3292</v>
      </c>
      <c r="F548" t="s">
        <v>3291</v>
      </c>
      <c r="G548" t="s">
        <v>459</v>
      </c>
      <c r="H548" t="s">
        <v>3291</v>
      </c>
      <c r="I548" t="s">
        <v>3291</v>
      </c>
      <c r="J548" t="s">
        <v>3293</v>
      </c>
      <c r="N548" t="s">
        <v>787</v>
      </c>
      <c r="S548" t="s">
        <v>788</v>
      </c>
      <c r="T548" t="s">
        <v>3312</v>
      </c>
      <c r="U548" t="s">
        <v>3313</v>
      </c>
      <c r="V548" t="s">
        <v>876</v>
      </c>
      <c r="W548">
        <v>37018</v>
      </c>
      <c r="X548">
        <v>24</v>
      </c>
      <c r="Y548" t="s">
        <v>3314</v>
      </c>
      <c r="AA548" t="s">
        <v>842</v>
      </c>
      <c r="AB548" t="s">
        <v>843</v>
      </c>
      <c r="AC548" t="s">
        <v>236</v>
      </c>
      <c r="AD548" t="s">
        <v>236</v>
      </c>
      <c r="AE548" t="s">
        <v>3315</v>
      </c>
      <c r="AG548" t="s">
        <v>3316</v>
      </c>
      <c r="AH548" t="s">
        <v>903</v>
      </c>
      <c r="AI548" t="s">
        <v>860</v>
      </c>
    </row>
    <row r="549" spans="1:35">
      <c r="A549">
        <v>547</v>
      </c>
      <c r="B549" t="s">
        <v>3317</v>
      </c>
      <c r="C549">
        <v>1029</v>
      </c>
      <c r="D549" t="s">
        <v>1841</v>
      </c>
      <c r="E549" t="s">
        <v>3292</v>
      </c>
      <c r="F549" t="s">
        <v>3291</v>
      </c>
      <c r="G549" t="s">
        <v>459</v>
      </c>
      <c r="H549" t="s">
        <v>3291</v>
      </c>
      <c r="I549" t="s">
        <v>3291</v>
      </c>
      <c r="J549" t="s">
        <v>3293</v>
      </c>
      <c r="N549" t="s">
        <v>787</v>
      </c>
      <c r="S549" t="s">
        <v>788</v>
      </c>
      <c r="T549" t="s">
        <v>3318</v>
      </c>
      <c r="U549" t="s">
        <v>3319</v>
      </c>
      <c r="V549" t="s">
        <v>876</v>
      </c>
      <c r="W549">
        <v>34632</v>
      </c>
      <c r="X549">
        <v>31</v>
      </c>
      <c r="Y549" t="s">
        <v>3320</v>
      </c>
      <c r="AA549" t="s">
        <v>842</v>
      </c>
      <c r="AB549" t="s">
        <v>843</v>
      </c>
      <c r="AC549" t="s">
        <v>236</v>
      </c>
      <c r="AD549" t="s">
        <v>236</v>
      </c>
      <c r="AE549" t="s">
        <v>3297</v>
      </c>
      <c r="AF549" t="s">
        <v>1571</v>
      </c>
      <c r="AG549" t="s">
        <v>3321</v>
      </c>
      <c r="AH549" t="s">
        <v>903</v>
      </c>
      <c r="AI549" t="s">
        <v>3322</v>
      </c>
    </row>
    <row r="550" spans="1:35">
      <c r="A550">
        <v>548</v>
      </c>
      <c r="B550" t="s">
        <v>3323</v>
      </c>
      <c r="C550">
        <v>1031</v>
      </c>
      <c r="D550" t="s">
        <v>1841</v>
      </c>
      <c r="E550" t="s">
        <v>3292</v>
      </c>
      <c r="F550" t="s">
        <v>3291</v>
      </c>
      <c r="G550" t="s">
        <v>3324</v>
      </c>
      <c r="H550" t="s">
        <v>3291</v>
      </c>
      <c r="I550" t="s">
        <v>3323</v>
      </c>
      <c r="N550" t="s">
        <v>828</v>
      </c>
      <c r="P550" t="s">
        <v>49</v>
      </c>
      <c r="Q550" t="s">
        <v>49</v>
      </c>
      <c r="S550" t="s">
        <v>874</v>
      </c>
      <c r="T550" t="s">
        <v>505</v>
      </c>
      <c r="U550" t="s">
        <v>3325</v>
      </c>
      <c r="V550" t="s">
        <v>876</v>
      </c>
      <c r="W550">
        <v>28886</v>
      </c>
      <c r="X550">
        <v>46</v>
      </c>
      <c r="Y550" t="s">
        <v>3326</v>
      </c>
      <c r="Z550" t="s">
        <v>3327</v>
      </c>
      <c r="AA550" t="s">
        <v>842</v>
      </c>
      <c r="AB550" t="s">
        <v>843</v>
      </c>
      <c r="AC550" t="s">
        <v>236</v>
      </c>
      <c r="AD550" t="s">
        <v>236</v>
      </c>
      <c r="AE550" t="s">
        <v>3246</v>
      </c>
      <c r="AH550" t="s">
        <v>976</v>
      </c>
      <c r="AI550" t="s">
        <v>1863</v>
      </c>
    </row>
    <row r="551" spans="1:35">
      <c r="A551">
        <v>549</v>
      </c>
      <c r="B551" t="s">
        <v>3328</v>
      </c>
      <c r="C551">
        <v>1033</v>
      </c>
      <c r="D551" t="s">
        <v>1841</v>
      </c>
      <c r="E551" t="s">
        <v>3292</v>
      </c>
      <c r="F551" t="s">
        <v>3291</v>
      </c>
      <c r="G551" t="s">
        <v>459</v>
      </c>
      <c r="H551" t="s">
        <v>3291</v>
      </c>
      <c r="I551" t="s">
        <v>3323</v>
      </c>
      <c r="N551" t="s">
        <v>828</v>
      </c>
      <c r="S551" t="s">
        <v>898</v>
      </c>
      <c r="T551" t="s">
        <v>3329</v>
      </c>
      <c r="U551" t="s">
        <v>3330</v>
      </c>
      <c r="V551" t="s">
        <v>876</v>
      </c>
      <c r="W551">
        <v>18216</v>
      </c>
      <c r="X551">
        <v>76</v>
      </c>
      <c r="Y551" t="s">
        <v>3331</v>
      </c>
      <c r="Z551" t="s">
        <v>3332</v>
      </c>
      <c r="AA551" t="s">
        <v>802</v>
      </c>
      <c r="AB551" t="s">
        <v>794</v>
      </c>
      <c r="AC551" t="s">
        <v>809</v>
      </c>
      <c r="AD551" t="s">
        <v>236</v>
      </c>
      <c r="AE551" t="s">
        <v>865</v>
      </c>
      <c r="AI551" t="s">
        <v>1863</v>
      </c>
    </row>
    <row r="552" spans="1:35">
      <c r="A552">
        <v>550</v>
      </c>
      <c r="B552" t="s">
        <v>3333</v>
      </c>
      <c r="C552">
        <v>1035</v>
      </c>
      <c r="D552" t="s">
        <v>1841</v>
      </c>
      <c r="E552" t="s">
        <v>3292</v>
      </c>
      <c r="F552" t="s">
        <v>3291</v>
      </c>
      <c r="G552" t="s">
        <v>459</v>
      </c>
      <c r="H552" t="s">
        <v>3291</v>
      </c>
      <c r="I552" t="s">
        <v>3323</v>
      </c>
      <c r="N552" t="s">
        <v>828</v>
      </c>
      <c r="S552" t="s">
        <v>898</v>
      </c>
      <c r="T552" t="s">
        <v>471</v>
      </c>
      <c r="U552" t="s">
        <v>3334</v>
      </c>
      <c r="V552" t="s">
        <v>876</v>
      </c>
      <c r="W552">
        <v>18323</v>
      </c>
      <c r="X552">
        <v>75</v>
      </c>
      <c r="Y552" t="s">
        <v>3335</v>
      </c>
      <c r="Z552" t="s">
        <v>3336</v>
      </c>
      <c r="AA552" t="s">
        <v>802</v>
      </c>
      <c r="AB552" t="s">
        <v>794</v>
      </c>
      <c r="AC552" t="s">
        <v>236</v>
      </c>
      <c r="AD552" t="s">
        <v>236</v>
      </c>
      <c r="AE552" t="s">
        <v>3297</v>
      </c>
      <c r="AI552" t="s">
        <v>1863</v>
      </c>
    </row>
    <row r="553" spans="1:35">
      <c r="A553">
        <v>551</v>
      </c>
      <c r="B553" t="s">
        <v>3337</v>
      </c>
      <c r="C553">
        <v>1037</v>
      </c>
      <c r="D553" t="s">
        <v>1841</v>
      </c>
      <c r="E553" t="s">
        <v>3292</v>
      </c>
      <c r="F553" t="s">
        <v>3291</v>
      </c>
      <c r="G553" t="s">
        <v>459</v>
      </c>
      <c r="H553" t="s">
        <v>3291</v>
      </c>
      <c r="I553" t="s">
        <v>3323</v>
      </c>
      <c r="N553" t="s">
        <v>828</v>
      </c>
      <c r="S553" t="s">
        <v>898</v>
      </c>
      <c r="T553" t="s">
        <v>477</v>
      </c>
      <c r="U553" t="s">
        <v>3338</v>
      </c>
      <c r="V553" t="s">
        <v>876</v>
      </c>
      <c r="W553">
        <v>18840</v>
      </c>
      <c r="X553">
        <v>74</v>
      </c>
      <c r="Y553" t="s">
        <v>3339</v>
      </c>
      <c r="Z553" t="s">
        <v>3340</v>
      </c>
      <c r="AA553" t="s">
        <v>802</v>
      </c>
      <c r="AB553" t="s">
        <v>794</v>
      </c>
      <c r="AC553" t="s">
        <v>236</v>
      </c>
      <c r="AD553" t="s">
        <v>236</v>
      </c>
      <c r="AE553" t="s">
        <v>3297</v>
      </c>
      <c r="AI553" t="s">
        <v>1863</v>
      </c>
    </row>
    <row r="554" spans="1:35">
      <c r="A554">
        <v>552</v>
      </c>
      <c r="B554" t="s">
        <v>3341</v>
      </c>
      <c r="C554">
        <v>1039</v>
      </c>
      <c r="D554" t="s">
        <v>1841</v>
      </c>
      <c r="E554" t="s">
        <v>3292</v>
      </c>
      <c r="F554" t="s">
        <v>3291</v>
      </c>
      <c r="G554" t="s">
        <v>459</v>
      </c>
      <c r="H554" t="s">
        <v>3291</v>
      </c>
      <c r="I554" t="s">
        <v>3323</v>
      </c>
      <c r="N554" t="s">
        <v>828</v>
      </c>
      <c r="S554" t="s">
        <v>874</v>
      </c>
      <c r="T554" t="s">
        <v>460</v>
      </c>
      <c r="U554" t="s">
        <v>3342</v>
      </c>
      <c r="V554" t="s">
        <v>876</v>
      </c>
      <c r="W554">
        <v>23643</v>
      </c>
      <c r="X554">
        <v>61</v>
      </c>
      <c r="Y554" t="s">
        <v>3343</v>
      </c>
      <c r="Z554" t="s">
        <v>3344</v>
      </c>
      <c r="AA554" t="s">
        <v>802</v>
      </c>
      <c r="AB554" t="s">
        <v>794</v>
      </c>
      <c r="AC554" t="s">
        <v>236</v>
      </c>
      <c r="AD554" t="s">
        <v>236</v>
      </c>
      <c r="AE554" t="s">
        <v>3297</v>
      </c>
      <c r="AI554" t="s">
        <v>1863</v>
      </c>
    </row>
    <row r="555" spans="1:35">
      <c r="A555">
        <v>553</v>
      </c>
      <c r="B555" t="s">
        <v>3345</v>
      </c>
      <c r="C555">
        <v>1041</v>
      </c>
      <c r="D555" t="s">
        <v>1841</v>
      </c>
      <c r="E555" t="s">
        <v>3292</v>
      </c>
      <c r="F555" t="s">
        <v>3291</v>
      </c>
      <c r="G555" t="s">
        <v>459</v>
      </c>
      <c r="H555" t="s">
        <v>3291</v>
      </c>
      <c r="I555" t="s">
        <v>3323</v>
      </c>
      <c r="N555" t="s">
        <v>828</v>
      </c>
      <c r="P555" t="s">
        <v>49</v>
      </c>
      <c r="Q555" t="s">
        <v>168</v>
      </c>
      <c r="S555" t="s">
        <v>874</v>
      </c>
      <c r="T555" t="s">
        <v>481</v>
      </c>
      <c r="U555" t="s">
        <v>3346</v>
      </c>
      <c r="V555" t="s">
        <v>876</v>
      </c>
      <c r="W555">
        <v>25024</v>
      </c>
      <c r="X555">
        <v>57</v>
      </c>
      <c r="Y555" t="s">
        <v>3347</v>
      </c>
      <c r="Z555" t="s">
        <v>3348</v>
      </c>
      <c r="AA555" t="s">
        <v>802</v>
      </c>
      <c r="AB555" t="s">
        <v>794</v>
      </c>
      <c r="AC555" t="s">
        <v>236</v>
      </c>
      <c r="AD555" t="s">
        <v>236</v>
      </c>
      <c r="AE555" t="s">
        <v>865</v>
      </c>
      <c r="AI555" t="s">
        <v>1863</v>
      </c>
    </row>
    <row r="556" spans="1:35">
      <c r="A556">
        <v>554</v>
      </c>
      <c r="B556" t="s">
        <v>3349</v>
      </c>
      <c r="C556">
        <v>1043</v>
      </c>
      <c r="D556" t="s">
        <v>1841</v>
      </c>
      <c r="E556" t="s">
        <v>3292</v>
      </c>
      <c r="F556" t="s">
        <v>3291</v>
      </c>
      <c r="G556" t="s">
        <v>459</v>
      </c>
      <c r="H556" t="s">
        <v>3291</v>
      </c>
      <c r="I556" t="s">
        <v>3323</v>
      </c>
      <c r="N556" t="s">
        <v>828</v>
      </c>
      <c r="S556" t="s">
        <v>874</v>
      </c>
      <c r="T556" t="s">
        <v>3350</v>
      </c>
      <c r="U556" t="s">
        <v>3351</v>
      </c>
      <c r="V556" t="s">
        <v>876</v>
      </c>
      <c r="W556">
        <v>29360</v>
      </c>
      <c r="X556">
        <v>45</v>
      </c>
      <c r="Y556" t="s">
        <v>3352</v>
      </c>
      <c r="AA556" t="s">
        <v>842</v>
      </c>
      <c r="AB556" t="s">
        <v>843</v>
      </c>
      <c r="AC556" t="s">
        <v>236</v>
      </c>
      <c r="AD556" t="s">
        <v>236</v>
      </c>
      <c r="AE556" t="s">
        <v>865</v>
      </c>
      <c r="AG556" t="s">
        <v>3353</v>
      </c>
      <c r="AI556" t="s">
        <v>1284</v>
      </c>
    </row>
    <row r="557" spans="1:35">
      <c r="A557">
        <v>555</v>
      </c>
      <c r="B557" t="s">
        <v>3354</v>
      </c>
      <c r="C557">
        <v>1045</v>
      </c>
      <c r="D557" t="s">
        <v>1841</v>
      </c>
      <c r="E557" t="s">
        <v>3292</v>
      </c>
      <c r="F557" t="s">
        <v>3291</v>
      </c>
      <c r="G557" t="s">
        <v>459</v>
      </c>
      <c r="H557" t="s">
        <v>3291</v>
      </c>
      <c r="I557" t="s">
        <v>3354</v>
      </c>
      <c r="N557" t="s">
        <v>938</v>
      </c>
      <c r="P557" t="s">
        <v>49</v>
      </c>
      <c r="Q557" t="s">
        <v>168</v>
      </c>
      <c r="S557" t="s">
        <v>788</v>
      </c>
      <c r="T557" t="s">
        <v>3355</v>
      </c>
      <c r="U557" t="s">
        <v>3356</v>
      </c>
      <c r="V557" t="s">
        <v>790</v>
      </c>
      <c r="W557">
        <v>37183</v>
      </c>
      <c r="X557">
        <v>24</v>
      </c>
      <c r="Y557" t="s">
        <v>3357</v>
      </c>
      <c r="Z557" t="s">
        <v>3358</v>
      </c>
      <c r="AA557" t="s">
        <v>793</v>
      </c>
      <c r="AB557" t="s">
        <v>794</v>
      </c>
      <c r="AC557" t="s">
        <v>236</v>
      </c>
      <c r="AD557" t="s">
        <v>236</v>
      </c>
      <c r="AE557" t="s">
        <v>3297</v>
      </c>
      <c r="AI557" t="s">
        <v>1863</v>
      </c>
    </row>
    <row r="558" spans="1:35">
      <c r="A558">
        <v>556</v>
      </c>
      <c r="B558" t="s">
        <v>3359</v>
      </c>
      <c r="C558">
        <v>1047</v>
      </c>
      <c r="D558" t="s">
        <v>1841</v>
      </c>
      <c r="E558" t="s">
        <v>3292</v>
      </c>
      <c r="F558" t="s">
        <v>3291</v>
      </c>
      <c r="G558" t="s">
        <v>459</v>
      </c>
      <c r="H558" t="s">
        <v>3291</v>
      </c>
      <c r="I558" t="s">
        <v>3354</v>
      </c>
      <c r="N558" t="s">
        <v>938</v>
      </c>
      <c r="S558" t="s">
        <v>788</v>
      </c>
      <c r="T558" t="s">
        <v>3360</v>
      </c>
      <c r="U558" t="s">
        <v>3361</v>
      </c>
      <c r="V558" t="s">
        <v>790</v>
      </c>
      <c r="W558">
        <v>38152</v>
      </c>
      <c r="X558">
        <v>21</v>
      </c>
      <c r="Y558" t="s">
        <v>3362</v>
      </c>
      <c r="Z558" t="s">
        <v>3363</v>
      </c>
      <c r="AA558" t="s">
        <v>793</v>
      </c>
      <c r="AB558" t="s">
        <v>794</v>
      </c>
      <c r="AC558" t="s">
        <v>713</v>
      </c>
      <c r="AD558" t="s">
        <v>236</v>
      </c>
      <c r="AE558" t="s">
        <v>3297</v>
      </c>
      <c r="AH558" t="s">
        <v>832</v>
      </c>
      <c r="AI558" t="s">
        <v>1863</v>
      </c>
    </row>
    <row r="559" spans="1:35">
      <c r="A559">
        <v>557</v>
      </c>
      <c r="B559" t="s">
        <v>3364</v>
      </c>
      <c r="C559">
        <v>1049</v>
      </c>
      <c r="D559" t="s">
        <v>1841</v>
      </c>
      <c r="E559" t="s">
        <v>3292</v>
      </c>
      <c r="F559" t="s">
        <v>3291</v>
      </c>
      <c r="G559" t="s">
        <v>459</v>
      </c>
      <c r="H559" t="s">
        <v>3291</v>
      </c>
      <c r="I559" t="s">
        <v>3354</v>
      </c>
      <c r="N559" t="s">
        <v>938</v>
      </c>
      <c r="S559" t="s">
        <v>788</v>
      </c>
      <c r="T559" t="s">
        <v>3365</v>
      </c>
      <c r="U559" t="s">
        <v>3366</v>
      </c>
      <c r="V559" t="s">
        <v>790</v>
      </c>
      <c r="W559">
        <v>36511</v>
      </c>
      <c r="X559">
        <v>26</v>
      </c>
      <c r="Y559" t="s">
        <v>3367</v>
      </c>
      <c r="Z559" t="s">
        <v>3368</v>
      </c>
      <c r="AA559" t="s">
        <v>793</v>
      </c>
      <c r="AB559" t="s">
        <v>794</v>
      </c>
      <c r="AC559" t="s">
        <v>236</v>
      </c>
      <c r="AD559" t="s">
        <v>236</v>
      </c>
      <c r="AE559" t="s">
        <v>3369</v>
      </c>
      <c r="AH559" t="s">
        <v>1535</v>
      </c>
      <c r="AI559" t="s">
        <v>1863</v>
      </c>
    </row>
    <row r="560" spans="1:35">
      <c r="A560">
        <v>558</v>
      </c>
      <c r="B560" t="s">
        <v>3370</v>
      </c>
      <c r="C560">
        <v>1051</v>
      </c>
      <c r="D560" t="s">
        <v>1310</v>
      </c>
      <c r="E560" t="s">
        <v>3292</v>
      </c>
      <c r="F560" t="s">
        <v>3291</v>
      </c>
      <c r="G560" t="s">
        <v>459</v>
      </c>
      <c r="H560" t="s">
        <v>3291</v>
      </c>
      <c r="I560" t="s">
        <v>3354</v>
      </c>
      <c r="N560" t="s">
        <v>938</v>
      </c>
      <c r="S560" t="s">
        <v>788</v>
      </c>
      <c r="T560" t="s">
        <v>3371</v>
      </c>
      <c r="U560" t="s">
        <v>3372</v>
      </c>
      <c r="V560" t="s">
        <v>790</v>
      </c>
      <c r="W560">
        <v>38845</v>
      </c>
      <c r="X560">
        <v>19</v>
      </c>
      <c r="Y560" t="s">
        <v>3373</v>
      </c>
      <c r="Z560" t="s">
        <v>3374</v>
      </c>
      <c r="AA560" t="s">
        <v>842</v>
      </c>
      <c r="AB560" t="s">
        <v>794</v>
      </c>
      <c r="AC560" t="s">
        <v>236</v>
      </c>
      <c r="AD560" t="s">
        <v>236</v>
      </c>
      <c r="AE560" t="s">
        <v>865</v>
      </c>
      <c r="AH560" t="s">
        <v>903</v>
      </c>
    </row>
    <row r="561" spans="1:35">
      <c r="A561">
        <v>559</v>
      </c>
      <c r="B561" t="s">
        <v>3375</v>
      </c>
      <c r="C561">
        <v>1053</v>
      </c>
      <c r="D561" t="s">
        <v>1310</v>
      </c>
      <c r="E561" t="s">
        <v>3292</v>
      </c>
      <c r="F561" t="s">
        <v>3291</v>
      </c>
      <c r="G561" t="s">
        <v>459</v>
      </c>
      <c r="H561" t="s">
        <v>3291</v>
      </c>
      <c r="I561" t="s">
        <v>3354</v>
      </c>
      <c r="N561" t="s">
        <v>938</v>
      </c>
      <c r="S561" t="s">
        <v>1886</v>
      </c>
      <c r="T561" t="s">
        <v>487</v>
      </c>
      <c r="U561" t="s">
        <v>3376</v>
      </c>
      <c r="V561" t="s">
        <v>876</v>
      </c>
      <c r="W561">
        <v>39773</v>
      </c>
      <c r="X561">
        <v>17</v>
      </c>
      <c r="Y561" t="s">
        <v>3375</v>
      </c>
      <c r="Z561" t="s">
        <v>3377</v>
      </c>
      <c r="AA561" t="s">
        <v>842</v>
      </c>
      <c r="AB561" t="s">
        <v>843</v>
      </c>
      <c r="AC561" t="s">
        <v>236</v>
      </c>
      <c r="AD561" t="s">
        <v>236</v>
      </c>
      <c r="AE561" t="s">
        <v>3378</v>
      </c>
      <c r="AH561" t="s">
        <v>1852</v>
      </c>
    </row>
    <row r="562" spans="1:35">
      <c r="A562">
        <v>560</v>
      </c>
      <c r="B562" t="s">
        <v>3379</v>
      </c>
      <c r="C562">
        <v>1055</v>
      </c>
      <c r="D562" t="s">
        <v>1841</v>
      </c>
      <c r="E562" t="s">
        <v>3292</v>
      </c>
      <c r="F562" t="s">
        <v>3291</v>
      </c>
      <c r="G562" t="s">
        <v>459</v>
      </c>
      <c r="H562" t="s">
        <v>3291</v>
      </c>
      <c r="I562" t="s">
        <v>3354</v>
      </c>
      <c r="N562" t="s">
        <v>938</v>
      </c>
      <c r="S562" t="s">
        <v>788</v>
      </c>
      <c r="T562" t="s">
        <v>3380</v>
      </c>
      <c r="U562" t="s">
        <v>3381</v>
      </c>
      <c r="V562" t="s">
        <v>876</v>
      </c>
      <c r="W562">
        <v>37974</v>
      </c>
      <c r="X562">
        <v>22</v>
      </c>
      <c r="Y562" t="s">
        <v>3382</v>
      </c>
      <c r="AA562" t="s">
        <v>842</v>
      </c>
      <c r="AB562" t="s">
        <v>843</v>
      </c>
      <c r="AC562" t="s">
        <v>236</v>
      </c>
      <c r="AD562" t="s">
        <v>236</v>
      </c>
      <c r="AE562" t="s">
        <v>865</v>
      </c>
      <c r="AG562" t="s">
        <v>3383</v>
      </c>
      <c r="AH562" t="s">
        <v>1535</v>
      </c>
      <c r="AI562" t="s">
        <v>860</v>
      </c>
    </row>
    <row r="563" spans="1:35">
      <c r="A563">
        <v>561</v>
      </c>
      <c r="B563" t="s">
        <v>3384</v>
      </c>
      <c r="C563">
        <v>1057</v>
      </c>
      <c r="D563" t="s">
        <v>1841</v>
      </c>
      <c r="E563" t="s">
        <v>3292</v>
      </c>
      <c r="F563" t="s">
        <v>3291</v>
      </c>
      <c r="G563" t="s">
        <v>459</v>
      </c>
      <c r="H563" t="s">
        <v>3291</v>
      </c>
      <c r="I563" t="s">
        <v>3384</v>
      </c>
      <c r="J563" t="s">
        <v>3385</v>
      </c>
      <c r="N563" t="s">
        <v>978</v>
      </c>
      <c r="P563" t="s">
        <v>49</v>
      </c>
      <c r="Q563" t="s">
        <v>168</v>
      </c>
      <c r="S563" t="s">
        <v>874</v>
      </c>
      <c r="T563" t="s">
        <v>462</v>
      </c>
      <c r="U563" t="s">
        <v>3386</v>
      </c>
      <c r="V563" t="s">
        <v>876</v>
      </c>
      <c r="W563">
        <v>27135</v>
      </c>
      <c r="X563">
        <v>51</v>
      </c>
      <c r="Y563" t="s">
        <v>3387</v>
      </c>
      <c r="Z563" t="s">
        <v>3388</v>
      </c>
      <c r="AA563" t="s">
        <v>802</v>
      </c>
      <c r="AB563" t="s">
        <v>794</v>
      </c>
      <c r="AC563" t="s">
        <v>236</v>
      </c>
      <c r="AD563" t="s">
        <v>236</v>
      </c>
      <c r="AE563" t="s">
        <v>744</v>
      </c>
      <c r="AI563" t="s">
        <v>1863</v>
      </c>
    </row>
    <row r="564" spans="1:35">
      <c r="A564">
        <v>562</v>
      </c>
      <c r="B564" t="s">
        <v>3385</v>
      </c>
      <c r="C564">
        <v>1059</v>
      </c>
      <c r="D564" t="s">
        <v>1841</v>
      </c>
      <c r="E564" t="s">
        <v>3292</v>
      </c>
      <c r="F564" t="s">
        <v>3291</v>
      </c>
      <c r="G564" t="s">
        <v>459</v>
      </c>
      <c r="H564" t="s">
        <v>3291</v>
      </c>
      <c r="I564" t="s">
        <v>3384</v>
      </c>
      <c r="J564" t="s">
        <v>3385</v>
      </c>
      <c r="N564" t="s">
        <v>978</v>
      </c>
      <c r="P564" t="s">
        <v>62</v>
      </c>
      <c r="Q564" t="s">
        <v>62</v>
      </c>
      <c r="S564" t="s">
        <v>874</v>
      </c>
      <c r="T564" t="s">
        <v>3389</v>
      </c>
      <c r="U564" t="s">
        <v>3390</v>
      </c>
      <c r="V564" t="s">
        <v>876</v>
      </c>
      <c r="W564">
        <v>27601</v>
      </c>
      <c r="X564">
        <v>50</v>
      </c>
      <c r="Y564" t="s">
        <v>3391</v>
      </c>
      <c r="Z564" t="s">
        <v>3392</v>
      </c>
      <c r="AA564" t="s">
        <v>842</v>
      </c>
      <c r="AB564" t="s">
        <v>851</v>
      </c>
      <c r="AC564" t="s">
        <v>236</v>
      </c>
      <c r="AD564" t="s">
        <v>236</v>
      </c>
      <c r="AE564" t="s">
        <v>3315</v>
      </c>
      <c r="AH564" t="s">
        <v>903</v>
      </c>
      <c r="AI564" t="s">
        <v>1863</v>
      </c>
    </row>
    <row r="565" spans="1:35">
      <c r="A565">
        <v>563</v>
      </c>
      <c r="B565" t="s">
        <v>3393</v>
      </c>
      <c r="C565">
        <v>1061</v>
      </c>
      <c r="D565" t="s">
        <v>1841</v>
      </c>
      <c r="E565" t="s">
        <v>3292</v>
      </c>
      <c r="F565" t="s">
        <v>3291</v>
      </c>
      <c r="G565" t="s">
        <v>459</v>
      </c>
      <c r="H565" t="s">
        <v>3291</v>
      </c>
      <c r="I565" t="s">
        <v>3384</v>
      </c>
      <c r="J565" t="s">
        <v>3385</v>
      </c>
      <c r="N565" t="s">
        <v>978</v>
      </c>
      <c r="S565" t="s">
        <v>874</v>
      </c>
      <c r="T565" t="s">
        <v>3394</v>
      </c>
      <c r="U565" t="s">
        <v>3395</v>
      </c>
      <c r="V565" t="s">
        <v>876</v>
      </c>
      <c r="W565">
        <v>26677</v>
      </c>
      <c r="X565">
        <v>53</v>
      </c>
      <c r="Y565" t="s">
        <v>3396</v>
      </c>
      <c r="Z565" t="s">
        <v>3397</v>
      </c>
      <c r="AA565" t="s">
        <v>842</v>
      </c>
      <c r="AB565" t="s">
        <v>851</v>
      </c>
      <c r="AC565" t="s">
        <v>236</v>
      </c>
      <c r="AD565" t="s">
        <v>236</v>
      </c>
      <c r="AE565" t="s">
        <v>3398</v>
      </c>
      <c r="AH565" t="s">
        <v>903</v>
      </c>
      <c r="AI565" t="s">
        <v>1863</v>
      </c>
    </row>
    <row r="566" spans="1:35">
      <c r="A566">
        <v>564</v>
      </c>
      <c r="B566" t="s">
        <v>3399</v>
      </c>
      <c r="C566">
        <v>1063</v>
      </c>
      <c r="D566" t="s">
        <v>1841</v>
      </c>
      <c r="E566" t="s">
        <v>3292</v>
      </c>
      <c r="F566" t="s">
        <v>3291</v>
      </c>
      <c r="G566" t="s">
        <v>459</v>
      </c>
      <c r="H566" t="s">
        <v>3291</v>
      </c>
      <c r="I566" t="s">
        <v>3384</v>
      </c>
      <c r="J566" t="s">
        <v>3385</v>
      </c>
      <c r="N566" t="s">
        <v>978</v>
      </c>
      <c r="S566" t="s">
        <v>874</v>
      </c>
      <c r="T566" t="s">
        <v>3400</v>
      </c>
      <c r="U566" t="s">
        <v>3401</v>
      </c>
      <c r="V566" t="s">
        <v>876</v>
      </c>
      <c r="W566">
        <v>28550</v>
      </c>
      <c r="X566">
        <v>47</v>
      </c>
      <c r="Y566" t="s">
        <v>3402</v>
      </c>
      <c r="Z566" t="s">
        <v>3403</v>
      </c>
      <c r="AA566" t="s">
        <v>842</v>
      </c>
      <c r="AB566" t="s">
        <v>843</v>
      </c>
      <c r="AC566" t="s">
        <v>236</v>
      </c>
      <c r="AD566" t="s">
        <v>236</v>
      </c>
      <c r="AE566" t="s">
        <v>865</v>
      </c>
      <c r="AH566" t="s">
        <v>903</v>
      </c>
      <c r="AI566" t="s">
        <v>1863</v>
      </c>
    </row>
    <row r="567" spans="1:35">
      <c r="A567">
        <v>565</v>
      </c>
      <c r="B567" t="s">
        <v>3404</v>
      </c>
      <c r="C567">
        <v>1065</v>
      </c>
      <c r="D567" t="s">
        <v>1841</v>
      </c>
      <c r="E567" t="s">
        <v>3292</v>
      </c>
      <c r="F567" t="s">
        <v>3291</v>
      </c>
      <c r="G567" t="s">
        <v>459</v>
      </c>
      <c r="H567" t="s">
        <v>3291</v>
      </c>
      <c r="I567" t="s">
        <v>3384</v>
      </c>
      <c r="J567" t="s">
        <v>3385</v>
      </c>
      <c r="N567" t="s">
        <v>978</v>
      </c>
      <c r="S567" t="s">
        <v>874</v>
      </c>
      <c r="T567" t="s">
        <v>3405</v>
      </c>
      <c r="U567" t="s">
        <v>3406</v>
      </c>
      <c r="V567" t="s">
        <v>876</v>
      </c>
      <c r="W567">
        <v>29149</v>
      </c>
      <c r="X567">
        <v>46</v>
      </c>
      <c r="Y567" t="s">
        <v>3407</v>
      </c>
      <c r="Z567" t="s">
        <v>3408</v>
      </c>
      <c r="AA567" t="s">
        <v>842</v>
      </c>
      <c r="AB567" t="s">
        <v>851</v>
      </c>
      <c r="AC567" t="s">
        <v>236</v>
      </c>
      <c r="AD567" t="s">
        <v>236</v>
      </c>
      <c r="AE567" t="s">
        <v>3409</v>
      </c>
      <c r="AH567" t="s">
        <v>903</v>
      </c>
      <c r="AI567" t="s">
        <v>1863</v>
      </c>
    </row>
    <row r="568" spans="1:35">
      <c r="A568">
        <v>566</v>
      </c>
      <c r="B568" t="s">
        <v>3410</v>
      </c>
      <c r="C568">
        <v>1067</v>
      </c>
      <c r="D568" t="s">
        <v>1841</v>
      </c>
      <c r="E568" t="s">
        <v>3292</v>
      </c>
      <c r="F568" t="s">
        <v>3291</v>
      </c>
      <c r="G568" t="s">
        <v>459</v>
      </c>
      <c r="H568" t="s">
        <v>3291</v>
      </c>
      <c r="I568" t="s">
        <v>3384</v>
      </c>
      <c r="J568" t="s">
        <v>3385</v>
      </c>
      <c r="N568" t="s">
        <v>978</v>
      </c>
      <c r="S568" t="s">
        <v>874</v>
      </c>
      <c r="T568" t="s">
        <v>3411</v>
      </c>
      <c r="U568" t="s">
        <v>3412</v>
      </c>
      <c r="V568" t="s">
        <v>876</v>
      </c>
      <c r="W568">
        <v>29930</v>
      </c>
      <c r="X568">
        <v>44</v>
      </c>
      <c r="Y568" t="s">
        <v>3413</v>
      </c>
      <c r="Z568" t="s">
        <v>3414</v>
      </c>
      <c r="AA568" t="s">
        <v>842</v>
      </c>
      <c r="AB568" t="s">
        <v>843</v>
      </c>
      <c r="AC568" t="s">
        <v>236</v>
      </c>
      <c r="AD568" t="s">
        <v>236</v>
      </c>
      <c r="AE568" t="s">
        <v>3415</v>
      </c>
      <c r="AH568" t="s">
        <v>903</v>
      </c>
      <c r="AI568" t="s">
        <v>1863</v>
      </c>
    </row>
    <row r="569" spans="1:35">
      <c r="A569">
        <v>567</v>
      </c>
      <c r="B569" t="s">
        <v>3416</v>
      </c>
      <c r="C569">
        <v>1069</v>
      </c>
      <c r="D569" t="s">
        <v>1841</v>
      </c>
      <c r="E569" t="s">
        <v>3292</v>
      </c>
      <c r="F569" t="s">
        <v>3291</v>
      </c>
      <c r="G569" t="s">
        <v>459</v>
      </c>
      <c r="H569" t="s">
        <v>3291</v>
      </c>
      <c r="I569" t="s">
        <v>3384</v>
      </c>
      <c r="J569" t="s">
        <v>3385</v>
      </c>
      <c r="N569" t="s">
        <v>978</v>
      </c>
      <c r="S569" t="s">
        <v>874</v>
      </c>
      <c r="T569" t="s">
        <v>3417</v>
      </c>
      <c r="U569" t="s">
        <v>3418</v>
      </c>
      <c r="V569" t="s">
        <v>876</v>
      </c>
      <c r="W569">
        <v>26318</v>
      </c>
      <c r="X569">
        <v>54</v>
      </c>
      <c r="Y569" t="s">
        <v>3419</v>
      </c>
      <c r="AA569" t="s">
        <v>842</v>
      </c>
      <c r="AB569" t="s">
        <v>843</v>
      </c>
      <c r="AC569" t="s">
        <v>236</v>
      </c>
      <c r="AD569" t="s">
        <v>236</v>
      </c>
      <c r="AE569" t="s">
        <v>744</v>
      </c>
      <c r="AG569" t="s">
        <v>3316</v>
      </c>
      <c r="AH569" t="s">
        <v>903</v>
      </c>
      <c r="AI569" t="s">
        <v>860</v>
      </c>
    </row>
    <row r="570" spans="1:35">
      <c r="A570">
        <v>568</v>
      </c>
      <c r="B570" t="s">
        <v>3420</v>
      </c>
      <c r="C570">
        <v>1071</v>
      </c>
      <c r="D570" t="s">
        <v>1841</v>
      </c>
      <c r="E570" t="s">
        <v>3292</v>
      </c>
      <c r="F570" t="s">
        <v>3291</v>
      </c>
      <c r="G570" t="s">
        <v>459</v>
      </c>
      <c r="H570" t="s">
        <v>3291</v>
      </c>
      <c r="I570" t="s">
        <v>3384</v>
      </c>
      <c r="J570" t="s">
        <v>3385</v>
      </c>
      <c r="N570" t="s">
        <v>978</v>
      </c>
      <c r="S570" t="s">
        <v>874</v>
      </c>
      <c r="T570" t="s">
        <v>3421</v>
      </c>
      <c r="U570" t="s">
        <v>3422</v>
      </c>
      <c r="V570" t="s">
        <v>876</v>
      </c>
      <c r="W570">
        <v>28655</v>
      </c>
      <c r="X570">
        <v>47</v>
      </c>
      <c r="Y570" t="s">
        <v>3423</v>
      </c>
      <c r="AA570" t="s">
        <v>842</v>
      </c>
      <c r="AB570" t="s">
        <v>843</v>
      </c>
      <c r="AC570" t="s">
        <v>3424</v>
      </c>
      <c r="AD570" t="s">
        <v>713</v>
      </c>
      <c r="AE570" t="s">
        <v>3425</v>
      </c>
      <c r="AG570" t="s">
        <v>1827</v>
      </c>
      <c r="AH570" t="s">
        <v>903</v>
      </c>
      <c r="AI570" t="s">
        <v>1805</v>
      </c>
    </row>
    <row r="571" spans="1:35">
      <c r="A571">
        <v>569</v>
      </c>
      <c r="B571" t="s">
        <v>3426</v>
      </c>
      <c r="C571">
        <v>1073</v>
      </c>
      <c r="D571" t="s">
        <v>1822</v>
      </c>
      <c r="E571" t="s">
        <v>3292</v>
      </c>
      <c r="F571" t="s">
        <v>3291</v>
      </c>
      <c r="G571" t="s">
        <v>459</v>
      </c>
      <c r="H571" t="s">
        <v>3291</v>
      </c>
      <c r="I571" t="s">
        <v>3426</v>
      </c>
      <c r="J571" t="s">
        <v>3427</v>
      </c>
      <c r="N571" t="s">
        <v>1011</v>
      </c>
      <c r="P571" t="s">
        <v>49</v>
      </c>
      <c r="Q571" t="s">
        <v>168</v>
      </c>
      <c r="S571" t="s">
        <v>874</v>
      </c>
      <c r="T571" t="s">
        <v>3428</v>
      </c>
      <c r="U571" t="s">
        <v>3429</v>
      </c>
      <c r="V571" t="s">
        <v>876</v>
      </c>
      <c r="W571">
        <v>25388</v>
      </c>
      <c r="X571">
        <v>56</v>
      </c>
      <c r="Y571" t="s">
        <v>3430</v>
      </c>
      <c r="Z571" t="s">
        <v>3431</v>
      </c>
      <c r="AA571" t="s">
        <v>842</v>
      </c>
      <c r="AB571" t="s">
        <v>851</v>
      </c>
      <c r="AC571" t="s">
        <v>809</v>
      </c>
      <c r="AD571" t="s">
        <v>809</v>
      </c>
      <c r="AE571" t="s">
        <v>2085</v>
      </c>
      <c r="AH571" t="s">
        <v>903</v>
      </c>
      <c r="AI571" t="s">
        <v>1863</v>
      </c>
    </row>
    <row r="572" spans="1:35">
      <c r="A572">
        <v>570</v>
      </c>
      <c r="B572" t="s">
        <v>3427</v>
      </c>
      <c r="C572">
        <v>1075</v>
      </c>
      <c r="D572" t="s">
        <v>1822</v>
      </c>
      <c r="E572" t="s">
        <v>3292</v>
      </c>
      <c r="F572" t="s">
        <v>3291</v>
      </c>
      <c r="G572" t="s">
        <v>459</v>
      </c>
      <c r="H572" t="s">
        <v>3291</v>
      </c>
      <c r="I572" t="s">
        <v>3426</v>
      </c>
      <c r="J572" t="s">
        <v>3427</v>
      </c>
      <c r="N572" t="s">
        <v>1011</v>
      </c>
      <c r="P572" t="s">
        <v>62</v>
      </c>
      <c r="Q572" t="s">
        <v>62</v>
      </c>
      <c r="S572" t="s">
        <v>874</v>
      </c>
      <c r="T572" t="s">
        <v>3432</v>
      </c>
      <c r="U572" t="s">
        <v>3433</v>
      </c>
      <c r="V572" t="s">
        <v>876</v>
      </c>
      <c r="W572">
        <v>27470</v>
      </c>
      <c r="X572">
        <v>50</v>
      </c>
      <c r="Y572" t="s">
        <v>3434</v>
      </c>
      <c r="Z572" t="s">
        <v>3435</v>
      </c>
      <c r="AA572" t="s">
        <v>842</v>
      </c>
      <c r="AB572" t="s">
        <v>851</v>
      </c>
      <c r="AC572" t="s">
        <v>942</v>
      </c>
      <c r="AD572" t="s">
        <v>942</v>
      </c>
      <c r="AE572" t="s">
        <v>2179</v>
      </c>
      <c r="AH572" t="s">
        <v>903</v>
      </c>
      <c r="AI572" t="s">
        <v>1863</v>
      </c>
    </row>
    <row r="573" spans="1:35">
      <c r="A573">
        <v>571</v>
      </c>
      <c r="B573" t="s">
        <v>3436</v>
      </c>
      <c r="C573">
        <v>1077</v>
      </c>
      <c r="D573" t="s">
        <v>981</v>
      </c>
      <c r="E573" t="s">
        <v>3292</v>
      </c>
      <c r="F573" t="s">
        <v>3291</v>
      </c>
      <c r="G573" t="s">
        <v>459</v>
      </c>
      <c r="H573" t="s">
        <v>3291</v>
      </c>
      <c r="I573" t="s">
        <v>3426</v>
      </c>
      <c r="J573" t="s">
        <v>3427</v>
      </c>
      <c r="N573" t="s">
        <v>1011</v>
      </c>
      <c r="S573" t="s">
        <v>874</v>
      </c>
      <c r="T573" t="s">
        <v>3437</v>
      </c>
      <c r="U573" t="s">
        <v>3438</v>
      </c>
      <c r="V573" t="s">
        <v>876</v>
      </c>
      <c r="W573">
        <v>24892</v>
      </c>
      <c r="X573">
        <v>57</v>
      </c>
      <c r="Y573" t="s">
        <v>3439</v>
      </c>
      <c r="Z573" t="s">
        <v>3440</v>
      </c>
      <c r="AA573" t="s">
        <v>842</v>
      </c>
      <c r="AB573" t="s">
        <v>843</v>
      </c>
      <c r="AC573" t="s">
        <v>815</v>
      </c>
      <c r="AD573" t="s">
        <v>815</v>
      </c>
      <c r="AE573" t="s">
        <v>2525</v>
      </c>
      <c r="AH573" t="s">
        <v>903</v>
      </c>
    </row>
    <row r="574" spans="1:35">
      <c r="A574">
        <v>572</v>
      </c>
      <c r="B574" t="s">
        <v>3441</v>
      </c>
      <c r="C574">
        <v>1079</v>
      </c>
      <c r="D574" t="s">
        <v>981</v>
      </c>
      <c r="E574" t="s">
        <v>3292</v>
      </c>
      <c r="F574" t="s">
        <v>3291</v>
      </c>
      <c r="G574" t="s">
        <v>459</v>
      </c>
      <c r="H574" t="s">
        <v>3291</v>
      </c>
      <c r="I574" t="s">
        <v>3426</v>
      </c>
      <c r="J574" t="s">
        <v>3427</v>
      </c>
      <c r="N574" t="s">
        <v>1011</v>
      </c>
      <c r="S574" t="s">
        <v>874</v>
      </c>
      <c r="T574" t="s">
        <v>3442</v>
      </c>
      <c r="U574" t="s">
        <v>3443</v>
      </c>
      <c r="V574" t="s">
        <v>876</v>
      </c>
      <c r="W574">
        <v>26163</v>
      </c>
      <c r="X574">
        <v>54</v>
      </c>
      <c r="Y574" t="s">
        <v>3444</v>
      </c>
      <c r="AA574" t="s">
        <v>842</v>
      </c>
      <c r="AB574" t="s">
        <v>843</v>
      </c>
      <c r="AC574" t="s">
        <v>815</v>
      </c>
      <c r="AD574" t="s">
        <v>815</v>
      </c>
      <c r="AE574" t="s">
        <v>2496</v>
      </c>
      <c r="AH574" t="s">
        <v>903</v>
      </c>
    </row>
    <row r="575" spans="1:35">
      <c r="A575">
        <v>573</v>
      </c>
      <c r="B575" t="s">
        <v>3445</v>
      </c>
      <c r="C575">
        <v>1081</v>
      </c>
      <c r="D575" t="s">
        <v>981</v>
      </c>
      <c r="E575" t="s">
        <v>3292</v>
      </c>
      <c r="F575" t="s">
        <v>3291</v>
      </c>
      <c r="G575" t="s">
        <v>459</v>
      </c>
      <c r="H575" t="s">
        <v>3291</v>
      </c>
      <c r="I575" t="s">
        <v>3426</v>
      </c>
      <c r="J575" t="s">
        <v>3427</v>
      </c>
      <c r="N575" t="s">
        <v>1011</v>
      </c>
      <c r="S575" t="s">
        <v>874</v>
      </c>
      <c r="T575" t="s">
        <v>3446</v>
      </c>
      <c r="U575" t="s">
        <v>3447</v>
      </c>
      <c r="V575" t="s">
        <v>876</v>
      </c>
      <c r="W575">
        <v>29041</v>
      </c>
      <c r="X575">
        <v>46</v>
      </c>
      <c r="Y575" t="s">
        <v>3448</v>
      </c>
      <c r="Z575" t="s">
        <v>3449</v>
      </c>
      <c r="AA575" t="s">
        <v>842</v>
      </c>
      <c r="AB575" t="s">
        <v>851</v>
      </c>
      <c r="AC575" t="s">
        <v>815</v>
      </c>
      <c r="AD575" t="s">
        <v>2624</v>
      </c>
      <c r="AE575" t="s">
        <v>2625</v>
      </c>
      <c r="AH575" t="s">
        <v>903</v>
      </c>
    </row>
    <row r="576" spans="1:35">
      <c r="A576">
        <v>574</v>
      </c>
      <c r="B576" t="s">
        <v>3450</v>
      </c>
      <c r="C576">
        <v>1083</v>
      </c>
      <c r="D576" t="s">
        <v>1841</v>
      </c>
      <c r="E576" t="s">
        <v>3451</v>
      </c>
      <c r="F576" t="s">
        <v>3291</v>
      </c>
      <c r="G576" t="s">
        <v>3324</v>
      </c>
      <c r="H576" t="s">
        <v>3450</v>
      </c>
      <c r="I576" t="s">
        <v>3450</v>
      </c>
      <c r="N576" t="s">
        <v>787</v>
      </c>
      <c r="P576" t="s">
        <v>163</v>
      </c>
      <c r="Q576" t="s">
        <v>500</v>
      </c>
      <c r="R576" t="s">
        <v>49</v>
      </c>
      <c r="S576" t="s">
        <v>874</v>
      </c>
      <c r="T576" t="s">
        <v>3324</v>
      </c>
      <c r="U576" t="s">
        <v>3452</v>
      </c>
      <c r="V576" t="s">
        <v>876</v>
      </c>
      <c r="W576">
        <v>27947</v>
      </c>
      <c r="X576">
        <v>49</v>
      </c>
      <c r="Y576" t="s">
        <v>2926</v>
      </c>
      <c r="Z576" t="s">
        <v>3453</v>
      </c>
      <c r="AA576" t="s">
        <v>802</v>
      </c>
      <c r="AB576" t="s">
        <v>794</v>
      </c>
      <c r="AC576" t="s">
        <v>236</v>
      </c>
      <c r="AD576" t="s">
        <v>236</v>
      </c>
      <c r="AE576" t="s">
        <v>3297</v>
      </c>
      <c r="AI576" t="s">
        <v>1863</v>
      </c>
    </row>
    <row r="577" spans="1:35">
      <c r="A577">
        <v>575</v>
      </c>
      <c r="B577" t="s">
        <v>3454</v>
      </c>
      <c r="C577">
        <v>1085</v>
      </c>
      <c r="D577" t="s">
        <v>1841</v>
      </c>
      <c r="E577" t="s">
        <v>3451</v>
      </c>
      <c r="F577" t="s">
        <v>3291</v>
      </c>
      <c r="G577" t="s">
        <v>3324</v>
      </c>
      <c r="H577" t="s">
        <v>3450</v>
      </c>
      <c r="I577" t="s">
        <v>3450</v>
      </c>
      <c r="N577" t="s">
        <v>787</v>
      </c>
      <c r="S577" t="s">
        <v>874</v>
      </c>
      <c r="T577" t="s">
        <v>513</v>
      </c>
      <c r="U577" t="s">
        <v>3455</v>
      </c>
      <c r="V577" t="s">
        <v>876</v>
      </c>
      <c r="W577">
        <v>31368</v>
      </c>
      <c r="X577">
        <v>40</v>
      </c>
      <c r="Y577" t="s">
        <v>3456</v>
      </c>
      <c r="Z577" t="s">
        <v>3457</v>
      </c>
      <c r="AA577" t="s">
        <v>842</v>
      </c>
      <c r="AB577" t="s">
        <v>843</v>
      </c>
      <c r="AC577" t="s">
        <v>236</v>
      </c>
      <c r="AD577" t="s">
        <v>236</v>
      </c>
      <c r="AE577" t="s">
        <v>3409</v>
      </c>
      <c r="AH577" t="s">
        <v>976</v>
      </c>
      <c r="AI577" t="s">
        <v>1863</v>
      </c>
    </row>
    <row r="578" spans="1:35">
      <c r="A578">
        <v>576</v>
      </c>
      <c r="B578" t="s">
        <v>3458</v>
      </c>
      <c r="C578">
        <v>1087</v>
      </c>
      <c r="D578" t="s">
        <v>1841</v>
      </c>
      <c r="E578" t="s">
        <v>3451</v>
      </c>
      <c r="F578" t="s">
        <v>3291</v>
      </c>
      <c r="G578" t="s">
        <v>3324</v>
      </c>
      <c r="H578" t="s">
        <v>3450</v>
      </c>
      <c r="I578" t="s">
        <v>3450</v>
      </c>
      <c r="N578" t="s">
        <v>787</v>
      </c>
      <c r="S578" t="s">
        <v>874</v>
      </c>
      <c r="T578" t="s">
        <v>3459</v>
      </c>
      <c r="U578" t="s">
        <v>3460</v>
      </c>
      <c r="V578" t="s">
        <v>876</v>
      </c>
      <c r="W578">
        <v>32528</v>
      </c>
      <c r="X578">
        <v>37</v>
      </c>
      <c r="Y578" t="s">
        <v>3461</v>
      </c>
      <c r="Z578" t="s">
        <v>3462</v>
      </c>
      <c r="AA578" t="s">
        <v>842</v>
      </c>
      <c r="AB578" t="s">
        <v>843</v>
      </c>
      <c r="AC578" t="s">
        <v>236</v>
      </c>
      <c r="AD578" t="s">
        <v>236</v>
      </c>
      <c r="AE578" t="s">
        <v>3463</v>
      </c>
      <c r="AH578" t="s">
        <v>976</v>
      </c>
      <c r="AI578" t="s">
        <v>1863</v>
      </c>
    </row>
    <row r="579" spans="1:35">
      <c r="A579">
        <v>577</v>
      </c>
      <c r="B579" t="s">
        <v>3464</v>
      </c>
      <c r="C579">
        <v>1089</v>
      </c>
      <c r="D579" t="s">
        <v>1841</v>
      </c>
      <c r="E579" t="s">
        <v>3451</v>
      </c>
      <c r="F579" t="s">
        <v>3291</v>
      </c>
      <c r="G579" t="s">
        <v>3324</v>
      </c>
      <c r="H579" t="s">
        <v>3450</v>
      </c>
      <c r="I579" t="s">
        <v>3450</v>
      </c>
      <c r="N579" t="s">
        <v>787</v>
      </c>
      <c r="S579" t="s">
        <v>874</v>
      </c>
      <c r="T579" t="s">
        <v>529</v>
      </c>
      <c r="U579" t="s">
        <v>3465</v>
      </c>
      <c r="V579" t="s">
        <v>876</v>
      </c>
      <c r="W579">
        <v>33412</v>
      </c>
      <c r="X579">
        <v>34</v>
      </c>
      <c r="Y579" t="s">
        <v>3466</v>
      </c>
      <c r="Z579" t="s">
        <v>3467</v>
      </c>
      <c r="AA579" t="s">
        <v>842</v>
      </c>
      <c r="AB579" t="s">
        <v>843</v>
      </c>
      <c r="AC579" t="s">
        <v>236</v>
      </c>
      <c r="AD579" t="s">
        <v>236</v>
      </c>
      <c r="AE579" t="s">
        <v>3409</v>
      </c>
      <c r="AH579" t="s">
        <v>976</v>
      </c>
      <c r="AI579" t="s">
        <v>1863</v>
      </c>
    </row>
    <row r="580" spans="1:35">
      <c r="A580">
        <v>578</v>
      </c>
      <c r="B580" t="s">
        <v>3468</v>
      </c>
      <c r="C580">
        <v>1091</v>
      </c>
      <c r="D580" t="s">
        <v>1841</v>
      </c>
      <c r="E580" t="s">
        <v>3451</v>
      </c>
      <c r="F580" t="s">
        <v>3291</v>
      </c>
      <c r="G580" t="s">
        <v>3324</v>
      </c>
      <c r="H580" t="s">
        <v>3450</v>
      </c>
      <c r="I580" t="s">
        <v>3450</v>
      </c>
      <c r="N580" t="s">
        <v>787</v>
      </c>
      <c r="S580" t="s">
        <v>874</v>
      </c>
      <c r="T580" t="s">
        <v>536</v>
      </c>
      <c r="U580" t="s">
        <v>3469</v>
      </c>
      <c r="V580" t="s">
        <v>876</v>
      </c>
      <c r="W580">
        <v>32543</v>
      </c>
      <c r="X580">
        <v>36</v>
      </c>
      <c r="Y580" t="s">
        <v>3470</v>
      </c>
      <c r="AA580" t="s">
        <v>842</v>
      </c>
      <c r="AB580" t="s">
        <v>843</v>
      </c>
      <c r="AC580" t="s">
        <v>942</v>
      </c>
      <c r="AD580" t="s">
        <v>942</v>
      </c>
      <c r="AE580" t="s">
        <v>3471</v>
      </c>
      <c r="AH580" t="s">
        <v>976</v>
      </c>
      <c r="AI580" t="s">
        <v>1863</v>
      </c>
    </row>
    <row r="581" spans="1:35">
      <c r="A581">
        <v>579</v>
      </c>
      <c r="B581" t="s">
        <v>3472</v>
      </c>
      <c r="C581">
        <v>1093</v>
      </c>
      <c r="D581" t="s">
        <v>811</v>
      </c>
      <c r="E581" t="s">
        <v>3451</v>
      </c>
      <c r="F581" t="s">
        <v>3291</v>
      </c>
      <c r="G581" t="s">
        <v>3324</v>
      </c>
      <c r="H581" t="s">
        <v>3450</v>
      </c>
      <c r="I581" t="s">
        <v>3450</v>
      </c>
      <c r="N581" t="s">
        <v>787</v>
      </c>
      <c r="O581" t="s">
        <v>308</v>
      </c>
      <c r="S581" t="s">
        <v>874</v>
      </c>
      <c r="T581" t="s">
        <v>3473</v>
      </c>
      <c r="U581" t="s">
        <v>3474</v>
      </c>
      <c r="V581" t="s">
        <v>876</v>
      </c>
      <c r="W581">
        <v>32597</v>
      </c>
      <c r="X581">
        <v>36</v>
      </c>
      <c r="Y581" t="s">
        <v>3475</v>
      </c>
      <c r="AA581" t="s">
        <v>842</v>
      </c>
      <c r="AB581" t="s">
        <v>843</v>
      </c>
      <c r="AC581" t="s">
        <v>942</v>
      </c>
      <c r="AD581" t="s">
        <v>942</v>
      </c>
      <c r="AE581" t="s">
        <v>2179</v>
      </c>
      <c r="AH581" t="s">
        <v>1438</v>
      </c>
    </row>
    <row r="582" spans="1:35">
      <c r="A582">
        <v>580</v>
      </c>
      <c r="B582" t="s">
        <v>3476</v>
      </c>
      <c r="C582">
        <v>1095</v>
      </c>
      <c r="D582" t="s">
        <v>1001</v>
      </c>
      <c r="E582" t="s">
        <v>3451</v>
      </c>
      <c r="F582" t="s">
        <v>3291</v>
      </c>
      <c r="G582" t="s">
        <v>3324</v>
      </c>
      <c r="H582" t="s">
        <v>3450</v>
      </c>
      <c r="I582" t="s">
        <v>3450</v>
      </c>
      <c r="N582" t="s">
        <v>787</v>
      </c>
      <c r="O582" t="s">
        <v>308</v>
      </c>
      <c r="S582" t="s">
        <v>874</v>
      </c>
      <c r="T582" t="s">
        <v>3477</v>
      </c>
      <c r="U582" t="s">
        <v>3478</v>
      </c>
      <c r="V582" t="s">
        <v>876</v>
      </c>
      <c r="Z582" t="s">
        <v>3479</v>
      </c>
      <c r="AA582" t="s">
        <v>842</v>
      </c>
      <c r="AB582" t="s">
        <v>843</v>
      </c>
      <c r="AH582" t="s">
        <v>1224</v>
      </c>
    </row>
    <row r="583" spans="1:35">
      <c r="A583">
        <v>581</v>
      </c>
      <c r="B583" t="s">
        <v>2910</v>
      </c>
      <c r="C583">
        <v>1096</v>
      </c>
      <c r="E583" t="s">
        <v>3451</v>
      </c>
      <c r="F583" t="s">
        <v>3291</v>
      </c>
      <c r="G583" t="s">
        <v>3324</v>
      </c>
      <c r="H583" t="s">
        <v>3450</v>
      </c>
      <c r="I583" t="s">
        <v>2910</v>
      </c>
      <c r="N583" t="s">
        <v>828</v>
      </c>
      <c r="P583" t="s">
        <v>49</v>
      </c>
      <c r="Q583" t="s">
        <v>49</v>
      </c>
      <c r="T583" t="s">
        <v>473</v>
      </c>
      <c r="U583" t="s">
        <v>2911</v>
      </c>
      <c r="V583" t="s">
        <v>876</v>
      </c>
      <c r="W583">
        <v>22938</v>
      </c>
      <c r="X583">
        <v>63</v>
      </c>
      <c r="Y583" t="s">
        <v>2912</v>
      </c>
      <c r="AA583" t="s">
        <v>802</v>
      </c>
      <c r="AB583" t="s">
        <v>794</v>
      </c>
      <c r="AC583" t="s">
        <v>236</v>
      </c>
      <c r="AD583" t="s">
        <v>236</v>
      </c>
      <c r="AE583" t="s">
        <v>865</v>
      </c>
      <c r="AF583" t="s">
        <v>872</v>
      </c>
    </row>
    <row r="584" spans="1:35">
      <c r="A584">
        <v>582</v>
      </c>
      <c r="B584" t="s">
        <v>3480</v>
      </c>
      <c r="C584">
        <v>1098</v>
      </c>
      <c r="D584" t="s">
        <v>1841</v>
      </c>
      <c r="E584" t="s">
        <v>3451</v>
      </c>
      <c r="F584" t="s">
        <v>3291</v>
      </c>
      <c r="G584" t="s">
        <v>3324</v>
      </c>
      <c r="H584" t="s">
        <v>3450</v>
      </c>
      <c r="I584" t="s">
        <v>2910</v>
      </c>
      <c r="N584" t="s">
        <v>828</v>
      </c>
      <c r="S584" t="s">
        <v>874</v>
      </c>
      <c r="T584" t="s">
        <v>514</v>
      </c>
      <c r="U584" t="s">
        <v>3481</v>
      </c>
      <c r="V584" t="s">
        <v>876</v>
      </c>
      <c r="W584">
        <v>20551</v>
      </c>
      <c r="X584">
        <v>69</v>
      </c>
      <c r="Y584" t="s">
        <v>3482</v>
      </c>
      <c r="AA584" t="s">
        <v>842</v>
      </c>
      <c r="AB584" t="s">
        <v>843</v>
      </c>
      <c r="AC584" t="s">
        <v>236</v>
      </c>
      <c r="AD584" t="s">
        <v>236</v>
      </c>
      <c r="AE584" t="s">
        <v>3409</v>
      </c>
      <c r="AH584" t="s">
        <v>976</v>
      </c>
      <c r="AI584" t="s">
        <v>1863</v>
      </c>
    </row>
    <row r="585" spans="1:35">
      <c r="A585">
        <v>583</v>
      </c>
      <c r="B585" t="s">
        <v>3483</v>
      </c>
      <c r="C585">
        <v>1100</v>
      </c>
      <c r="D585" t="s">
        <v>1841</v>
      </c>
      <c r="E585" t="s">
        <v>3451</v>
      </c>
      <c r="F585" t="s">
        <v>3291</v>
      </c>
      <c r="G585" t="s">
        <v>3324</v>
      </c>
      <c r="H585" t="s">
        <v>3450</v>
      </c>
      <c r="I585" t="s">
        <v>2910</v>
      </c>
      <c r="N585" t="s">
        <v>828</v>
      </c>
      <c r="S585" t="s">
        <v>874</v>
      </c>
      <c r="T585" t="s">
        <v>522</v>
      </c>
      <c r="U585" t="s">
        <v>3484</v>
      </c>
      <c r="V585" t="s">
        <v>876</v>
      </c>
      <c r="W585">
        <v>21795</v>
      </c>
      <c r="X585">
        <v>66</v>
      </c>
      <c r="Y585" t="s">
        <v>3485</v>
      </c>
      <c r="AA585" t="s">
        <v>842</v>
      </c>
      <c r="AB585" t="s">
        <v>843</v>
      </c>
      <c r="AC585" t="s">
        <v>236</v>
      </c>
      <c r="AD585" t="s">
        <v>236</v>
      </c>
      <c r="AE585" t="s">
        <v>3246</v>
      </c>
      <c r="AH585" t="s">
        <v>976</v>
      </c>
      <c r="AI585" t="s">
        <v>1863</v>
      </c>
    </row>
    <row r="586" spans="1:35">
      <c r="A586">
        <v>584</v>
      </c>
      <c r="B586" t="s">
        <v>3486</v>
      </c>
      <c r="C586">
        <v>1102</v>
      </c>
      <c r="D586" t="s">
        <v>1841</v>
      </c>
      <c r="E586" t="s">
        <v>3451</v>
      </c>
      <c r="F586" t="s">
        <v>3291</v>
      </c>
      <c r="G586" t="s">
        <v>3324</v>
      </c>
      <c r="H586" t="s">
        <v>3450</v>
      </c>
      <c r="I586" t="s">
        <v>2910</v>
      </c>
      <c r="N586" t="s">
        <v>828</v>
      </c>
      <c r="S586" t="s">
        <v>874</v>
      </c>
      <c r="T586" t="s">
        <v>530</v>
      </c>
      <c r="U586" t="s">
        <v>3487</v>
      </c>
      <c r="V586" t="s">
        <v>876</v>
      </c>
      <c r="W586">
        <v>23541</v>
      </c>
      <c r="X586">
        <v>61</v>
      </c>
      <c r="Y586" t="s">
        <v>3488</v>
      </c>
      <c r="AA586" t="s">
        <v>842</v>
      </c>
      <c r="AB586" t="s">
        <v>843</v>
      </c>
      <c r="AC586" t="s">
        <v>236</v>
      </c>
      <c r="AD586" t="s">
        <v>236</v>
      </c>
      <c r="AE586" t="s">
        <v>3489</v>
      </c>
      <c r="AH586" t="s">
        <v>976</v>
      </c>
      <c r="AI586" t="s">
        <v>1863</v>
      </c>
    </row>
    <row r="587" spans="1:35">
      <c r="A587">
        <v>585</v>
      </c>
      <c r="B587" t="s">
        <v>3490</v>
      </c>
      <c r="C587">
        <v>1104</v>
      </c>
      <c r="D587" t="s">
        <v>1841</v>
      </c>
      <c r="E587" t="s">
        <v>3451</v>
      </c>
      <c r="F587" t="s">
        <v>3291</v>
      </c>
      <c r="G587" t="s">
        <v>3324</v>
      </c>
      <c r="H587" t="s">
        <v>3450</v>
      </c>
      <c r="I587" t="s">
        <v>2910</v>
      </c>
      <c r="N587" t="s">
        <v>828</v>
      </c>
      <c r="S587" t="s">
        <v>874</v>
      </c>
      <c r="T587" t="s">
        <v>3491</v>
      </c>
      <c r="U587" t="s">
        <v>3492</v>
      </c>
      <c r="V587" t="s">
        <v>876</v>
      </c>
      <c r="W587">
        <v>27315</v>
      </c>
      <c r="X587">
        <v>51</v>
      </c>
      <c r="Y587" t="s">
        <v>3493</v>
      </c>
      <c r="Z587" t="s">
        <v>3494</v>
      </c>
      <c r="AA587" t="s">
        <v>842</v>
      </c>
      <c r="AB587" t="s">
        <v>843</v>
      </c>
      <c r="AC587" t="s">
        <v>236</v>
      </c>
      <c r="AD587" t="s">
        <v>236</v>
      </c>
      <c r="AE587" t="s">
        <v>3409</v>
      </c>
      <c r="AH587" t="s">
        <v>976</v>
      </c>
      <c r="AI587" t="s">
        <v>1863</v>
      </c>
    </row>
    <row r="588" spans="1:35">
      <c r="A588">
        <v>586</v>
      </c>
      <c r="B588" t="s">
        <v>3495</v>
      </c>
      <c r="C588">
        <v>1106</v>
      </c>
      <c r="D588" t="s">
        <v>1822</v>
      </c>
      <c r="E588" t="s">
        <v>3451</v>
      </c>
      <c r="F588" t="s">
        <v>3291</v>
      </c>
      <c r="G588" t="s">
        <v>3324</v>
      </c>
      <c r="H588" t="s">
        <v>3450</v>
      </c>
      <c r="I588" t="s">
        <v>2910</v>
      </c>
      <c r="N588" t="s">
        <v>828</v>
      </c>
      <c r="S588" t="s">
        <v>898</v>
      </c>
      <c r="T588" t="s">
        <v>3496</v>
      </c>
      <c r="U588" t="s">
        <v>3497</v>
      </c>
      <c r="V588" t="s">
        <v>876</v>
      </c>
      <c r="W588">
        <v>19981</v>
      </c>
      <c r="X588">
        <v>71</v>
      </c>
      <c r="Y588" t="s">
        <v>3498</v>
      </c>
      <c r="Z588" t="s">
        <v>3499</v>
      </c>
      <c r="AA588" t="s">
        <v>842</v>
      </c>
      <c r="AB588" t="s">
        <v>843</v>
      </c>
      <c r="AC588" t="s">
        <v>942</v>
      </c>
      <c r="AD588" t="s">
        <v>942</v>
      </c>
      <c r="AE588" t="s">
        <v>2223</v>
      </c>
      <c r="AH588" t="s">
        <v>976</v>
      </c>
      <c r="AI588" t="s">
        <v>1863</v>
      </c>
    </row>
    <row r="589" spans="1:35">
      <c r="A589">
        <v>587</v>
      </c>
      <c r="B589" t="s">
        <v>3500</v>
      </c>
      <c r="C589">
        <v>1108</v>
      </c>
      <c r="D589" t="s">
        <v>1822</v>
      </c>
      <c r="E589" t="s">
        <v>3451</v>
      </c>
      <c r="F589" t="s">
        <v>3291</v>
      </c>
      <c r="G589" t="s">
        <v>3324</v>
      </c>
      <c r="H589" t="s">
        <v>3450</v>
      </c>
      <c r="I589" t="s">
        <v>2910</v>
      </c>
      <c r="N589" t="s">
        <v>828</v>
      </c>
      <c r="S589" t="s">
        <v>874</v>
      </c>
      <c r="T589" t="s">
        <v>3501</v>
      </c>
      <c r="U589" t="s">
        <v>3502</v>
      </c>
      <c r="V589" t="s">
        <v>876</v>
      </c>
      <c r="W589">
        <v>22694</v>
      </c>
      <c r="X589">
        <v>63</v>
      </c>
      <c r="Y589" t="s">
        <v>3503</v>
      </c>
      <c r="Z589" t="s">
        <v>3504</v>
      </c>
      <c r="AA589" t="s">
        <v>842</v>
      </c>
      <c r="AB589" t="s">
        <v>843</v>
      </c>
      <c r="AC589" t="s">
        <v>942</v>
      </c>
      <c r="AD589" t="s">
        <v>942</v>
      </c>
      <c r="AE589" t="s">
        <v>3471</v>
      </c>
      <c r="AH589" t="s">
        <v>976</v>
      </c>
      <c r="AI589" t="s">
        <v>1863</v>
      </c>
    </row>
    <row r="590" spans="1:35">
      <c r="A590">
        <v>588</v>
      </c>
      <c r="B590" t="s">
        <v>3505</v>
      </c>
      <c r="C590">
        <v>1110</v>
      </c>
      <c r="D590" t="s">
        <v>981</v>
      </c>
      <c r="E590" t="s">
        <v>3451</v>
      </c>
      <c r="F590" t="s">
        <v>3291</v>
      </c>
      <c r="G590" t="s">
        <v>3324</v>
      </c>
      <c r="H590" t="s">
        <v>3450</v>
      </c>
      <c r="I590" t="s">
        <v>2910</v>
      </c>
      <c r="N590" t="s">
        <v>828</v>
      </c>
      <c r="S590" t="s">
        <v>799</v>
      </c>
      <c r="T590" t="s">
        <v>553</v>
      </c>
      <c r="U590" t="s">
        <v>3506</v>
      </c>
      <c r="V590" t="s">
        <v>790</v>
      </c>
      <c r="W590">
        <v>20455</v>
      </c>
      <c r="X590">
        <v>70</v>
      </c>
      <c r="Y590" t="s">
        <v>3507</v>
      </c>
      <c r="AA590" t="s">
        <v>842</v>
      </c>
      <c r="AB590" t="s">
        <v>843</v>
      </c>
      <c r="AC590" t="s">
        <v>815</v>
      </c>
      <c r="AD590" t="s">
        <v>815</v>
      </c>
      <c r="AE590" t="s">
        <v>2734</v>
      </c>
      <c r="AH590" t="s">
        <v>1497</v>
      </c>
    </row>
    <row r="591" spans="1:35">
      <c r="A591">
        <v>589</v>
      </c>
      <c r="B591" t="s">
        <v>3508</v>
      </c>
      <c r="C591">
        <v>1112</v>
      </c>
      <c r="D591" t="s">
        <v>981</v>
      </c>
      <c r="E591" t="s">
        <v>3451</v>
      </c>
      <c r="F591" t="s">
        <v>3291</v>
      </c>
      <c r="G591" t="s">
        <v>3324</v>
      </c>
      <c r="H591" t="s">
        <v>3450</v>
      </c>
      <c r="I591" t="s">
        <v>2910</v>
      </c>
      <c r="N591" t="s">
        <v>828</v>
      </c>
      <c r="S591" t="s">
        <v>874</v>
      </c>
      <c r="T591" t="s">
        <v>557</v>
      </c>
      <c r="U591" t="s">
        <v>3509</v>
      </c>
      <c r="V591" t="s">
        <v>876</v>
      </c>
      <c r="W591">
        <v>21731</v>
      </c>
      <c r="X591">
        <v>66</v>
      </c>
      <c r="Y591" t="s">
        <v>3507</v>
      </c>
      <c r="Z591" t="s">
        <v>3510</v>
      </c>
      <c r="AA591" t="s">
        <v>842</v>
      </c>
      <c r="AB591" t="s">
        <v>843</v>
      </c>
      <c r="AC591" t="s">
        <v>815</v>
      </c>
      <c r="AD591" t="s">
        <v>815</v>
      </c>
      <c r="AE591" t="s">
        <v>2734</v>
      </c>
      <c r="AH591" t="s">
        <v>1497</v>
      </c>
    </row>
    <row r="592" spans="1:35">
      <c r="A592">
        <v>590</v>
      </c>
      <c r="B592" t="s">
        <v>3511</v>
      </c>
      <c r="C592">
        <v>1114</v>
      </c>
      <c r="D592" t="s">
        <v>1841</v>
      </c>
      <c r="E592" t="s">
        <v>3451</v>
      </c>
      <c r="F592" t="s">
        <v>3291</v>
      </c>
      <c r="G592" t="s">
        <v>3324</v>
      </c>
      <c r="H592" t="s">
        <v>3450</v>
      </c>
      <c r="I592" t="s">
        <v>2910</v>
      </c>
      <c r="N592" t="s">
        <v>828</v>
      </c>
      <c r="S592" t="s">
        <v>898</v>
      </c>
      <c r="T592" t="s">
        <v>3512</v>
      </c>
      <c r="U592" t="s">
        <v>3513</v>
      </c>
      <c r="V592" t="s">
        <v>876</v>
      </c>
      <c r="W592">
        <v>17849</v>
      </c>
      <c r="X592">
        <v>77</v>
      </c>
      <c r="Y592" t="s">
        <v>3514</v>
      </c>
      <c r="AA592" t="s">
        <v>842</v>
      </c>
      <c r="AB592" t="s">
        <v>843</v>
      </c>
      <c r="AC592" t="s">
        <v>236</v>
      </c>
      <c r="AD592" t="s">
        <v>236</v>
      </c>
      <c r="AE592" t="s">
        <v>3409</v>
      </c>
      <c r="AG592" t="s">
        <v>3515</v>
      </c>
      <c r="AH592" t="s">
        <v>976</v>
      </c>
      <c r="AI592" t="s">
        <v>860</v>
      </c>
    </row>
    <row r="593" spans="1:35">
      <c r="A593">
        <v>591</v>
      </c>
      <c r="B593" t="s">
        <v>3345</v>
      </c>
      <c r="C593">
        <v>1115</v>
      </c>
      <c r="E593" t="s">
        <v>3451</v>
      </c>
      <c r="F593" t="s">
        <v>3291</v>
      </c>
      <c r="G593" t="s">
        <v>3324</v>
      </c>
      <c r="H593" t="s">
        <v>3450</v>
      </c>
      <c r="I593" t="s">
        <v>3345</v>
      </c>
      <c r="J593" t="s">
        <v>3516</v>
      </c>
      <c r="K593" t="s">
        <v>3517</v>
      </c>
      <c r="L593" t="s">
        <v>3518</v>
      </c>
      <c r="M593" t="s">
        <v>3519</v>
      </c>
      <c r="N593" t="s">
        <v>938</v>
      </c>
      <c r="P593" t="s">
        <v>49</v>
      </c>
      <c r="Q593" t="s">
        <v>168</v>
      </c>
      <c r="T593" t="s">
        <v>481</v>
      </c>
      <c r="U593" t="s">
        <v>3346</v>
      </c>
      <c r="V593" t="s">
        <v>876</v>
      </c>
      <c r="W593">
        <v>25024</v>
      </c>
      <c r="X593">
        <v>57</v>
      </c>
      <c r="Y593" t="s">
        <v>3347</v>
      </c>
      <c r="AA593" t="s">
        <v>802</v>
      </c>
      <c r="AB593" t="s">
        <v>794</v>
      </c>
      <c r="AC593" t="s">
        <v>236</v>
      </c>
      <c r="AD593" t="s">
        <v>236</v>
      </c>
      <c r="AE593" t="s">
        <v>865</v>
      </c>
      <c r="AF593" t="s">
        <v>872</v>
      </c>
    </row>
    <row r="594" spans="1:35">
      <c r="A594">
        <v>592</v>
      </c>
      <c r="B594" t="s">
        <v>3516</v>
      </c>
      <c r="C594">
        <v>1117</v>
      </c>
      <c r="D594" t="s">
        <v>1841</v>
      </c>
      <c r="E594" t="s">
        <v>3451</v>
      </c>
      <c r="F594" t="s">
        <v>3291</v>
      </c>
      <c r="G594" t="s">
        <v>3324</v>
      </c>
      <c r="H594" t="s">
        <v>3450</v>
      </c>
      <c r="I594" t="s">
        <v>3345</v>
      </c>
      <c r="J594" t="s">
        <v>3516</v>
      </c>
      <c r="K594" t="s">
        <v>3517</v>
      </c>
      <c r="L594" t="s">
        <v>3518</v>
      </c>
      <c r="M594" t="s">
        <v>3519</v>
      </c>
      <c r="N594" t="s">
        <v>938</v>
      </c>
      <c r="P594" t="s">
        <v>62</v>
      </c>
      <c r="Q594" t="s">
        <v>548</v>
      </c>
      <c r="S594" t="s">
        <v>874</v>
      </c>
      <c r="T594" t="s">
        <v>515</v>
      </c>
      <c r="U594" t="s">
        <v>3520</v>
      </c>
      <c r="V594" t="s">
        <v>876</v>
      </c>
      <c r="W594">
        <v>20844</v>
      </c>
      <c r="X594">
        <v>69</v>
      </c>
      <c r="Y594" t="s">
        <v>3521</v>
      </c>
      <c r="Z594" t="s">
        <v>3522</v>
      </c>
      <c r="AA594" t="s">
        <v>842</v>
      </c>
      <c r="AB594" t="s">
        <v>843</v>
      </c>
      <c r="AC594" t="s">
        <v>236</v>
      </c>
      <c r="AD594" t="s">
        <v>236</v>
      </c>
      <c r="AE594" t="s">
        <v>3523</v>
      </c>
      <c r="AH594" t="s">
        <v>1852</v>
      </c>
      <c r="AI594" t="s">
        <v>1863</v>
      </c>
    </row>
    <row r="595" spans="1:35">
      <c r="A595">
        <v>593</v>
      </c>
      <c r="B595" t="s">
        <v>3517</v>
      </c>
      <c r="C595">
        <v>1119</v>
      </c>
      <c r="D595" t="s">
        <v>1841</v>
      </c>
      <c r="E595" t="s">
        <v>3451</v>
      </c>
      <c r="F595" t="s">
        <v>3291</v>
      </c>
      <c r="G595" t="s">
        <v>3324</v>
      </c>
      <c r="H595" t="s">
        <v>3450</v>
      </c>
      <c r="I595" t="s">
        <v>3345</v>
      </c>
      <c r="J595" t="s">
        <v>3516</v>
      </c>
      <c r="K595" t="s">
        <v>3517</v>
      </c>
      <c r="L595" t="s">
        <v>3518</v>
      </c>
      <c r="M595" t="s">
        <v>3519</v>
      </c>
      <c r="N595" t="s">
        <v>938</v>
      </c>
      <c r="P595" t="s">
        <v>62</v>
      </c>
      <c r="Q595" t="s">
        <v>548</v>
      </c>
      <c r="S595" t="s">
        <v>874</v>
      </c>
      <c r="T595" t="s">
        <v>507</v>
      </c>
      <c r="U595" t="s">
        <v>3524</v>
      </c>
      <c r="V595" t="s">
        <v>876</v>
      </c>
      <c r="W595">
        <v>20604</v>
      </c>
      <c r="X595">
        <v>69</v>
      </c>
      <c r="Y595" t="s">
        <v>3525</v>
      </c>
      <c r="Z595" t="s">
        <v>3526</v>
      </c>
      <c r="AA595" t="s">
        <v>842</v>
      </c>
      <c r="AB595" t="s">
        <v>843</v>
      </c>
      <c r="AC595" t="s">
        <v>236</v>
      </c>
      <c r="AD595" t="s">
        <v>236</v>
      </c>
      <c r="AE595" t="s">
        <v>3527</v>
      </c>
      <c r="AH595" t="s">
        <v>1852</v>
      </c>
      <c r="AI595" t="s">
        <v>1863</v>
      </c>
    </row>
    <row r="596" spans="1:35">
      <c r="A596">
        <v>594</v>
      </c>
      <c r="B596" t="s">
        <v>3518</v>
      </c>
      <c r="C596">
        <v>1121</v>
      </c>
      <c r="D596" t="s">
        <v>1841</v>
      </c>
      <c r="E596" t="s">
        <v>3451</v>
      </c>
      <c r="F596" t="s">
        <v>3291</v>
      </c>
      <c r="G596" t="s">
        <v>3324</v>
      </c>
      <c r="H596" t="s">
        <v>3450</v>
      </c>
      <c r="I596" t="s">
        <v>3345</v>
      </c>
      <c r="J596" t="s">
        <v>3516</v>
      </c>
      <c r="K596" t="s">
        <v>3517</v>
      </c>
      <c r="L596" t="s">
        <v>3518</v>
      </c>
      <c r="M596" t="s">
        <v>3519</v>
      </c>
      <c r="N596" t="s">
        <v>938</v>
      </c>
      <c r="P596" t="s">
        <v>62</v>
      </c>
      <c r="Q596" t="s">
        <v>548</v>
      </c>
      <c r="S596" t="s">
        <v>874</v>
      </c>
      <c r="T596" t="s">
        <v>531</v>
      </c>
      <c r="U596" t="s">
        <v>3528</v>
      </c>
      <c r="V596" t="s">
        <v>876</v>
      </c>
      <c r="W596">
        <v>22829</v>
      </c>
      <c r="X596">
        <v>63</v>
      </c>
      <c r="Y596" t="s">
        <v>3529</v>
      </c>
      <c r="Z596" t="s">
        <v>3530</v>
      </c>
      <c r="AA596" t="s">
        <v>842</v>
      </c>
      <c r="AB596" t="s">
        <v>843</v>
      </c>
      <c r="AC596" t="s">
        <v>236</v>
      </c>
      <c r="AD596" t="s">
        <v>236</v>
      </c>
      <c r="AE596" t="s">
        <v>3531</v>
      </c>
      <c r="AH596" t="s">
        <v>1852</v>
      </c>
      <c r="AI596" t="s">
        <v>1863</v>
      </c>
    </row>
    <row r="597" spans="1:35">
      <c r="A597">
        <v>595</v>
      </c>
      <c r="B597" t="s">
        <v>3519</v>
      </c>
      <c r="C597">
        <v>1123</v>
      </c>
      <c r="D597" t="s">
        <v>1841</v>
      </c>
      <c r="E597" t="s">
        <v>3451</v>
      </c>
      <c r="F597" t="s">
        <v>3291</v>
      </c>
      <c r="G597" t="s">
        <v>3324</v>
      </c>
      <c r="H597" t="s">
        <v>3450</v>
      </c>
      <c r="I597" t="s">
        <v>3345</v>
      </c>
      <c r="J597" t="s">
        <v>3516</v>
      </c>
      <c r="K597" t="s">
        <v>3517</v>
      </c>
      <c r="L597" t="s">
        <v>3518</v>
      </c>
      <c r="M597" t="s">
        <v>3519</v>
      </c>
      <c r="N597" t="s">
        <v>938</v>
      </c>
      <c r="P597" t="s">
        <v>62</v>
      </c>
      <c r="Q597" t="s">
        <v>548</v>
      </c>
      <c r="S597" t="s">
        <v>874</v>
      </c>
      <c r="T597" t="s">
        <v>543</v>
      </c>
      <c r="U597" t="s">
        <v>3532</v>
      </c>
      <c r="V597" t="s">
        <v>876</v>
      </c>
      <c r="W597">
        <v>26443</v>
      </c>
      <c r="X597">
        <v>53</v>
      </c>
      <c r="Y597" t="s">
        <v>3533</v>
      </c>
      <c r="Z597" t="s">
        <v>3534</v>
      </c>
      <c r="AA597" t="s">
        <v>842</v>
      </c>
      <c r="AB597" t="s">
        <v>843</v>
      </c>
      <c r="AC597" t="s">
        <v>236</v>
      </c>
      <c r="AD597" t="s">
        <v>236</v>
      </c>
      <c r="AE597" t="s">
        <v>3535</v>
      </c>
      <c r="AH597" t="s">
        <v>1852</v>
      </c>
      <c r="AI597" t="s">
        <v>1863</v>
      </c>
    </row>
    <row r="598" spans="1:35">
      <c r="A598">
        <v>596</v>
      </c>
      <c r="B598" t="s">
        <v>3536</v>
      </c>
      <c r="C598">
        <v>1125</v>
      </c>
      <c r="D598" t="s">
        <v>1841</v>
      </c>
      <c r="E598" t="s">
        <v>3451</v>
      </c>
      <c r="F598" t="s">
        <v>3291</v>
      </c>
      <c r="G598" t="s">
        <v>3324</v>
      </c>
      <c r="H598" t="s">
        <v>3450</v>
      </c>
      <c r="I598" t="s">
        <v>3345</v>
      </c>
      <c r="J598" t="s">
        <v>3516</v>
      </c>
      <c r="K598" t="s">
        <v>3517</v>
      </c>
      <c r="L598" t="s">
        <v>3518</v>
      </c>
      <c r="M598" t="s">
        <v>3519</v>
      </c>
      <c r="N598" t="s">
        <v>938</v>
      </c>
      <c r="S598" t="s">
        <v>874</v>
      </c>
      <c r="T598" t="s">
        <v>538</v>
      </c>
      <c r="U598" t="s">
        <v>3537</v>
      </c>
      <c r="V598" t="s">
        <v>876</v>
      </c>
      <c r="W598">
        <v>22980</v>
      </c>
      <c r="X598">
        <v>63</v>
      </c>
      <c r="Y598" t="s">
        <v>3538</v>
      </c>
      <c r="AA598" t="s">
        <v>842</v>
      </c>
      <c r="AB598" t="s">
        <v>843</v>
      </c>
      <c r="AC598" t="s">
        <v>809</v>
      </c>
      <c r="AD598" t="s">
        <v>809</v>
      </c>
      <c r="AE598" t="s">
        <v>3539</v>
      </c>
      <c r="AH598" t="s">
        <v>1852</v>
      </c>
      <c r="AI598" t="s">
        <v>1863</v>
      </c>
    </row>
    <row r="599" spans="1:35">
      <c r="A599">
        <v>597</v>
      </c>
      <c r="B599" t="s">
        <v>3540</v>
      </c>
      <c r="C599">
        <v>1127</v>
      </c>
      <c r="D599" t="s">
        <v>1841</v>
      </c>
      <c r="E599" t="s">
        <v>3451</v>
      </c>
      <c r="F599" t="s">
        <v>3291</v>
      </c>
      <c r="G599" t="s">
        <v>3324</v>
      </c>
      <c r="H599" t="s">
        <v>3450</v>
      </c>
      <c r="I599" t="s">
        <v>3345</v>
      </c>
      <c r="J599" t="s">
        <v>3516</v>
      </c>
      <c r="K599" t="s">
        <v>3517</v>
      </c>
      <c r="L599" t="s">
        <v>3518</v>
      </c>
      <c r="M599" t="s">
        <v>3519</v>
      </c>
      <c r="N599" t="s">
        <v>938</v>
      </c>
      <c r="S599" t="s">
        <v>874</v>
      </c>
      <c r="T599" t="s">
        <v>549</v>
      </c>
      <c r="U599" t="s">
        <v>3541</v>
      </c>
      <c r="V599" t="s">
        <v>876</v>
      </c>
      <c r="W599">
        <v>27733</v>
      </c>
      <c r="X599">
        <v>50</v>
      </c>
      <c r="Y599" t="s">
        <v>3542</v>
      </c>
      <c r="Z599" t="s">
        <v>3543</v>
      </c>
      <c r="AA599" t="s">
        <v>842</v>
      </c>
      <c r="AB599" t="s">
        <v>843</v>
      </c>
      <c r="AC599" t="s">
        <v>236</v>
      </c>
      <c r="AD599" t="s">
        <v>236</v>
      </c>
      <c r="AE599" t="s">
        <v>3544</v>
      </c>
      <c r="AG599" t="s">
        <v>3545</v>
      </c>
      <c r="AH599" t="s">
        <v>1852</v>
      </c>
      <c r="AI599" t="s">
        <v>1863</v>
      </c>
    </row>
    <row r="600" spans="1:35">
      <c r="A600">
        <v>598</v>
      </c>
      <c r="B600" t="s">
        <v>3546</v>
      </c>
      <c r="C600">
        <v>1129</v>
      </c>
      <c r="D600" t="s">
        <v>1841</v>
      </c>
      <c r="E600" t="s">
        <v>3451</v>
      </c>
      <c r="F600" t="s">
        <v>3291</v>
      </c>
      <c r="G600" t="s">
        <v>3324</v>
      </c>
      <c r="H600" t="s">
        <v>3450</v>
      </c>
      <c r="I600" t="s">
        <v>3345</v>
      </c>
      <c r="J600" t="s">
        <v>3516</v>
      </c>
      <c r="K600" t="s">
        <v>3517</v>
      </c>
      <c r="L600" t="s">
        <v>3518</v>
      </c>
      <c r="M600" t="s">
        <v>3519</v>
      </c>
      <c r="N600" t="s">
        <v>938</v>
      </c>
      <c r="S600" t="s">
        <v>874</v>
      </c>
      <c r="T600" t="s">
        <v>554</v>
      </c>
      <c r="U600" t="s">
        <v>3547</v>
      </c>
      <c r="V600" t="s">
        <v>876</v>
      </c>
      <c r="W600">
        <v>32138</v>
      </c>
      <c r="X600">
        <v>38</v>
      </c>
      <c r="Y600" t="s">
        <v>3548</v>
      </c>
      <c r="Z600" t="s">
        <v>3549</v>
      </c>
      <c r="AA600" t="s">
        <v>842</v>
      </c>
      <c r="AB600" t="s">
        <v>843</v>
      </c>
      <c r="AC600" t="s">
        <v>236</v>
      </c>
      <c r="AD600" t="s">
        <v>236</v>
      </c>
      <c r="AE600" t="s">
        <v>3550</v>
      </c>
      <c r="AG600" t="s">
        <v>3545</v>
      </c>
      <c r="AH600" t="s">
        <v>1852</v>
      </c>
      <c r="AI600" t="s">
        <v>1863</v>
      </c>
    </row>
    <row r="601" spans="1:35">
      <c r="A601">
        <v>599</v>
      </c>
      <c r="B601" t="s">
        <v>3551</v>
      </c>
      <c r="C601">
        <v>1131</v>
      </c>
      <c r="D601" t="s">
        <v>1841</v>
      </c>
      <c r="E601" t="s">
        <v>3451</v>
      </c>
      <c r="F601" t="s">
        <v>3291</v>
      </c>
      <c r="G601" t="s">
        <v>3324</v>
      </c>
      <c r="H601" t="s">
        <v>3450</v>
      </c>
      <c r="I601" t="s">
        <v>3345</v>
      </c>
      <c r="J601" t="s">
        <v>3516</v>
      </c>
      <c r="K601" t="s">
        <v>3517</v>
      </c>
      <c r="L601" t="s">
        <v>3518</v>
      </c>
      <c r="M601" t="s">
        <v>3519</v>
      </c>
      <c r="N601" t="s">
        <v>938</v>
      </c>
      <c r="S601" t="s">
        <v>788</v>
      </c>
      <c r="T601" t="s">
        <v>558</v>
      </c>
      <c r="U601" t="s">
        <v>3552</v>
      </c>
      <c r="V601" t="s">
        <v>876</v>
      </c>
      <c r="W601">
        <v>36800</v>
      </c>
      <c r="X601">
        <v>25</v>
      </c>
      <c r="Y601" t="s">
        <v>3553</v>
      </c>
      <c r="AA601" t="s">
        <v>842</v>
      </c>
      <c r="AB601" t="s">
        <v>843</v>
      </c>
      <c r="AC601" t="s">
        <v>236</v>
      </c>
      <c r="AD601" t="s">
        <v>236</v>
      </c>
      <c r="AE601" t="s">
        <v>865</v>
      </c>
      <c r="AH601" t="s">
        <v>1852</v>
      </c>
      <c r="AI601" t="s">
        <v>1863</v>
      </c>
    </row>
    <row r="602" spans="1:35">
      <c r="A602">
        <v>600</v>
      </c>
      <c r="B602" t="s">
        <v>3554</v>
      </c>
      <c r="C602">
        <v>1133</v>
      </c>
      <c r="D602" t="s">
        <v>1841</v>
      </c>
      <c r="E602" t="s">
        <v>3451</v>
      </c>
      <c r="F602" t="s">
        <v>3291</v>
      </c>
      <c r="G602" t="s">
        <v>3324</v>
      </c>
      <c r="H602" t="s">
        <v>3450</v>
      </c>
      <c r="I602" t="s">
        <v>3345</v>
      </c>
      <c r="J602" t="s">
        <v>3516</v>
      </c>
      <c r="K602" t="s">
        <v>3517</v>
      </c>
      <c r="L602" t="s">
        <v>3518</v>
      </c>
      <c r="M602" t="s">
        <v>3519</v>
      </c>
      <c r="N602" t="s">
        <v>938</v>
      </c>
      <c r="S602" t="s">
        <v>874</v>
      </c>
      <c r="T602" t="s">
        <v>523</v>
      </c>
      <c r="U602" t="s">
        <v>3555</v>
      </c>
      <c r="V602" t="s">
        <v>876</v>
      </c>
      <c r="W602">
        <v>21916</v>
      </c>
      <c r="X602">
        <v>66</v>
      </c>
      <c r="Y602" t="s">
        <v>3556</v>
      </c>
      <c r="AA602" t="s">
        <v>842</v>
      </c>
      <c r="AB602" t="s">
        <v>843</v>
      </c>
      <c r="AC602" t="s">
        <v>236</v>
      </c>
      <c r="AD602" t="s">
        <v>236</v>
      </c>
      <c r="AE602" t="s">
        <v>3557</v>
      </c>
      <c r="AG602" t="s">
        <v>3558</v>
      </c>
      <c r="AH602" t="s">
        <v>1852</v>
      </c>
      <c r="AI602" t="s">
        <v>860</v>
      </c>
    </row>
    <row r="603" spans="1:35">
      <c r="A603">
        <v>601</v>
      </c>
      <c r="B603" t="s">
        <v>3559</v>
      </c>
      <c r="C603">
        <v>1135</v>
      </c>
      <c r="D603" t="s">
        <v>1841</v>
      </c>
      <c r="E603" t="s">
        <v>3451</v>
      </c>
      <c r="F603" t="s">
        <v>3291</v>
      </c>
      <c r="G603" t="s">
        <v>3324</v>
      </c>
      <c r="H603" t="s">
        <v>3450</v>
      </c>
      <c r="I603" t="s">
        <v>3345</v>
      </c>
      <c r="J603" t="s">
        <v>3516</v>
      </c>
      <c r="K603" t="s">
        <v>3517</v>
      </c>
      <c r="L603" t="s">
        <v>3518</v>
      </c>
      <c r="M603" t="s">
        <v>3519</v>
      </c>
      <c r="N603" t="s">
        <v>938</v>
      </c>
      <c r="S603" t="s">
        <v>874</v>
      </c>
      <c r="T603" t="s">
        <v>3560</v>
      </c>
      <c r="U603" t="s">
        <v>3561</v>
      </c>
      <c r="V603" t="s">
        <v>876</v>
      </c>
      <c r="W603">
        <v>28211</v>
      </c>
      <c r="X603">
        <v>48</v>
      </c>
      <c r="Y603" t="s">
        <v>3562</v>
      </c>
      <c r="Z603" t="s">
        <v>3563</v>
      </c>
      <c r="AA603" t="s">
        <v>842</v>
      </c>
      <c r="AB603" t="s">
        <v>843</v>
      </c>
      <c r="AC603" t="s">
        <v>236</v>
      </c>
      <c r="AD603" t="s">
        <v>236</v>
      </c>
      <c r="AE603" t="s">
        <v>3564</v>
      </c>
      <c r="AG603" t="s">
        <v>3316</v>
      </c>
      <c r="AH603" t="s">
        <v>1852</v>
      </c>
      <c r="AI603" t="s">
        <v>860</v>
      </c>
    </row>
    <row r="604" spans="1:35">
      <c r="A604">
        <v>602</v>
      </c>
      <c r="B604" t="s">
        <v>2094</v>
      </c>
      <c r="C604">
        <v>1136</v>
      </c>
      <c r="E604" t="s">
        <v>3451</v>
      </c>
      <c r="F604" t="s">
        <v>3291</v>
      </c>
      <c r="G604" t="s">
        <v>3324</v>
      </c>
      <c r="H604" t="s">
        <v>3450</v>
      </c>
      <c r="I604" t="s">
        <v>2094</v>
      </c>
      <c r="J604" t="s">
        <v>786</v>
      </c>
      <c r="N604" t="s">
        <v>978</v>
      </c>
      <c r="P604" t="s">
        <v>49</v>
      </c>
      <c r="Q604" t="s">
        <v>168</v>
      </c>
      <c r="T604" t="s">
        <v>231</v>
      </c>
      <c r="U604" t="s">
        <v>2095</v>
      </c>
      <c r="V604" t="s">
        <v>876</v>
      </c>
      <c r="W604">
        <v>25211</v>
      </c>
      <c r="X604">
        <v>57</v>
      </c>
      <c r="Y604" t="s">
        <v>2096</v>
      </c>
      <c r="AA604" t="s">
        <v>802</v>
      </c>
      <c r="AB604" t="s">
        <v>794</v>
      </c>
      <c r="AC604" t="s">
        <v>809</v>
      </c>
      <c r="AD604" t="s">
        <v>809</v>
      </c>
      <c r="AE604" t="s">
        <v>2085</v>
      </c>
      <c r="AF604" t="s">
        <v>872</v>
      </c>
    </row>
    <row r="605" spans="1:35">
      <c r="A605">
        <v>603</v>
      </c>
      <c r="B605" t="s">
        <v>3565</v>
      </c>
      <c r="C605">
        <v>1138</v>
      </c>
      <c r="D605" t="s">
        <v>1841</v>
      </c>
      <c r="E605" t="s">
        <v>3451</v>
      </c>
      <c r="F605" t="s">
        <v>3291</v>
      </c>
      <c r="G605" t="s">
        <v>3324</v>
      </c>
      <c r="H605" t="s">
        <v>3450</v>
      </c>
      <c r="I605" t="s">
        <v>2094</v>
      </c>
      <c r="J605" t="s">
        <v>786</v>
      </c>
      <c r="N605" t="s">
        <v>978</v>
      </c>
      <c r="O605" t="s">
        <v>308</v>
      </c>
      <c r="S605" t="s">
        <v>874</v>
      </c>
      <c r="T605" t="s">
        <v>3566</v>
      </c>
      <c r="U605" t="s">
        <v>3567</v>
      </c>
      <c r="V605" t="s">
        <v>876</v>
      </c>
      <c r="W605">
        <v>33974</v>
      </c>
      <c r="X605">
        <v>33</v>
      </c>
      <c r="Y605" t="s">
        <v>3568</v>
      </c>
      <c r="Z605" t="s">
        <v>3569</v>
      </c>
      <c r="AA605" t="s">
        <v>842</v>
      </c>
      <c r="AB605" t="s">
        <v>843</v>
      </c>
      <c r="AC605" t="s">
        <v>236</v>
      </c>
      <c r="AD605" t="s">
        <v>236</v>
      </c>
      <c r="AE605" t="s">
        <v>3212</v>
      </c>
      <c r="AH605" t="s">
        <v>971</v>
      </c>
    </row>
    <row r="606" spans="1:35">
      <c r="A606">
        <v>604</v>
      </c>
      <c r="B606" t="s">
        <v>3570</v>
      </c>
      <c r="C606">
        <v>1140</v>
      </c>
      <c r="D606" t="s">
        <v>1841</v>
      </c>
      <c r="E606" t="s">
        <v>3451</v>
      </c>
      <c r="F606" t="s">
        <v>3291</v>
      </c>
      <c r="G606" t="s">
        <v>3324</v>
      </c>
      <c r="H606" t="s">
        <v>3450</v>
      </c>
      <c r="I606" t="s">
        <v>2094</v>
      </c>
      <c r="J606" t="s">
        <v>786</v>
      </c>
      <c r="N606" t="s">
        <v>978</v>
      </c>
      <c r="O606" t="s">
        <v>308</v>
      </c>
      <c r="S606" t="s">
        <v>788</v>
      </c>
      <c r="T606" t="s">
        <v>3571</v>
      </c>
      <c r="U606" t="s">
        <v>3572</v>
      </c>
      <c r="V606" t="s">
        <v>876</v>
      </c>
      <c r="W606">
        <v>37889</v>
      </c>
      <c r="X606">
        <v>22</v>
      </c>
      <c r="Y606" t="s">
        <v>3573</v>
      </c>
      <c r="Z606" t="s">
        <v>3574</v>
      </c>
      <c r="AA606" t="s">
        <v>842</v>
      </c>
      <c r="AB606" t="s">
        <v>843</v>
      </c>
      <c r="AC606" t="s">
        <v>236</v>
      </c>
      <c r="AD606" t="s">
        <v>236</v>
      </c>
      <c r="AE606" t="s">
        <v>3199</v>
      </c>
      <c r="AG606" t="s">
        <v>3297</v>
      </c>
      <c r="AH606" t="s">
        <v>971</v>
      </c>
    </row>
    <row r="607" spans="1:35">
      <c r="A607">
        <v>605</v>
      </c>
      <c r="B607" t="s">
        <v>3575</v>
      </c>
      <c r="C607">
        <v>1142</v>
      </c>
      <c r="D607" t="s">
        <v>1310</v>
      </c>
      <c r="E607" t="s">
        <v>3451</v>
      </c>
      <c r="F607" t="s">
        <v>3291</v>
      </c>
      <c r="G607" t="s">
        <v>3324</v>
      </c>
      <c r="H607" t="s">
        <v>3450</v>
      </c>
      <c r="I607" t="s">
        <v>2094</v>
      </c>
      <c r="J607" t="s">
        <v>786</v>
      </c>
      <c r="N607" t="s">
        <v>978</v>
      </c>
      <c r="O607" t="s">
        <v>308</v>
      </c>
      <c r="S607" t="s">
        <v>788</v>
      </c>
      <c r="T607" t="s">
        <v>524</v>
      </c>
      <c r="U607" t="s">
        <v>3576</v>
      </c>
      <c r="V607" t="s">
        <v>876</v>
      </c>
      <c r="W607">
        <v>38551</v>
      </c>
      <c r="X607">
        <v>20</v>
      </c>
      <c r="Y607" t="s">
        <v>3577</v>
      </c>
      <c r="Z607" t="s">
        <v>3578</v>
      </c>
      <c r="AA607" t="s">
        <v>842</v>
      </c>
      <c r="AB607" t="s">
        <v>843</v>
      </c>
      <c r="AC607" t="s">
        <v>236</v>
      </c>
      <c r="AD607" t="s">
        <v>236</v>
      </c>
      <c r="AE607" t="s">
        <v>3199</v>
      </c>
      <c r="AG607" t="s">
        <v>3297</v>
      </c>
      <c r="AH607" t="s">
        <v>971</v>
      </c>
    </row>
    <row r="608" spans="1:35">
      <c r="A608">
        <v>606</v>
      </c>
      <c r="B608" t="s">
        <v>3579</v>
      </c>
      <c r="C608">
        <v>1144</v>
      </c>
      <c r="D608" t="s">
        <v>811</v>
      </c>
      <c r="E608" t="s">
        <v>3451</v>
      </c>
      <c r="F608" t="s">
        <v>3291</v>
      </c>
      <c r="G608" t="s">
        <v>3324</v>
      </c>
      <c r="H608" t="s">
        <v>3450</v>
      </c>
      <c r="I608" t="s">
        <v>2094</v>
      </c>
      <c r="J608" t="s">
        <v>786</v>
      </c>
      <c r="N608" t="s">
        <v>978</v>
      </c>
      <c r="O608" t="s">
        <v>308</v>
      </c>
      <c r="S608" t="s">
        <v>874</v>
      </c>
      <c r="T608" t="s">
        <v>3580</v>
      </c>
      <c r="U608" t="s">
        <v>3581</v>
      </c>
      <c r="V608" t="s">
        <v>876</v>
      </c>
      <c r="W608">
        <v>33117</v>
      </c>
      <c r="X608">
        <v>35</v>
      </c>
      <c r="Y608" t="s">
        <v>3582</v>
      </c>
      <c r="AA608" t="s">
        <v>842</v>
      </c>
      <c r="AB608" t="s">
        <v>843</v>
      </c>
      <c r="AC608" t="s">
        <v>713</v>
      </c>
      <c r="AD608" t="s">
        <v>713</v>
      </c>
      <c r="AE608" t="s">
        <v>3583</v>
      </c>
      <c r="AG608" t="s">
        <v>866</v>
      </c>
      <c r="AH608" t="s">
        <v>971</v>
      </c>
    </row>
    <row r="609" spans="1:34">
      <c r="A609">
        <v>607</v>
      </c>
      <c r="B609" t="s">
        <v>915</v>
      </c>
      <c r="C609">
        <v>1145</v>
      </c>
      <c r="E609" t="s">
        <v>3584</v>
      </c>
      <c r="G609" t="s">
        <v>73</v>
      </c>
      <c r="N609" t="s">
        <v>2372</v>
      </c>
      <c r="P609" t="s">
        <v>163</v>
      </c>
      <c r="Q609" t="s">
        <v>500</v>
      </c>
      <c r="T609" t="s">
        <v>73</v>
      </c>
      <c r="U609" t="s">
        <v>3585</v>
      </c>
      <c r="V609" t="s">
        <v>876</v>
      </c>
      <c r="W609">
        <v>31722</v>
      </c>
      <c r="X609">
        <v>39</v>
      </c>
      <c r="Y609" t="s">
        <v>917</v>
      </c>
      <c r="Z609" t="s">
        <v>3586</v>
      </c>
      <c r="AA609" t="s">
        <v>802</v>
      </c>
      <c r="AB609" t="s">
        <v>794</v>
      </c>
      <c r="AC609" t="s">
        <v>713</v>
      </c>
      <c r="AD609" t="s">
        <v>795</v>
      </c>
      <c r="AE609" t="s">
        <v>796</v>
      </c>
      <c r="AF609" t="s">
        <v>872</v>
      </c>
    </row>
    <row r="610" spans="1:34">
      <c r="A610">
        <v>608</v>
      </c>
      <c r="B610" t="s">
        <v>3587</v>
      </c>
      <c r="C610">
        <v>1147</v>
      </c>
      <c r="D610" t="s">
        <v>811</v>
      </c>
      <c r="E610" t="s">
        <v>3584</v>
      </c>
      <c r="F610" t="s">
        <v>1106</v>
      </c>
      <c r="G610" t="s">
        <v>73</v>
      </c>
      <c r="H610" t="s">
        <v>915</v>
      </c>
      <c r="I610" t="s">
        <v>3587</v>
      </c>
      <c r="N610" t="s">
        <v>2372</v>
      </c>
      <c r="P610" t="s">
        <v>49</v>
      </c>
      <c r="Q610" t="s">
        <v>49</v>
      </c>
      <c r="S610" t="s">
        <v>874</v>
      </c>
      <c r="T610" t="s">
        <v>594</v>
      </c>
      <c r="U610" t="s">
        <v>3588</v>
      </c>
      <c r="V610" t="s">
        <v>876</v>
      </c>
      <c r="W610">
        <v>33100</v>
      </c>
      <c r="X610">
        <v>35</v>
      </c>
      <c r="Y610" t="s">
        <v>3589</v>
      </c>
      <c r="Z610" t="s">
        <v>3590</v>
      </c>
      <c r="AA610" t="s">
        <v>842</v>
      </c>
      <c r="AB610" t="s">
        <v>851</v>
      </c>
      <c r="AC610" t="s">
        <v>713</v>
      </c>
      <c r="AD610" t="s">
        <v>713</v>
      </c>
      <c r="AE610" t="s">
        <v>3591</v>
      </c>
      <c r="AH610" t="s">
        <v>903</v>
      </c>
    </row>
    <row r="611" spans="1:34">
      <c r="A611">
        <v>609</v>
      </c>
      <c r="B611" t="s">
        <v>3592</v>
      </c>
      <c r="C611">
        <v>1149</v>
      </c>
      <c r="D611" t="s">
        <v>811</v>
      </c>
      <c r="E611" t="s">
        <v>3584</v>
      </c>
      <c r="F611" t="s">
        <v>1106</v>
      </c>
      <c r="G611" t="s">
        <v>73</v>
      </c>
      <c r="H611" t="s">
        <v>915</v>
      </c>
      <c r="I611" t="s">
        <v>3587</v>
      </c>
      <c r="N611" t="s">
        <v>2372</v>
      </c>
      <c r="S611" t="s">
        <v>874</v>
      </c>
      <c r="T611" t="s">
        <v>3593</v>
      </c>
      <c r="U611" t="s">
        <v>3594</v>
      </c>
      <c r="V611" t="s">
        <v>876</v>
      </c>
      <c r="W611">
        <v>32267</v>
      </c>
      <c r="X611">
        <v>37</v>
      </c>
      <c r="Y611" t="s">
        <v>3595</v>
      </c>
      <c r="Z611" t="s">
        <v>3596</v>
      </c>
      <c r="AA611" t="s">
        <v>842</v>
      </c>
      <c r="AB611" t="s">
        <v>843</v>
      </c>
      <c r="AC611" t="s">
        <v>713</v>
      </c>
      <c r="AD611" t="s">
        <v>713</v>
      </c>
      <c r="AE611" t="s">
        <v>3591</v>
      </c>
      <c r="AG611" t="s">
        <v>3597</v>
      </c>
      <c r="AH611" t="s">
        <v>903</v>
      </c>
    </row>
    <row r="612" spans="1:34">
      <c r="A612">
        <v>610</v>
      </c>
      <c r="B612" t="s">
        <v>3598</v>
      </c>
      <c r="C612">
        <v>1151</v>
      </c>
      <c r="D612" t="s">
        <v>811</v>
      </c>
      <c r="E612" t="s">
        <v>3584</v>
      </c>
      <c r="F612" t="s">
        <v>1106</v>
      </c>
      <c r="G612" t="s">
        <v>73</v>
      </c>
      <c r="H612" t="s">
        <v>915</v>
      </c>
      <c r="I612" t="s">
        <v>3587</v>
      </c>
      <c r="N612" t="s">
        <v>2372</v>
      </c>
      <c r="S612" t="s">
        <v>874</v>
      </c>
      <c r="T612" t="s">
        <v>3599</v>
      </c>
      <c r="U612" t="s">
        <v>3600</v>
      </c>
      <c r="V612" t="s">
        <v>876</v>
      </c>
      <c r="W612">
        <v>35591</v>
      </c>
      <c r="X612">
        <v>28</v>
      </c>
      <c r="Y612" t="s">
        <v>3601</v>
      </c>
      <c r="Z612" t="s">
        <v>3602</v>
      </c>
      <c r="AA612" t="s">
        <v>802</v>
      </c>
      <c r="AB612" t="s">
        <v>794</v>
      </c>
      <c r="AC612" t="s">
        <v>713</v>
      </c>
      <c r="AD612" t="s">
        <v>713</v>
      </c>
      <c r="AE612" t="s">
        <v>3591</v>
      </c>
      <c r="AH612" t="s">
        <v>903</v>
      </c>
    </row>
    <row r="613" spans="1:34">
      <c r="A613">
        <v>611</v>
      </c>
      <c r="B613" t="s">
        <v>3603</v>
      </c>
      <c r="C613">
        <v>1153</v>
      </c>
      <c r="D613" t="s">
        <v>811</v>
      </c>
      <c r="E613" t="s">
        <v>3584</v>
      </c>
      <c r="F613" t="s">
        <v>1106</v>
      </c>
      <c r="G613" t="s">
        <v>73</v>
      </c>
      <c r="H613" t="s">
        <v>915</v>
      </c>
      <c r="I613" t="s">
        <v>3587</v>
      </c>
      <c r="N613" t="s">
        <v>2372</v>
      </c>
      <c r="O613" t="s">
        <v>308</v>
      </c>
      <c r="S613" t="s">
        <v>874</v>
      </c>
      <c r="T613" t="s">
        <v>3604</v>
      </c>
      <c r="U613" t="s">
        <v>3605</v>
      </c>
      <c r="V613" t="s">
        <v>876</v>
      </c>
      <c r="W613">
        <v>31113</v>
      </c>
      <c r="X613">
        <v>40</v>
      </c>
      <c r="Y613" t="s">
        <v>3606</v>
      </c>
      <c r="Z613" t="s">
        <v>3607</v>
      </c>
      <c r="AA613" t="s">
        <v>842</v>
      </c>
      <c r="AB613" t="s">
        <v>843</v>
      </c>
      <c r="AC613" t="s">
        <v>713</v>
      </c>
      <c r="AD613" t="s">
        <v>713</v>
      </c>
      <c r="AE613" t="s">
        <v>3608</v>
      </c>
      <c r="AH613" t="s">
        <v>1087</v>
      </c>
    </row>
    <row r="614" spans="1:34">
      <c r="A614">
        <v>612</v>
      </c>
      <c r="B614" t="s">
        <v>3609</v>
      </c>
      <c r="C614">
        <v>1155</v>
      </c>
      <c r="D614" t="s">
        <v>811</v>
      </c>
      <c r="E614" t="s">
        <v>3584</v>
      </c>
      <c r="F614" t="s">
        <v>1106</v>
      </c>
      <c r="G614" t="s">
        <v>73</v>
      </c>
      <c r="H614" t="s">
        <v>915</v>
      </c>
      <c r="I614" t="s">
        <v>3587</v>
      </c>
      <c r="N614" t="s">
        <v>2372</v>
      </c>
      <c r="O614" t="s">
        <v>308</v>
      </c>
      <c r="S614" t="s">
        <v>874</v>
      </c>
      <c r="T614" t="s">
        <v>3610</v>
      </c>
      <c r="U614" t="s">
        <v>3611</v>
      </c>
      <c r="V614" t="s">
        <v>876</v>
      </c>
      <c r="W614">
        <v>30783</v>
      </c>
      <c r="X614">
        <v>41</v>
      </c>
      <c r="Y614" t="s">
        <v>3612</v>
      </c>
      <c r="Z614" t="s">
        <v>3613</v>
      </c>
      <c r="AA614" t="s">
        <v>842</v>
      </c>
      <c r="AB614" t="s">
        <v>843</v>
      </c>
      <c r="AC614" t="s">
        <v>713</v>
      </c>
      <c r="AD614" t="s">
        <v>713</v>
      </c>
      <c r="AE614" t="s">
        <v>1906</v>
      </c>
      <c r="AH614" t="s">
        <v>1604</v>
      </c>
    </row>
    <row r="615" spans="1:34">
      <c r="A615">
        <v>613</v>
      </c>
      <c r="B615" t="s">
        <v>3614</v>
      </c>
      <c r="C615">
        <v>1157</v>
      </c>
      <c r="D615" t="s">
        <v>811</v>
      </c>
      <c r="E615" t="s">
        <v>3584</v>
      </c>
      <c r="F615" t="s">
        <v>1106</v>
      </c>
      <c r="G615" t="s">
        <v>73</v>
      </c>
      <c r="H615" t="s">
        <v>915</v>
      </c>
      <c r="I615" t="s">
        <v>3587</v>
      </c>
      <c r="N615" t="s">
        <v>2372</v>
      </c>
      <c r="O615" t="s">
        <v>308</v>
      </c>
      <c r="S615" t="s">
        <v>874</v>
      </c>
      <c r="T615" t="s">
        <v>683</v>
      </c>
      <c r="U615" t="s">
        <v>3615</v>
      </c>
      <c r="V615" t="s">
        <v>876</v>
      </c>
      <c r="W615">
        <v>31732</v>
      </c>
      <c r="X615">
        <v>39</v>
      </c>
      <c r="Y615" t="s">
        <v>3616</v>
      </c>
      <c r="Z615" t="s">
        <v>3617</v>
      </c>
      <c r="AA615" t="s">
        <v>842</v>
      </c>
      <c r="AB615" t="s">
        <v>843</v>
      </c>
      <c r="AC615" t="s">
        <v>713</v>
      </c>
      <c r="AD615" t="s">
        <v>713</v>
      </c>
      <c r="AE615" t="s">
        <v>2072</v>
      </c>
      <c r="AH615" t="s">
        <v>1438</v>
      </c>
    </row>
    <row r="616" spans="1:34">
      <c r="A616">
        <v>614</v>
      </c>
      <c r="B616" t="s">
        <v>3618</v>
      </c>
      <c r="C616">
        <v>1159</v>
      </c>
      <c r="D616" t="s">
        <v>811</v>
      </c>
      <c r="E616" t="s">
        <v>3584</v>
      </c>
      <c r="F616" t="s">
        <v>1106</v>
      </c>
      <c r="G616" t="s">
        <v>73</v>
      </c>
      <c r="H616" t="s">
        <v>915</v>
      </c>
      <c r="I616" t="s">
        <v>3587</v>
      </c>
      <c r="N616" t="s">
        <v>2372</v>
      </c>
      <c r="O616" t="s">
        <v>308</v>
      </c>
      <c r="S616" t="s">
        <v>874</v>
      </c>
      <c r="T616" t="s">
        <v>693</v>
      </c>
      <c r="U616" t="s">
        <v>3619</v>
      </c>
      <c r="V616" t="s">
        <v>876</v>
      </c>
      <c r="W616">
        <v>32987</v>
      </c>
      <c r="X616">
        <v>35</v>
      </c>
      <c r="Y616" t="s">
        <v>3620</v>
      </c>
      <c r="Z616" t="s">
        <v>3621</v>
      </c>
      <c r="AA616" t="s">
        <v>842</v>
      </c>
      <c r="AB616" t="s">
        <v>843</v>
      </c>
      <c r="AC616" t="s">
        <v>713</v>
      </c>
      <c r="AD616" t="s">
        <v>713</v>
      </c>
      <c r="AE616" t="s">
        <v>2072</v>
      </c>
      <c r="AH616" t="s">
        <v>1438</v>
      </c>
    </row>
    <row r="617" spans="1:34">
      <c r="A617">
        <v>615</v>
      </c>
      <c r="B617" t="s">
        <v>3622</v>
      </c>
      <c r="C617">
        <v>1161</v>
      </c>
      <c r="D617" t="s">
        <v>811</v>
      </c>
      <c r="E617" t="s">
        <v>3584</v>
      </c>
      <c r="F617" t="s">
        <v>1106</v>
      </c>
      <c r="G617" t="s">
        <v>73</v>
      </c>
      <c r="H617" t="s">
        <v>915</v>
      </c>
      <c r="I617" t="s">
        <v>3622</v>
      </c>
      <c r="J617" t="s">
        <v>3623</v>
      </c>
      <c r="N617" t="s">
        <v>2425</v>
      </c>
      <c r="P617" t="s">
        <v>49</v>
      </c>
      <c r="Q617" t="s">
        <v>49</v>
      </c>
      <c r="S617" t="s">
        <v>874</v>
      </c>
      <c r="T617" t="s">
        <v>3624</v>
      </c>
      <c r="U617" t="s">
        <v>3625</v>
      </c>
      <c r="V617" t="s">
        <v>876</v>
      </c>
      <c r="W617">
        <v>21995</v>
      </c>
      <c r="X617">
        <v>65</v>
      </c>
      <c r="Y617" t="s">
        <v>3626</v>
      </c>
      <c r="Z617" t="s">
        <v>3627</v>
      </c>
      <c r="AA617" t="s">
        <v>802</v>
      </c>
      <c r="AB617" t="s">
        <v>794</v>
      </c>
      <c r="AC617" t="s">
        <v>1400</v>
      </c>
      <c r="AD617" t="s">
        <v>1400</v>
      </c>
      <c r="AE617" t="s">
        <v>3628</v>
      </c>
      <c r="AH617" t="s">
        <v>903</v>
      </c>
    </row>
    <row r="618" spans="1:34">
      <c r="A618">
        <v>616</v>
      </c>
      <c r="B618" t="s">
        <v>3623</v>
      </c>
      <c r="C618">
        <v>1163</v>
      </c>
      <c r="D618" t="s">
        <v>811</v>
      </c>
      <c r="E618" t="s">
        <v>3584</v>
      </c>
      <c r="F618" t="s">
        <v>1106</v>
      </c>
      <c r="G618" t="s">
        <v>73</v>
      </c>
      <c r="H618" t="s">
        <v>915</v>
      </c>
      <c r="I618" t="s">
        <v>3622</v>
      </c>
      <c r="J618" t="s">
        <v>3623</v>
      </c>
      <c r="N618" t="s">
        <v>2425</v>
      </c>
      <c r="P618" t="s">
        <v>62</v>
      </c>
      <c r="Q618" t="s">
        <v>548</v>
      </c>
      <c r="S618" t="s">
        <v>874</v>
      </c>
      <c r="T618" t="s">
        <v>3629</v>
      </c>
      <c r="U618" t="s">
        <v>3630</v>
      </c>
      <c r="V618" t="s">
        <v>876</v>
      </c>
      <c r="W618">
        <v>28273</v>
      </c>
      <c r="X618">
        <v>48</v>
      </c>
      <c r="Y618" t="s">
        <v>3631</v>
      </c>
      <c r="Z618" t="s">
        <v>3632</v>
      </c>
      <c r="AA618" t="s">
        <v>842</v>
      </c>
      <c r="AB618" t="s">
        <v>851</v>
      </c>
      <c r="AC618" t="s">
        <v>1400</v>
      </c>
      <c r="AD618" t="s">
        <v>1400</v>
      </c>
      <c r="AE618" t="s">
        <v>3633</v>
      </c>
      <c r="AH618" t="s">
        <v>903</v>
      </c>
    </row>
    <row r="619" spans="1:34">
      <c r="A619">
        <v>617</v>
      </c>
      <c r="B619" t="s">
        <v>3634</v>
      </c>
      <c r="C619">
        <v>1165</v>
      </c>
      <c r="D619" t="s">
        <v>811</v>
      </c>
      <c r="E619" t="s">
        <v>3584</v>
      </c>
      <c r="F619" t="s">
        <v>1106</v>
      </c>
      <c r="G619" t="s">
        <v>73</v>
      </c>
      <c r="H619" t="s">
        <v>915</v>
      </c>
      <c r="I619" t="s">
        <v>3622</v>
      </c>
      <c r="J619" t="s">
        <v>3623</v>
      </c>
      <c r="N619" t="s">
        <v>2425</v>
      </c>
      <c r="S619" t="s">
        <v>874</v>
      </c>
      <c r="T619" t="s">
        <v>3635</v>
      </c>
      <c r="U619" t="s">
        <v>3636</v>
      </c>
      <c r="V619" t="s">
        <v>876</v>
      </c>
      <c r="W619">
        <v>31463</v>
      </c>
      <c r="X619">
        <v>39</v>
      </c>
      <c r="Y619" t="s">
        <v>3637</v>
      </c>
      <c r="Z619" t="s">
        <v>3638</v>
      </c>
      <c r="AA619" t="s">
        <v>842</v>
      </c>
      <c r="AB619" t="s">
        <v>851</v>
      </c>
      <c r="AC619" t="s">
        <v>713</v>
      </c>
      <c r="AD619" t="s">
        <v>713</v>
      </c>
      <c r="AE619" t="s">
        <v>1583</v>
      </c>
      <c r="AH619" t="s">
        <v>903</v>
      </c>
    </row>
    <row r="620" spans="1:34">
      <c r="A620">
        <v>618</v>
      </c>
      <c r="B620" t="s">
        <v>3639</v>
      </c>
      <c r="C620">
        <v>1167</v>
      </c>
      <c r="D620" t="s">
        <v>811</v>
      </c>
      <c r="E620" t="s">
        <v>3584</v>
      </c>
      <c r="F620" t="s">
        <v>1106</v>
      </c>
      <c r="G620" t="s">
        <v>73</v>
      </c>
      <c r="H620" t="s">
        <v>915</v>
      </c>
      <c r="I620" t="s">
        <v>3622</v>
      </c>
      <c r="J620" t="s">
        <v>3623</v>
      </c>
      <c r="N620" t="s">
        <v>2425</v>
      </c>
      <c r="S620" t="s">
        <v>874</v>
      </c>
      <c r="T620" t="s">
        <v>3640</v>
      </c>
      <c r="U620" t="s">
        <v>3641</v>
      </c>
      <c r="V620" t="s">
        <v>876</v>
      </c>
      <c r="W620">
        <v>30230</v>
      </c>
      <c r="X620">
        <v>43</v>
      </c>
      <c r="Y620" t="s">
        <v>3642</v>
      </c>
      <c r="Z620" t="s">
        <v>3643</v>
      </c>
      <c r="AA620" t="s">
        <v>842</v>
      </c>
      <c r="AB620" t="s">
        <v>851</v>
      </c>
      <c r="AC620" t="s">
        <v>2208</v>
      </c>
      <c r="AD620" t="s">
        <v>2208</v>
      </c>
      <c r="AE620" t="s">
        <v>3644</v>
      </c>
      <c r="AH620" t="s">
        <v>903</v>
      </c>
    </row>
    <row r="621" spans="1:34">
      <c r="A621">
        <v>619</v>
      </c>
      <c r="B621" t="s">
        <v>3645</v>
      </c>
      <c r="C621">
        <v>1169</v>
      </c>
      <c r="D621" t="s">
        <v>811</v>
      </c>
      <c r="E621" t="s">
        <v>3584</v>
      </c>
      <c r="F621" t="s">
        <v>1106</v>
      </c>
      <c r="G621" t="s">
        <v>73</v>
      </c>
      <c r="H621" t="s">
        <v>915</v>
      </c>
      <c r="I621" t="s">
        <v>3622</v>
      </c>
      <c r="J621" t="s">
        <v>3623</v>
      </c>
      <c r="N621" t="s">
        <v>2425</v>
      </c>
      <c r="S621" t="s">
        <v>874</v>
      </c>
      <c r="T621" t="s">
        <v>3646</v>
      </c>
      <c r="U621" t="s">
        <v>3647</v>
      </c>
      <c r="V621" t="s">
        <v>876</v>
      </c>
      <c r="W621">
        <v>32894</v>
      </c>
      <c r="X621">
        <v>36</v>
      </c>
      <c r="Y621" t="s">
        <v>3648</v>
      </c>
      <c r="Z621" t="s">
        <v>3649</v>
      </c>
      <c r="AA621" t="s">
        <v>842</v>
      </c>
      <c r="AB621" t="s">
        <v>851</v>
      </c>
      <c r="AC621" t="s">
        <v>2208</v>
      </c>
      <c r="AD621" t="s">
        <v>2208</v>
      </c>
      <c r="AE621" t="s">
        <v>3644</v>
      </c>
      <c r="AH621" t="s">
        <v>903</v>
      </c>
    </row>
    <row r="622" spans="1:34">
      <c r="A622">
        <v>620</v>
      </c>
      <c r="B622" t="s">
        <v>3650</v>
      </c>
      <c r="C622">
        <v>1171</v>
      </c>
      <c r="D622" t="s">
        <v>981</v>
      </c>
      <c r="E622" t="s">
        <v>3584</v>
      </c>
      <c r="F622" t="s">
        <v>1106</v>
      </c>
      <c r="G622" t="s">
        <v>73</v>
      </c>
      <c r="H622" t="s">
        <v>915</v>
      </c>
      <c r="I622" t="s">
        <v>3622</v>
      </c>
      <c r="J622" t="s">
        <v>3623</v>
      </c>
      <c r="N622" t="s">
        <v>2425</v>
      </c>
      <c r="S622" t="s">
        <v>874</v>
      </c>
      <c r="T622" t="s">
        <v>3651</v>
      </c>
      <c r="U622" t="s">
        <v>3652</v>
      </c>
      <c r="V622" t="s">
        <v>876</v>
      </c>
      <c r="W622">
        <v>25602</v>
      </c>
      <c r="X622">
        <v>55</v>
      </c>
      <c r="Z622" t="s">
        <v>3653</v>
      </c>
      <c r="AA622" t="s">
        <v>842</v>
      </c>
      <c r="AB622" t="s">
        <v>851</v>
      </c>
      <c r="AC622" t="s">
        <v>1400</v>
      </c>
      <c r="AD622" t="s">
        <v>1400</v>
      </c>
      <c r="AE622" t="s">
        <v>3654</v>
      </c>
      <c r="AH622" t="s">
        <v>832</v>
      </c>
    </row>
    <row r="623" spans="1:34">
      <c r="A623">
        <v>621</v>
      </c>
      <c r="B623" t="s">
        <v>3655</v>
      </c>
      <c r="C623">
        <v>1173</v>
      </c>
      <c r="D623" t="s">
        <v>981</v>
      </c>
      <c r="E623" t="s">
        <v>3584</v>
      </c>
      <c r="F623" t="s">
        <v>1106</v>
      </c>
      <c r="G623" t="s">
        <v>73</v>
      </c>
      <c r="H623" t="s">
        <v>915</v>
      </c>
      <c r="I623" t="s">
        <v>3622</v>
      </c>
      <c r="J623" t="s">
        <v>3623</v>
      </c>
      <c r="N623" t="s">
        <v>2425</v>
      </c>
      <c r="O623" t="s">
        <v>308</v>
      </c>
      <c r="S623" t="s">
        <v>874</v>
      </c>
      <c r="T623" t="s">
        <v>738</v>
      </c>
      <c r="U623" t="s">
        <v>3656</v>
      </c>
      <c r="V623" t="s">
        <v>876</v>
      </c>
      <c r="W623">
        <v>30389</v>
      </c>
      <c r="X623">
        <v>42</v>
      </c>
      <c r="Y623" t="s">
        <v>3657</v>
      </c>
      <c r="AA623" t="s">
        <v>842</v>
      </c>
      <c r="AB623" t="s">
        <v>843</v>
      </c>
      <c r="AC623" t="s">
        <v>1400</v>
      </c>
      <c r="AD623" t="s">
        <v>1400</v>
      </c>
      <c r="AE623" t="s">
        <v>2888</v>
      </c>
      <c r="AH623" t="s">
        <v>1295</v>
      </c>
    </row>
    <row r="624" spans="1:34">
      <c r="A624">
        <v>622</v>
      </c>
      <c r="B624" t="s">
        <v>1679</v>
      </c>
      <c r="C624">
        <v>1174</v>
      </c>
      <c r="E624" t="s">
        <v>3584</v>
      </c>
      <c r="F624" t="s">
        <v>1118</v>
      </c>
      <c r="G624" t="s">
        <v>73</v>
      </c>
      <c r="H624" t="s">
        <v>915</v>
      </c>
      <c r="I624" t="s">
        <v>1679</v>
      </c>
      <c r="J624" t="s">
        <v>3658</v>
      </c>
      <c r="N624" t="s">
        <v>828</v>
      </c>
      <c r="P624" t="s">
        <v>49</v>
      </c>
      <c r="Q624" t="s">
        <v>168</v>
      </c>
      <c r="T624" t="s">
        <v>278</v>
      </c>
      <c r="U624" t="s">
        <v>1680</v>
      </c>
      <c r="V624" t="s">
        <v>876</v>
      </c>
      <c r="W624">
        <v>28944</v>
      </c>
      <c r="X624">
        <v>46</v>
      </c>
      <c r="Y624" t="s">
        <v>1681</v>
      </c>
      <c r="Z624" t="s">
        <v>3659</v>
      </c>
      <c r="AA624" t="s">
        <v>802</v>
      </c>
      <c r="AB624" t="s">
        <v>794</v>
      </c>
      <c r="AC624" t="s">
        <v>236</v>
      </c>
      <c r="AD624" t="s">
        <v>236</v>
      </c>
      <c r="AE624" t="s">
        <v>1683</v>
      </c>
      <c r="AF624" t="s">
        <v>872</v>
      </c>
    </row>
    <row r="625" spans="1:34">
      <c r="A625">
        <v>623</v>
      </c>
      <c r="B625" t="s">
        <v>3658</v>
      </c>
      <c r="C625">
        <v>1176</v>
      </c>
      <c r="D625" t="s">
        <v>811</v>
      </c>
      <c r="E625" t="s">
        <v>3584</v>
      </c>
      <c r="F625" t="s">
        <v>1106</v>
      </c>
      <c r="G625" t="s">
        <v>73</v>
      </c>
      <c r="H625" t="s">
        <v>915</v>
      </c>
      <c r="I625" t="s">
        <v>1679</v>
      </c>
      <c r="J625" t="s">
        <v>3658</v>
      </c>
      <c r="N625" t="s">
        <v>828</v>
      </c>
      <c r="P625" t="s">
        <v>62</v>
      </c>
      <c r="Q625" t="s">
        <v>548</v>
      </c>
      <c r="S625" t="s">
        <v>874</v>
      </c>
      <c r="T625" t="s">
        <v>595</v>
      </c>
      <c r="U625" t="s">
        <v>3660</v>
      </c>
      <c r="V625" t="s">
        <v>876</v>
      </c>
      <c r="W625">
        <v>30933</v>
      </c>
      <c r="X625">
        <v>41</v>
      </c>
      <c r="Y625" t="s">
        <v>3661</v>
      </c>
      <c r="Z625" t="s">
        <v>3662</v>
      </c>
      <c r="AA625" t="s">
        <v>842</v>
      </c>
      <c r="AB625" t="s">
        <v>851</v>
      </c>
      <c r="AC625" t="s">
        <v>713</v>
      </c>
      <c r="AD625" t="s">
        <v>713</v>
      </c>
      <c r="AE625" t="s">
        <v>3663</v>
      </c>
      <c r="AH625" t="s">
        <v>867</v>
      </c>
    </row>
    <row r="626" spans="1:34">
      <c r="A626">
        <v>624</v>
      </c>
      <c r="B626" t="s">
        <v>3664</v>
      </c>
      <c r="C626">
        <v>1178</v>
      </c>
      <c r="D626" t="s">
        <v>811</v>
      </c>
      <c r="E626" t="s">
        <v>3584</v>
      </c>
      <c r="F626" t="s">
        <v>1106</v>
      </c>
      <c r="G626" t="s">
        <v>73</v>
      </c>
      <c r="H626" t="s">
        <v>915</v>
      </c>
      <c r="I626" t="s">
        <v>1679</v>
      </c>
      <c r="J626" t="s">
        <v>3658</v>
      </c>
      <c r="N626" t="s">
        <v>828</v>
      </c>
      <c r="S626" t="s">
        <v>874</v>
      </c>
      <c r="T626" t="s">
        <v>614</v>
      </c>
      <c r="U626" t="s">
        <v>3665</v>
      </c>
      <c r="V626" t="s">
        <v>876</v>
      </c>
      <c r="W626">
        <v>26339</v>
      </c>
      <c r="X626">
        <v>53</v>
      </c>
      <c r="Y626" t="s">
        <v>3666</v>
      </c>
      <c r="Z626" t="s">
        <v>3667</v>
      </c>
      <c r="AA626" t="s">
        <v>842</v>
      </c>
      <c r="AB626" t="s">
        <v>851</v>
      </c>
      <c r="AC626" t="s">
        <v>713</v>
      </c>
      <c r="AD626" t="s">
        <v>713</v>
      </c>
      <c r="AE626" t="s">
        <v>3668</v>
      </c>
      <c r="AH626" t="s">
        <v>867</v>
      </c>
    </row>
    <row r="627" spans="1:34">
      <c r="A627">
        <v>625</v>
      </c>
      <c r="B627" t="s">
        <v>3669</v>
      </c>
      <c r="C627">
        <v>1180</v>
      </c>
      <c r="D627" t="s">
        <v>811</v>
      </c>
      <c r="E627" t="s">
        <v>3584</v>
      </c>
      <c r="F627" t="s">
        <v>1106</v>
      </c>
      <c r="G627" t="s">
        <v>73</v>
      </c>
      <c r="H627" t="s">
        <v>915</v>
      </c>
      <c r="I627" t="s">
        <v>1679</v>
      </c>
      <c r="J627" t="s">
        <v>3658</v>
      </c>
      <c r="N627" t="s">
        <v>828</v>
      </c>
      <c r="S627" t="s">
        <v>874</v>
      </c>
      <c r="T627" t="s">
        <v>632</v>
      </c>
      <c r="U627" t="s">
        <v>3670</v>
      </c>
      <c r="V627" t="s">
        <v>876</v>
      </c>
      <c r="W627">
        <v>31788</v>
      </c>
      <c r="X627">
        <v>39</v>
      </c>
      <c r="Y627" t="s">
        <v>3671</v>
      </c>
      <c r="AA627" t="s">
        <v>842</v>
      </c>
      <c r="AB627" t="s">
        <v>851</v>
      </c>
      <c r="AC627" t="s">
        <v>713</v>
      </c>
      <c r="AD627" t="s">
        <v>713</v>
      </c>
      <c r="AE627" t="s">
        <v>3672</v>
      </c>
      <c r="AF627" t="s">
        <v>1571</v>
      </c>
      <c r="AG627" t="s">
        <v>3673</v>
      </c>
      <c r="AH627" t="s">
        <v>867</v>
      </c>
    </row>
    <row r="628" spans="1:34">
      <c r="A628">
        <v>626</v>
      </c>
      <c r="B628" t="s">
        <v>3674</v>
      </c>
      <c r="C628">
        <v>1182</v>
      </c>
      <c r="D628" t="s">
        <v>811</v>
      </c>
      <c r="E628" t="s">
        <v>3584</v>
      </c>
      <c r="F628" t="s">
        <v>1106</v>
      </c>
      <c r="G628" t="s">
        <v>73</v>
      </c>
      <c r="H628" t="s">
        <v>915</v>
      </c>
      <c r="I628" t="s">
        <v>1679</v>
      </c>
      <c r="J628" t="s">
        <v>3658</v>
      </c>
      <c r="N628" t="s">
        <v>828</v>
      </c>
      <c r="S628" t="s">
        <v>874</v>
      </c>
      <c r="T628" t="s">
        <v>3675</v>
      </c>
      <c r="U628" t="s">
        <v>3676</v>
      </c>
      <c r="V628" t="s">
        <v>876</v>
      </c>
      <c r="W628">
        <v>21929</v>
      </c>
      <c r="X628">
        <v>66</v>
      </c>
      <c r="Y628" t="s">
        <v>3677</v>
      </c>
      <c r="AA628" t="s">
        <v>842</v>
      </c>
      <c r="AB628" t="s">
        <v>843</v>
      </c>
      <c r="AC628" t="s">
        <v>713</v>
      </c>
      <c r="AD628" t="s">
        <v>713</v>
      </c>
      <c r="AE628" t="s">
        <v>3678</v>
      </c>
      <c r="AG628" t="s">
        <v>866</v>
      </c>
      <c r="AH628" t="s">
        <v>867</v>
      </c>
    </row>
    <row r="629" spans="1:34">
      <c r="A629">
        <v>627</v>
      </c>
      <c r="B629" t="s">
        <v>3679</v>
      </c>
      <c r="C629">
        <v>1184</v>
      </c>
      <c r="D629" t="s">
        <v>811</v>
      </c>
      <c r="E629" t="s">
        <v>3584</v>
      </c>
      <c r="F629" t="s">
        <v>1106</v>
      </c>
      <c r="G629" t="s">
        <v>73</v>
      </c>
      <c r="H629" t="s">
        <v>915</v>
      </c>
      <c r="I629" t="s">
        <v>1679</v>
      </c>
      <c r="J629" t="s">
        <v>3658</v>
      </c>
      <c r="N629" t="s">
        <v>828</v>
      </c>
      <c r="S629" t="s">
        <v>874</v>
      </c>
      <c r="T629" t="s">
        <v>3680</v>
      </c>
      <c r="U629" t="s">
        <v>3681</v>
      </c>
      <c r="V629" t="s">
        <v>876</v>
      </c>
      <c r="W629">
        <v>32411</v>
      </c>
      <c r="X629">
        <v>37</v>
      </c>
      <c r="Y629" t="s">
        <v>3682</v>
      </c>
      <c r="AA629" t="s">
        <v>842</v>
      </c>
      <c r="AB629" t="s">
        <v>843</v>
      </c>
      <c r="AC629" t="s">
        <v>713</v>
      </c>
      <c r="AD629" t="s">
        <v>713</v>
      </c>
      <c r="AE629" t="s">
        <v>1294</v>
      </c>
      <c r="AG629" t="s">
        <v>866</v>
      </c>
      <c r="AH629" t="s">
        <v>976</v>
      </c>
    </row>
    <row r="630" spans="1:34">
      <c r="A630">
        <v>628</v>
      </c>
      <c r="B630" t="s">
        <v>3683</v>
      </c>
      <c r="C630">
        <v>1186</v>
      </c>
      <c r="D630" t="s">
        <v>811</v>
      </c>
      <c r="E630" t="s">
        <v>3584</v>
      </c>
      <c r="F630" t="s">
        <v>1106</v>
      </c>
      <c r="G630" t="s">
        <v>73</v>
      </c>
      <c r="H630" t="s">
        <v>915</v>
      </c>
      <c r="I630" t="s">
        <v>3683</v>
      </c>
      <c r="J630" t="s">
        <v>3684</v>
      </c>
      <c r="N630" t="s">
        <v>938</v>
      </c>
      <c r="P630" t="s">
        <v>49</v>
      </c>
      <c r="Q630" t="s">
        <v>168</v>
      </c>
      <c r="S630" t="s">
        <v>874</v>
      </c>
      <c r="T630" t="s">
        <v>3685</v>
      </c>
      <c r="U630" t="s">
        <v>3686</v>
      </c>
      <c r="V630" t="s">
        <v>876</v>
      </c>
      <c r="W630">
        <v>33871</v>
      </c>
      <c r="X630">
        <v>33</v>
      </c>
      <c r="Y630" t="s">
        <v>3687</v>
      </c>
      <c r="Z630" t="s">
        <v>3688</v>
      </c>
      <c r="AA630" t="s">
        <v>842</v>
      </c>
      <c r="AB630" t="s">
        <v>851</v>
      </c>
      <c r="AC630" t="s">
        <v>1256</v>
      </c>
      <c r="AD630" t="s">
        <v>1256</v>
      </c>
      <c r="AH630" t="s">
        <v>976</v>
      </c>
    </row>
    <row r="631" spans="1:34">
      <c r="A631">
        <v>629</v>
      </c>
      <c r="B631" t="s">
        <v>3684</v>
      </c>
      <c r="C631">
        <v>1188</v>
      </c>
      <c r="D631" t="s">
        <v>811</v>
      </c>
      <c r="E631" t="s">
        <v>3584</v>
      </c>
      <c r="F631" t="s">
        <v>1106</v>
      </c>
      <c r="G631" t="s">
        <v>73</v>
      </c>
      <c r="H631" t="s">
        <v>915</v>
      </c>
      <c r="I631" t="s">
        <v>3683</v>
      </c>
      <c r="J631" t="s">
        <v>3684</v>
      </c>
      <c r="N631" t="s">
        <v>938</v>
      </c>
      <c r="P631" t="s">
        <v>62</v>
      </c>
      <c r="Q631" t="s">
        <v>548</v>
      </c>
      <c r="S631" t="s">
        <v>874</v>
      </c>
      <c r="T631" t="s">
        <v>596</v>
      </c>
      <c r="U631" t="s">
        <v>3689</v>
      </c>
      <c r="V631" t="s">
        <v>876</v>
      </c>
      <c r="W631">
        <v>35425</v>
      </c>
      <c r="X631">
        <v>29</v>
      </c>
      <c r="Y631" t="s">
        <v>3690</v>
      </c>
      <c r="Z631" t="s">
        <v>3691</v>
      </c>
      <c r="AA631" t="s">
        <v>842</v>
      </c>
      <c r="AB631" t="s">
        <v>851</v>
      </c>
      <c r="AC631" t="s">
        <v>713</v>
      </c>
      <c r="AD631" t="s">
        <v>713</v>
      </c>
      <c r="AE631" t="s">
        <v>3692</v>
      </c>
      <c r="AH631" t="s">
        <v>976</v>
      </c>
    </row>
    <row r="632" spans="1:34">
      <c r="A632">
        <v>630</v>
      </c>
      <c r="B632" t="s">
        <v>3693</v>
      </c>
      <c r="C632">
        <v>1190</v>
      </c>
      <c r="D632" t="s">
        <v>811</v>
      </c>
      <c r="E632" t="s">
        <v>3584</v>
      </c>
      <c r="F632" t="s">
        <v>1106</v>
      </c>
      <c r="G632" t="s">
        <v>73</v>
      </c>
      <c r="H632" t="s">
        <v>915</v>
      </c>
      <c r="I632" t="s">
        <v>3683</v>
      </c>
      <c r="J632" t="s">
        <v>3684</v>
      </c>
      <c r="N632" t="s">
        <v>938</v>
      </c>
      <c r="S632" t="s">
        <v>874</v>
      </c>
      <c r="T632" t="s">
        <v>615</v>
      </c>
      <c r="U632" t="s">
        <v>3694</v>
      </c>
      <c r="V632" t="s">
        <v>876</v>
      </c>
      <c r="W632">
        <v>35131</v>
      </c>
      <c r="X632">
        <v>29</v>
      </c>
      <c r="Y632" t="s">
        <v>3695</v>
      </c>
      <c r="Z632" t="s">
        <v>3696</v>
      </c>
      <c r="AA632" t="s">
        <v>842</v>
      </c>
      <c r="AB632" t="s">
        <v>851</v>
      </c>
      <c r="AC632" t="s">
        <v>1256</v>
      </c>
      <c r="AD632" t="s">
        <v>1256</v>
      </c>
      <c r="AE632" t="s">
        <v>2768</v>
      </c>
      <c r="AH632" t="s">
        <v>976</v>
      </c>
    </row>
    <row r="633" spans="1:34">
      <c r="A633">
        <v>631</v>
      </c>
      <c r="B633" t="s">
        <v>3697</v>
      </c>
      <c r="C633">
        <v>1192</v>
      </c>
      <c r="D633" t="s">
        <v>811</v>
      </c>
      <c r="E633" t="s">
        <v>3584</v>
      </c>
      <c r="F633" t="s">
        <v>1106</v>
      </c>
      <c r="G633" t="s">
        <v>73</v>
      </c>
      <c r="H633" t="s">
        <v>915</v>
      </c>
      <c r="I633" t="s">
        <v>3683</v>
      </c>
      <c r="J633" t="s">
        <v>3684</v>
      </c>
      <c r="N633" t="s">
        <v>938</v>
      </c>
      <c r="S633" t="s">
        <v>874</v>
      </c>
      <c r="T633" t="s">
        <v>633</v>
      </c>
      <c r="U633" t="s">
        <v>3698</v>
      </c>
      <c r="V633" t="s">
        <v>876</v>
      </c>
      <c r="W633">
        <v>31175</v>
      </c>
      <c r="X633">
        <v>40</v>
      </c>
      <c r="Y633" t="s">
        <v>3699</v>
      </c>
      <c r="Z633" t="s">
        <v>3700</v>
      </c>
      <c r="AA633" t="s">
        <v>842</v>
      </c>
      <c r="AB633" t="s">
        <v>851</v>
      </c>
      <c r="AC633" t="s">
        <v>713</v>
      </c>
      <c r="AD633" t="s">
        <v>713</v>
      </c>
      <c r="AE633" t="s">
        <v>3701</v>
      </c>
      <c r="AH633" t="s">
        <v>976</v>
      </c>
    </row>
    <row r="634" spans="1:34">
      <c r="A634">
        <v>632</v>
      </c>
      <c r="B634" t="s">
        <v>3702</v>
      </c>
      <c r="C634">
        <v>1194</v>
      </c>
      <c r="D634" t="s">
        <v>811</v>
      </c>
      <c r="E634" t="s">
        <v>3584</v>
      </c>
      <c r="F634" t="s">
        <v>1106</v>
      </c>
      <c r="G634" t="s">
        <v>73</v>
      </c>
      <c r="H634" t="s">
        <v>915</v>
      </c>
      <c r="I634" t="s">
        <v>3683</v>
      </c>
      <c r="J634" t="s">
        <v>3684</v>
      </c>
      <c r="N634" t="s">
        <v>938</v>
      </c>
      <c r="S634" t="s">
        <v>874</v>
      </c>
      <c r="T634" t="s">
        <v>652</v>
      </c>
      <c r="U634" t="s">
        <v>3703</v>
      </c>
      <c r="V634" t="s">
        <v>876</v>
      </c>
      <c r="W634">
        <v>31279</v>
      </c>
      <c r="X634">
        <v>40</v>
      </c>
      <c r="Y634" t="s">
        <v>3704</v>
      </c>
      <c r="AA634" t="s">
        <v>842</v>
      </c>
      <c r="AB634" t="s">
        <v>843</v>
      </c>
      <c r="AC634" t="s">
        <v>713</v>
      </c>
      <c r="AD634" t="s">
        <v>713</v>
      </c>
      <c r="AE634" t="s">
        <v>3705</v>
      </c>
      <c r="AH634" t="s">
        <v>976</v>
      </c>
    </row>
    <row r="635" spans="1:34">
      <c r="A635">
        <v>633</v>
      </c>
      <c r="B635" t="s">
        <v>3706</v>
      </c>
      <c r="C635">
        <v>1196</v>
      </c>
      <c r="D635" t="s">
        <v>811</v>
      </c>
      <c r="E635" t="s">
        <v>3584</v>
      </c>
      <c r="F635" t="s">
        <v>1106</v>
      </c>
      <c r="G635" t="s">
        <v>73</v>
      </c>
      <c r="H635" t="s">
        <v>915</v>
      </c>
      <c r="I635" t="s">
        <v>3683</v>
      </c>
      <c r="J635" t="s">
        <v>3684</v>
      </c>
      <c r="N635" t="s">
        <v>938</v>
      </c>
      <c r="S635" t="s">
        <v>874</v>
      </c>
      <c r="T635" t="s">
        <v>670</v>
      </c>
      <c r="U635" t="s">
        <v>3707</v>
      </c>
      <c r="V635" t="s">
        <v>876</v>
      </c>
      <c r="W635">
        <v>34479</v>
      </c>
      <c r="X635">
        <v>31</v>
      </c>
      <c r="Y635" t="s">
        <v>3708</v>
      </c>
      <c r="Z635" t="s">
        <v>3709</v>
      </c>
      <c r="AA635" t="s">
        <v>842</v>
      </c>
      <c r="AB635" t="s">
        <v>851</v>
      </c>
      <c r="AC635" t="s">
        <v>713</v>
      </c>
      <c r="AD635" t="s">
        <v>713</v>
      </c>
      <c r="AE635" t="s">
        <v>3692</v>
      </c>
      <c r="AH635" t="s">
        <v>976</v>
      </c>
    </row>
    <row r="636" spans="1:34">
      <c r="A636">
        <v>634</v>
      </c>
      <c r="B636" t="s">
        <v>3710</v>
      </c>
      <c r="C636">
        <v>1198</v>
      </c>
      <c r="D636" t="s">
        <v>811</v>
      </c>
      <c r="E636" t="s">
        <v>3584</v>
      </c>
      <c r="F636" t="s">
        <v>1106</v>
      </c>
      <c r="G636" t="s">
        <v>73</v>
      </c>
      <c r="H636" t="s">
        <v>915</v>
      </c>
      <c r="I636" t="s">
        <v>3683</v>
      </c>
      <c r="J636" t="s">
        <v>3684</v>
      </c>
      <c r="N636" t="s">
        <v>938</v>
      </c>
      <c r="S636" t="s">
        <v>874</v>
      </c>
      <c r="T636" t="s">
        <v>684</v>
      </c>
      <c r="U636" t="s">
        <v>3711</v>
      </c>
      <c r="V636" t="s">
        <v>876</v>
      </c>
      <c r="W636" t="s">
        <v>3712</v>
      </c>
      <c r="X636">
        <v>25</v>
      </c>
      <c r="Y636" t="s">
        <v>3713</v>
      </c>
      <c r="Z636" t="s">
        <v>3714</v>
      </c>
      <c r="AA636" t="s">
        <v>842</v>
      </c>
      <c r="AB636" t="s">
        <v>851</v>
      </c>
      <c r="AC636" t="s">
        <v>713</v>
      </c>
      <c r="AD636" t="s">
        <v>713</v>
      </c>
      <c r="AE636" t="s">
        <v>3715</v>
      </c>
      <c r="AH636" t="s">
        <v>976</v>
      </c>
    </row>
    <row r="637" spans="1:34">
      <c r="A637">
        <v>635</v>
      </c>
      <c r="B637" t="s">
        <v>1194</v>
      </c>
      <c r="C637">
        <v>1199</v>
      </c>
      <c r="E637" t="s">
        <v>3584</v>
      </c>
      <c r="F637" t="s">
        <v>1106</v>
      </c>
      <c r="G637" t="s">
        <v>73</v>
      </c>
      <c r="H637" t="s">
        <v>915</v>
      </c>
      <c r="I637" t="s">
        <v>1194</v>
      </c>
      <c r="J637" t="s">
        <v>3716</v>
      </c>
      <c r="N637" t="s">
        <v>978</v>
      </c>
      <c r="P637" t="s">
        <v>49</v>
      </c>
      <c r="Q637" t="s">
        <v>168</v>
      </c>
      <c r="T637" t="s">
        <v>294</v>
      </c>
      <c r="U637" t="s">
        <v>1195</v>
      </c>
      <c r="V637" t="s">
        <v>876</v>
      </c>
      <c r="W637">
        <v>25307</v>
      </c>
      <c r="X637">
        <v>56</v>
      </c>
      <c r="Y637" t="s">
        <v>1196</v>
      </c>
      <c r="Z637" t="s">
        <v>3717</v>
      </c>
      <c r="AA637" t="s">
        <v>802</v>
      </c>
      <c r="AB637" t="s">
        <v>794</v>
      </c>
      <c r="AC637" t="s">
        <v>713</v>
      </c>
      <c r="AD637" t="s">
        <v>1163</v>
      </c>
      <c r="AE637" t="s">
        <v>1164</v>
      </c>
      <c r="AF637" t="s">
        <v>872</v>
      </c>
    </row>
    <row r="638" spans="1:34">
      <c r="A638">
        <v>636</v>
      </c>
      <c r="B638" t="s">
        <v>3716</v>
      </c>
      <c r="C638">
        <v>1201</v>
      </c>
      <c r="D638" t="s">
        <v>981</v>
      </c>
      <c r="E638" t="s">
        <v>3584</v>
      </c>
      <c r="F638" t="s">
        <v>1106</v>
      </c>
      <c r="G638" t="s">
        <v>73</v>
      </c>
      <c r="H638" t="s">
        <v>915</v>
      </c>
      <c r="I638" t="s">
        <v>1194</v>
      </c>
      <c r="J638" t="s">
        <v>3716</v>
      </c>
      <c r="N638" t="s">
        <v>978</v>
      </c>
      <c r="P638" t="s">
        <v>62</v>
      </c>
      <c r="Q638" t="s">
        <v>548</v>
      </c>
      <c r="S638" t="s">
        <v>874</v>
      </c>
      <c r="T638" t="s">
        <v>597</v>
      </c>
      <c r="U638" t="s">
        <v>3718</v>
      </c>
      <c r="V638" t="s">
        <v>876</v>
      </c>
      <c r="W638">
        <v>27337</v>
      </c>
      <c r="X638">
        <v>51</v>
      </c>
      <c r="Y638" t="s">
        <v>3719</v>
      </c>
      <c r="Z638" t="s">
        <v>3720</v>
      </c>
      <c r="AA638" t="s">
        <v>842</v>
      </c>
      <c r="AB638" t="s">
        <v>851</v>
      </c>
      <c r="AC638" t="s">
        <v>815</v>
      </c>
      <c r="AD638" t="s">
        <v>815</v>
      </c>
      <c r="AE638" t="s">
        <v>1352</v>
      </c>
      <c r="AH638" t="s">
        <v>971</v>
      </c>
    </row>
    <row r="639" spans="1:34">
      <c r="A639">
        <v>637</v>
      </c>
      <c r="B639" t="s">
        <v>3721</v>
      </c>
      <c r="C639">
        <v>1203</v>
      </c>
      <c r="D639" t="s">
        <v>811</v>
      </c>
      <c r="E639" t="s">
        <v>3584</v>
      </c>
      <c r="F639" t="s">
        <v>1106</v>
      </c>
      <c r="G639" t="s">
        <v>73</v>
      </c>
      <c r="H639" t="s">
        <v>915</v>
      </c>
      <c r="I639" t="s">
        <v>1194</v>
      </c>
      <c r="J639" t="s">
        <v>3716</v>
      </c>
      <c r="N639" t="s">
        <v>978</v>
      </c>
      <c r="S639" t="s">
        <v>874</v>
      </c>
      <c r="T639" t="s">
        <v>616</v>
      </c>
      <c r="U639" t="s">
        <v>3722</v>
      </c>
      <c r="V639" t="s">
        <v>876</v>
      </c>
      <c r="W639">
        <v>26046</v>
      </c>
      <c r="X639">
        <v>54</v>
      </c>
      <c r="Y639" t="s">
        <v>3723</v>
      </c>
      <c r="AA639" t="s">
        <v>842</v>
      </c>
      <c r="AB639" t="s">
        <v>843</v>
      </c>
      <c r="AC639" t="s">
        <v>713</v>
      </c>
      <c r="AD639" t="s">
        <v>713</v>
      </c>
      <c r="AE639" t="s">
        <v>3724</v>
      </c>
      <c r="AH639" t="s">
        <v>971</v>
      </c>
    </row>
    <row r="640" spans="1:34">
      <c r="A640">
        <v>638</v>
      </c>
      <c r="B640" t="s">
        <v>3725</v>
      </c>
      <c r="C640">
        <v>1205</v>
      </c>
      <c r="D640" t="s">
        <v>981</v>
      </c>
      <c r="E640" t="s">
        <v>3584</v>
      </c>
      <c r="F640" t="s">
        <v>1106</v>
      </c>
      <c r="G640" t="s">
        <v>73</v>
      </c>
      <c r="H640" t="s">
        <v>915</v>
      </c>
      <c r="I640" t="s">
        <v>1194</v>
      </c>
      <c r="J640" t="s">
        <v>3716</v>
      </c>
      <c r="N640" t="s">
        <v>978</v>
      </c>
      <c r="S640" t="s">
        <v>874</v>
      </c>
      <c r="T640" t="s">
        <v>634</v>
      </c>
      <c r="U640" t="s">
        <v>3726</v>
      </c>
      <c r="V640" t="s">
        <v>876</v>
      </c>
      <c r="W640">
        <v>26397</v>
      </c>
      <c r="X640">
        <v>53</v>
      </c>
      <c r="Y640" t="s">
        <v>3727</v>
      </c>
      <c r="Z640" t="s">
        <v>3728</v>
      </c>
      <c r="AA640" t="s">
        <v>842</v>
      </c>
      <c r="AB640" t="s">
        <v>851</v>
      </c>
      <c r="AC640" t="s">
        <v>713</v>
      </c>
      <c r="AD640" t="s">
        <v>815</v>
      </c>
      <c r="AE640" t="s">
        <v>3729</v>
      </c>
      <c r="AH640" t="s">
        <v>971</v>
      </c>
    </row>
    <row r="641" spans="1:34">
      <c r="A641">
        <v>639</v>
      </c>
      <c r="B641" t="s">
        <v>3730</v>
      </c>
      <c r="C641">
        <v>1207</v>
      </c>
      <c r="D641" t="s">
        <v>811</v>
      </c>
      <c r="E641" t="s">
        <v>3584</v>
      </c>
      <c r="F641" t="s">
        <v>1106</v>
      </c>
      <c r="G641" t="s">
        <v>73</v>
      </c>
      <c r="H641" t="s">
        <v>915</v>
      </c>
      <c r="I641" t="s">
        <v>1194</v>
      </c>
      <c r="J641" t="s">
        <v>3716</v>
      </c>
      <c r="N641" t="s">
        <v>978</v>
      </c>
      <c r="S641" t="s">
        <v>874</v>
      </c>
      <c r="T641" t="s">
        <v>653</v>
      </c>
      <c r="U641" t="s">
        <v>3731</v>
      </c>
      <c r="V641" t="s">
        <v>876</v>
      </c>
      <c r="W641">
        <v>26636</v>
      </c>
      <c r="X641">
        <v>53</v>
      </c>
      <c r="Y641" t="s">
        <v>3732</v>
      </c>
      <c r="Z641" t="s">
        <v>3733</v>
      </c>
      <c r="AA641" t="s">
        <v>842</v>
      </c>
      <c r="AB641" t="s">
        <v>843</v>
      </c>
      <c r="AC641" t="s">
        <v>713</v>
      </c>
      <c r="AD641" t="s">
        <v>713</v>
      </c>
      <c r="AE641" t="s">
        <v>3734</v>
      </c>
      <c r="AH641" t="s">
        <v>971</v>
      </c>
    </row>
    <row r="642" spans="1:34">
      <c r="A642">
        <v>640</v>
      </c>
      <c r="B642" t="s">
        <v>3735</v>
      </c>
      <c r="C642">
        <v>1209</v>
      </c>
      <c r="D642" t="s">
        <v>811</v>
      </c>
      <c r="E642" t="s">
        <v>3584</v>
      </c>
      <c r="F642" t="s">
        <v>1106</v>
      </c>
      <c r="G642" t="s">
        <v>73</v>
      </c>
      <c r="H642" t="s">
        <v>915</v>
      </c>
      <c r="I642" t="s">
        <v>1194</v>
      </c>
      <c r="J642" t="s">
        <v>3716</v>
      </c>
      <c r="N642" t="s">
        <v>978</v>
      </c>
      <c r="S642" t="s">
        <v>874</v>
      </c>
      <c r="T642" t="s">
        <v>685</v>
      </c>
      <c r="U642" t="s">
        <v>3736</v>
      </c>
      <c r="V642" t="s">
        <v>876</v>
      </c>
      <c r="W642">
        <v>27745</v>
      </c>
      <c r="X642">
        <v>50</v>
      </c>
      <c r="Y642" t="s">
        <v>3737</v>
      </c>
      <c r="Z642" t="s">
        <v>3738</v>
      </c>
      <c r="AA642" t="s">
        <v>842</v>
      </c>
      <c r="AB642" t="s">
        <v>843</v>
      </c>
      <c r="AC642" t="s">
        <v>2208</v>
      </c>
      <c r="AD642" t="s">
        <v>2208</v>
      </c>
      <c r="AE642" t="s">
        <v>3739</v>
      </c>
      <c r="AH642" t="s">
        <v>971</v>
      </c>
    </row>
    <row r="643" spans="1:34">
      <c r="A643">
        <v>641</v>
      </c>
      <c r="B643" t="s">
        <v>3740</v>
      </c>
      <c r="C643">
        <v>1211</v>
      </c>
      <c r="D643" t="s">
        <v>811</v>
      </c>
      <c r="E643" t="s">
        <v>3584</v>
      </c>
      <c r="F643" t="s">
        <v>1106</v>
      </c>
      <c r="G643" t="s">
        <v>73</v>
      </c>
      <c r="H643" t="s">
        <v>915</v>
      </c>
      <c r="I643" t="s">
        <v>1194</v>
      </c>
      <c r="J643" t="s">
        <v>3716</v>
      </c>
      <c r="N643" t="s">
        <v>978</v>
      </c>
      <c r="S643" t="s">
        <v>874</v>
      </c>
      <c r="T643" t="s">
        <v>694</v>
      </c>
      <c r="U643" t="s">
        <v>3741</v>
      </c>
      <c r="V643" t="s">
        <v>876</v>
      </c>
      <c r="W643">
        <v>28463</v>
      </c>
      <c r="X643">
        <v>48</v>
      </c>
      <c r="Y643" t="s">
        <v>3742</v>
      </c>
      <c r="Z643" t="s">
        <v>3743</v>
      </c>
      <c r="AA643" t="s">
        <v>842</v>
      </c>
      <c r="AB643" t="s">
        <v>851</v>
      </c>
      <c r="AC643" t="s">
        <v>713</v>
      </c>
      <c r="AD643" t="s">
        <v>713</v>
      </c>
      <c r="AE643" t="s">
        <v>3744</v>
      </c>
      <c r="AH643" t="s">
        <v>971</v>
      </c>
    </row>
    <row r="644" spans="1:34">
      <c r="A644">
        <v>642</v>
      </c>
      <c r="B644" t="s">
        <v>3745</v>
      </c>
      <c r="C644">
        <v>1213</v>
      </c>
      <c r="D644" t="s">
        <v>811</v>
      </c>
      <c r="E644" t="s">
        <v>3584</v>
      </c>
      <c r="F644" t="s">
        <v>1106</v>
      </c>
      <c r="G644" t="s">
        <v>73</v>
      </c>
      <c r="H644" t="s">
        <v>915</v>
      </c>
      <c r="I644" t="s">
        <v>1194</v>
      </c>
      <c r="J644" t="s">
        <v>3716</v>
      </c>
      <c r="N644" t="s">
        <v>978</v>
      </c>
      <c r="S644" t="s">
        <v>874</v>
      </c>
      <c r="T644" t="s">
        <v>3746</v>
      </c>
      <c r="U644" t="s">
        <v>3747</v>
      </c>
      <c r="V644" t="s">
        <v>876</v>
      </c>
      <c r="W644">
        <v>29857</v>
      </c>
      <c r="X644">
        <v>44</v>
      </c>
      <c r="Y644" t="s">
        <v>3748</v>
      </c>
      <c r="Z644" t="s">
        <v>3749</v>
      </c>
      <c r="AA644" t="s">
        <v>842</v>
      </c>
      <c r="AB644" t="s">
        <v>851</v>
      </c>
      <c r="AC644" t="s">
        <v>236</v>
      </c>
      <c r="AD644" t="s">
        <v>713</v>
      </c>
      <c r="AE644" t="s">
        <v>1597</v>
      </c>
      <c r="AH644" t="s">
        <v>971</v>
      </c>
    </row>
    <row r="645" spans="1:34">
      <c r="A645">
        <v>643</v>
      </c>
      <c r="B645" t="s">
        <v>3750</v>
      </c>
      <c r="C645">
        <v>1215</v>
      </c>
      <c r="D645" t="s">
        <v>811</v>
      </c>
      <c r="E645" t="s">
        <v>3584</v>
      </c>
      <c r="F645" t="s">
        <v>1106</v>
      </c>
      <c r="G645" t="s">
        <v>73</v>
      </c>
      <c r="H645" t="s">
        <v>915</v>
      </c>
      <c r="I645" t="s">
        <v>1194</v>
      </c>
      <c r="J645" t="s">
        <v>3716</v>
      </c>
      <c r="N645" t="s">
        <v>978</v>
      </c>
      <c r="S645" t="s">
        <v>874</v>
      </c>
      <c r="T645" t="s">
        <v>3751</v>
      </c>
      <c r="U645" t="s">
        <v>3752</v>
      </c>
      <c r="V645" t="s">
        <v>876</v>
      </c>
      <c r="W645">
        <v>30123</v>
      </c>
      <c r="X645">
        <v>43</v>
      </c>
      <c r="Y645" t="s">
        <v>3753</v>
      </c>
      <c r="Z645" t="s">
        <v>3754</v>
      </c>
      <c r="AA645" t="s">
        <v>842</v>
      </c>
      <c r="AB645" t="s">
        <v>843</v>
      </c>
      <c r="AC645" t="s">
        <v>713</v>
      </c>
      <c r="AD645" t="s">
        <v>713</v>
      </c>
      <c r="AE645" t="s">
        <v>1597</v>
      </c>
      <c r="AH645" t="s">
        <v>971</v>
      </c>
    </row>
    <row r="646" spans="1:34">
      <c r="A646">
        <v>644</v>
      </c>
      <c r="B646" t="s">
        <v>3755</v>
      </c>
      <c r="C646">
        <v>1217</v>
      </c>
      <c r="D646" t="s">
        <v>811</v>
      </c>
      <c r="E646" t="s">
        <v>3584</v>
      </c>
      <c r="F646" t="s">
        <v>1106</v>
      </c>
      <c r="G646" t="s">
        <v>73</v>
      </c>
      <c r="H646" t="s">
        <v>915</v>
      </c>
      <c r="I646" t="s">
        <v>1194</v>
      </c>
      <c r="J646" t="s">
        <v>3716</v>
      </c>
      <c r="N646" t="s">
        <v>978</v>
      </c>
      <c r="S646" t="s">
        <v>874</v>
      </c>
      <c r="T646" t="s">
        <v>3756</v>
      </c>
      <c r="U646" t="s">
        <v>3757</v>
      </c>
      <c r="V646" t="s">
        <v>876</v>
      </c>
      <c r="W646">
        <v>30594</v>
      </c>
      <c r="X646">
        <v>42</v>
      </c>
      <c r="Y646" t="s">
        <v>3758</v>
      </c>
      <c r="Z646" t="s">
        <v>3759</v>
      </c>
      <c r="AA646" t="s">
        <v>842</v>
      </c>
      <c r="AB646" t="s">
        <v>851</v>
      </c>
      <c r="AC646" t="s">
        <v>713</v>
      </c>
      <c r="AD646" t="s">
        <v>713</v>
      </c>
      <c r="AE646" t="s">
        <v>1597</v>
      </c>
      <c r="AH646" t="s">
        <v>971</v>
      </c>
    </row>
    <row r="647" spans="1:34">
      <c r="A647">
        <v>645</v>
      </c>
      <c r="B647" t="s">
        <v>3760</v>
      </c>
      <c r="C647">
        <v>1219</v>
      </c>
      <c r="D647" t="s">
        <v>811</v>
      </c>
      <c r="E647" t="s">
        <v>3584</v>
      </c>
      <c r="F647" t="s">
        <v>1106</v>
      </c>
      <c r="G647" t="s">
        <v>73</v>
      </c>
      <c r="H647" t="s">
        <v>915</v>
      </c>
      <c r="I647" t="s">
        <v>3760</v>
      </c>
      <c r="J647" t="s">
        <v>3761</v>
      </c>
      <c r="N647" t="s">
        <v>1011</v>
      </c>
      <c r="P647" t="s">
        <v>49</v>
      </c>
      <c r="Q647" t="s">
        <v>168</v>
      </c>
      <c r="S647" t="s">
        <v>874</v>
      </c>
      <c r="T647" t="s">
        <v>590</v>
      </c>
      <c r="U647" t="s">
        <v>3762</v>
      </c>
      <c r="V647" t="s">
        <v>876</v>
      </c>
      <c r="W647">
        <v>21524</v>
      </c>
      <c r="X647">
        <v>67</v>
      </c>
      <c r="Y647" t="s">
        <v>3763</v>
      </c>
      <c r="Z647" t="s">
        <v>3764</v>
      </c>
      <c r="AA647" t="s">
        <v>802</v>
      </c>
      <c r="AB647" t="s">
        <v>794</v>
      </c>
      <c r="AC647" t="s">
        <v>713</v>
      </c>
      <c r="AD647" t="s">
        <v>713</v>
      </c>
      <c r="AE647" t="s">
        <v>3765</v>
      </c>
      <c r="AH647" t="s">
        <v>867</v>
      </c>
    </row>
    <row r="648" spans="1:34">
      <c r="A648">
        <v>646</v>
      </c>
      <c r="B648" t="s">
        <v>3761</v>
      </c>
      <c r="C648">
        <v>1221</v>
      </c>
      <c r="D648" t="s">
        <v>811</v>
      </c>
      <c r="E648" t="s">
        <v>3584</v>
      </c>
      <c r="F648" t="s">
        <v>1106</v>
      </c>
      <c r="G648" t="s">
        <v>73</v>
      </c>
      <c r="H648" t="s">
        <v>915</v>
      </c>
      <c r="I648" t="s">
        <v>3760</v>
      </c>
      <c r="J648" t="s">
        <v>3761</v>
      </c>
      <c r="N648" t="s">
        <v>1011</v>
      </c>
      <c r="P648" t="s">
        <v>62</v>
      </c>
      <c r="Q648" t="s">
        <v>548</v>
      </c>
      <c r="S648" t="s">
        <v>874</v>
      </c>
      <c r="T648" t="s">
        <v>617</v>
      </c>
      <c r="U648" t="s">
        <v>3766</v>
      </c>
      <c r="V648" t="s">
        <v>876</v>
      </c>
      <c r="W648">
        <v>25485</v>
      </c>
      <c r="X648">
        <v>56</v>
      </c>
      <c r="Y648" t="s">
        <v>3767</v>
      </c>
      <c r="Z648" t="s">
        <v>3768</v>
      </c>
      <c r="AA648" t="s">
        <v>842</v>
      </c>
      <c r="AB648" t="s">
        <v>843</v>
      </c>
      <c r="AC648" t="s">
        <v>713</v>
      </c>
      <c r="AD648" t="s">
        <v>713</v>
      </c>
      <c r="AE648" t="s">
        <v>1427</v>
      </c>
      <c r="AH648" t="s">
        <v>971</v>
      </c>
    </row>
    <row r="649" spans="1:34">
      <c r="A649">
        <v>647</v>
      </c>
      <c r="B649" t="s">
        <v>3769</v>
      </c>
      <c r="C649">
        <v>1285</v>
      </c>
      <c r="D649" t="s">
        <v>811</v>
      </c>
      <c r="E649" t="s">
        <v>3584</v>
      </c>
      <c r="F649" t="s">
        <v>1106</v>
      </c>
      <c r="G649" t="s">
        <v>73</v>
      </c>
      <c r="H649" t="s">
        <v>915</v>
      </c>
      <c r="I649" t="s">
        <v>3760</v>
      </c>
      <c r="J649" t="s">
        <v>3761</v>
      </c>
      <c r="N649" t="s">
        <v>1011</v>
      </c>
      <c r="S649" t="s">
        <v>874</v>
      </c>
      <c r="T649" t="s">
        <v>598</v>
      </c>
      <c r="U649" t="s">
        <v>3770</v>
      </c>
      <c r="V649" t="s">
        <v>876</v>
      </c>
      <c r="W649">
        <v>21286</v>
      </c>
      <c r="X649">
        <v>67</v>
      </c>
      <c r="Y649" t="s">
        <v>3771</v>
      </c>
      <c r="Z649" t="s">
        <v>3772</v>
      </c>
      <c r="AA649" t="s">
        <v>842</v>
      </c>
      <c r="AB649" t="s">
        <v>851</v>
      </c>
      <c r="AC649" t="s">
        <v>713</v>
      </c>
      <c r="AD649" t="s">
        <v>713</v>
      </c>
      <c r="AE649" t="s">
        <v>741</v>
      </c>
      <c r="AH649" t="s">
        <v>971</v>
      </c>
    </row>
    <row r="650" spans="1:34">
      <c r="A650">
        <v>648</v>
      </c>
      <c r="B650" t="s">
        <v>3773</v>
      </c>
      <c r="C650">
        <v>1283</v>
      </c>
      <c r="D650" t="s">
        <v>811</v>
      </c>
      <c r="E650" t="s">
        <v>3584</v>
      </c>
      <c r="F650" t="s">
        <v>1106</v>
      </c>
      <c r="G650" t="s">
        <v>73</v>
      </c>
      <c r="H650" t="s">
        <v>915</v>
      </c>
      <c r="I650" t="s">
        <v>3760</v>
      </c>
      <c r="J650" t="s">
        <v>3761</v>
      </c>
      <c r="N650" t="s">
        <v>1011</v>
      </c>
      <c r="S650" t="s">
        <v>874</v>
      </c>
      <c r="T650" t="s">
        <v>635</v>
      </c>
      <c r="U650" t="s">
        <v>3774</v>
      </c>
      <c r="V650" t="s">
        <v>876</v>
      </c>
      <c r="W650">
        <v>26525</v>
      </c>
      <c r="X650">
        <v>53</v>
      </c>
      <c r="Y650" t="s">
        <v>3775</v>
      </c>
      <c r="Z650" t="s">
        <v>3776</v>
      </c>
      <c r="AA650" t="s">
        <v>842</v>
      </c>
      <c r="AB650" t="s">
        <v>843</v>
      </c>
      <c r="AC650" t="s">
        <v>713</v>
      </c>
      <c r="AD650" t="s">
        <v>713</v>
      </c>
      <c r="AE650" t="s">
        <v>3777</v>
      </c>
      <c r="AH650" t="s">
        <v>971</v>
      </c>
    </row>
    <row r="651" spans="1:34">
      <c r="A651">
        <v>649</v>
      </c>
      <c r="B651" t="s">
        <v>3778</v>
      </c>
      <c r="C651">
        <v>1281</v>
      </c>
      <c r="D651" t="s">
        <v>811</v>
      </c>
      <c r="E651" t="s">
        <v>3584</v>
      </c>
      <c r="F651" t="s">
        <v>1106</v>
      </c>
      <c r="G651" t="s">
        <v>73</v>
      </c>
      <c r="H651" t="s">
        <v>915</v>
      </c>
      <c r="I651" t="s">
        <v>3760</v>
      </c>
      <c r="J651" t="s">
        <v>3761</v>
      </c>
      <c r="N651" t="s">
        <v>1011</v>
      </c>
      <c r="O651" t="s">
        <v>308</v>
      </c>
      <c r="S651" t="s">
        <v>874</v>
      </c>
      <c r="T651" t="s">
        <v>654</v>
      </c>
      <c r="U651" t="s">
        <v>3779</v>
      </c>
      <c r="V651" t="s">
        <v>876</v>
      </c>
      <c r="W651">
        <v>21228</v>
      </c>
      <c r="X651">
        <v>67</v>
      </c>
      <c r="Y651" t="s">
        <v>3780</v>
      </c>
      <c r="Z651" t="s">
        <v>3781</v>
      </c>
      <c r="AA651" t="s">
        <v>842</v>
      </c>
      <c r="AB651" t="s">
        <v>843</v>
      </c>
      <c r="AC651" t="s">
        <v>713</v>
      </c>
      <c r="AD651" t="s">
        <v>713</v>
      </c>
      <c r="AE651" t="s">
        <v>3782</v>
      </c>
      <c r="AH651" t="s">
        <v>1438</v>
      </c>
    </row>
    <row r="652" spans="1:34">
      <c r="A652">
        <v>650</v>
      </c>
      <c r="B652" t="s">
        <v>3783</v>
      </c>
      <c r="C652">
        <v>1229</v>
      </c>
      <c r="D652" t="s">
        <v>811</v>
      </c>
      <c r="E652" t="s">
        <v>3584</v>
      </c>
      <c r="F652" t="s">
        <v>1106</v>
      </c>
      <c r="G652" t="s">
        <v>73</v>
      </c>
      <c r="H652" t="s">
        <v>915</v>
      </c>
      <c r="I652" t="s">
        <v>3760</v>
      </c>
      <c r="J652" t="s">
        <v>3761</v>
      </c>
      <c r="N652" t="s">
        <v>1011</v>
      </c>
      <c r="O652" t="s">
        <v>308</v>
      </c>
      <c r="S652" t="s">
        <v>874</v>
      </c>
      <c r="T652" t="s">
        <v>671</v>
      </c>
      <c r="U652" t="s">
        <v>3784</v>
      </c>
      <c r="V652" t="s">
        <v>876</v>
      </c>
      <c r="W652">
        <v>23272</v>
      </c>
      <c r="X652">
        <v>62</v>
      </c>
      <c r="Y652" t="s">
        <v>3785</v>
      </c>
      <c r="Z652" t="s">
        <v>3786</v>
      </c>
      <c r="AA652" t="s">
        <v>842</v>
      </c>
      <c r="AB652" t="s">
        <v>843</v>
      </c>
      <c r="AC652" t="s">
        <v>713</v>
      </c>
      <c r="AD652" t="s">
        <v>713</v>
      </c>
      <c r="AE652" t="s">
        <v>3765</v>
      </c>
      <c r="AH652" t="s">
        <v>1438</v>
      </c>
    </row>
    <row r="653" spans="1:34">
      <c r="A653">
        <v>651</v>
      </c>
      <c r="B653" t="s">
        <v>3787</v>
      </c>
      <c r="C653">
        <v>1281</v>
      </c>
      <c r="D653" t="s">
        <v>811</v>
      </c>
      <c r="E653" t="s">
        <v>3584</v>
      </c>
      <c r="F653" t="s">
        <v>1106</v>
      </c>
      <c r="G653" t="s">
        <v>73</v>
      </c>
      <c r="H653" t="s">
        <v>915</v>
      </c>
      <c r="I653" t="s">
        <v>3760</v>
      </c>
      <c r="J653" t="s">
        <v>3761</v>
      </c>
      <c r="N653" t="s">
        <v>1011</v>
      </c>
      <c r="O653" t="s">
        <v>308</v>
      </c>
      <c r="S653" t="s">
        <v>874</v>
      </c>
      <c r="T653" t="s">
        <v>686</v>
      </c>
      <c r="U653" t="s">
        <v>3788</v>
      </c>
      <c r="V653" t="s">
        <v>876</v>
      </c>
      <c r="W653">
        <v>23843</v>
      </c>
      <c r="X653">
        <v>60</v>
      </c>
      <c r="Y653" t="s">
        <v>3789</v>
      </c>
      <c r="Z653" t="s">
        <v>3790</v>
      </c>
      <c r="AA653" t="s">
        <v>842</v>
      </c>
      <c r="AB653" t="s">
        <v>843</v>
      </c>
      <c r="AC653" t="s">
        <v>713</v>
      </c>
      <c r="AD653" t="s">
        <v>713</v>
      </c>
      <c r="AE653" t="s">
        <v>3791</v>
      </c>
      <c r="AH653" t="s">
        <v>1438</v>
      </c>
    </row>
    <row r="654" spans="1:34">
      <c r="A654">
        <v>652</v>
      </c>
      <c r="B654" t="s">
        <v>3792</v>
      </c>
      <c r="C654">
        <v>1233</v>
      </c>
      <c r="D654" t="s">
        <v>811</v>
      </c>
      <c r="E654" t="s">
        <v>3584</v>
      </c>
      <c r="F654" t="s">
        <v>1106</v>
      </c>
      <c r="G654" t="s">
        <v>73</v>
      </c>
      <c r="H654" t="s">
        <v>915</v>
      </c>
      <c r="I654" t="s">
        <v>3760</v>
      </c>
      <c r="J654" t="s">
        <v>3761</v>
      </c>
      <c r="N654" t="s">
        <v>1011</v>
      </c>
      <c r="O654" t="s">
        <v>308</v>
      </c>
      <c r="S654" t="s">
        <v>898</v>
      </c>
      <c r="T654" t="s">
        <v>739</v>
      </c>
      <c r="U654" t="s">
        <v>3793</v>
      </c>
      <c r="V654" t="s">
        <v>876</v>
      </c>
      <c r="W654">
        <v>20209</v>
      </c>
      <c r="X654">
        <v>70</v>
      </c>
      <c r="Y654" t="s">
        <v>3794</v>
      </c>
      <c r="AA654" t="s">
        <v>842</v>
      </c>
      <c r="AB654" t="s">
        <v>843</v>
      </c>
      <c r="AC654" t="s">
        <v>713</v>
      </c>
      <c r="AD654" t="s">
        <v>713</v>
      </c>
      <c r="AE654" t="s">
        <v>3795</v>
      </c>
      <c r="AH654" t="s">
        <v>1295</v>
      </c>
    </row>
    <row r="655" spans="1:34">
      <c r="A655">
        <v>653</v>
      </c>
      <c r="B655" t="s">
        <v>1178</v>
      </c>
      <c r="C655">
        <v>1234</v>
      </c>
      <c r="E655" t="s">
        <v>3796</v>
      </c>
      <c r="F655" t="s">
        <v>1106</v>
      </c>
      <c r="G655" t="s">
        <v>243</v>
      </c>
      <c r="H655" t="s">
        <v>1178</v>
      </c>
      <c r="I655" t="s">
        <v>1178</v>
      </c>
      <c r="J655" t="s">
        <v>3797</v>
      </c>
      <c r="K655" t="s">
        <v>3798</v>
      </c>
      <c r="N655" t="s">
        <v>1041</v>
      </c>
      <c r="P655" t="s">
        <v>163</v>
      </c>
      <c r="Q655" t="s">
        <v>500</v>
      </c>
      <c r="T655" t="s">
        <v>243</v>
      </c>
      <c r="U655" t="s">
        <v>3799</v>
      </c>
      <c r="V655" t="s">
        <v>876</v>
      </c>
      <c r="W655">
        <v>20283</v>
      </c>
      <c r="X655">
        <v>70</v>
      </c>
      <c r="Y655" t="s">
        <v>1180</v>
      </c>
      <c r="AA655" t="s">
        <v>802</v>
      </c>
      <c r="AB655" t="s">
        <v>794</v>
      </c>
      <c r="AC655" t="s">
        <v>713</v>
      </c>
      <c r="AD655" t="s">
        <v>1163</v>
      </c>
      <c r="AE655" t="s">
        <v>1164</v>
      </c>
      <c r="AF655" t="s">
        <v>872</v>
      </c>
    </row>
    <row r="656" spans="1:34">
      <c r="A656">
        <v>654</v>
      </c>
      <c r="B656" t="s">
        <v>3797</v>
      </c>
      <c r="C656">
        <v>1236</v>
      </c>
      <c r="D656" t="s">
        <v>811</v>
      </c>
      <c r="E656" t="s">
        <v>3796</v>
      </c>
      <c r="F656" t="s">
        <v>1106</v>
      </c>
      <c r="G656" t="s">
        <v>243</v>
      </c>
      <c r="H656" t="s">
        <v>1178</v>
      </c>
      <c r="I656" t="s">
        <v>1178</v>
      </c>
      <c r="J656" t="s">
        <v>3797</v>
      </c>
      <c r="K656" t="s">
        <v>3798</v>
      </c>
      <c r="N656" t="s">
        <v>1041</v>
      </c>
      <c r="P656" t="s">
        <v>62</v>
      </c>
      <c r="Q656" t="s">
        <v>548</v>
      </c>
      <c r="S656" t="s">
        <v>874</v>
      </c>
      <c r="T656" t="s">
        <v>599</v>
      </c>
      <c r="U656" t="s">
        <v>3800</v>
      </c>
      <c r="V656" t="s">
        <v>876</v>
      </c>
      <c r="W656">
        <v>26069</v>
      </c>
      <c r="X656">
        <v>54</v>
      </c>
      <c r="Y656" t="s">
        <v>3801</v>
      </c>
      <c r="Z656" t="s">
        <v>3802</v>
      </c>
      <c r="AA656" t="s">
        <v>842</v>
      </c>
      <c r="AB656" t="s">
        <v>851</v>
      </c>
      <c r="AC656" t="s">
        <v>713</v>
      </c>
      <c r="AD656" t="s">
        <v>713</v>
      </c>
      <c r="AE656" t="s">
        <v>1313</v>
      </c>
      <c r="AH656" t="s">
        <v>1497</v>
      </c>
    </row>
    <row r="657" spans="1:34">
      <c r="A657">
        <v>655</v>
      </c>
      <c r="B657" t="s">
        <v>3803</v>
      </c>
      <c r="C657">
        <v>1238</v>
      </c>
      <c r="D657" t="s">
        <v>811</v>
      </c>
      <c r="E657" t="s">
        <v>3796</v>
      </c>
      <c r="F657" t="s">
        <v>1106</v>
      </c>
      <c r="G657" t="s">
        <v>243</v>
      </c>
      <c r="H657" t="s">
        <v>1178</v>
      </c>
      <c r="I657" t="s">
        <v>1178</v>
      </c>
      <c r="J657" t="s">
        <v>3797</v>
      </c>
      <c r="K657" t="s">
        <v>3798</v>
      </c>
      <c r="N657" t="s">
        <v>1041</v>
      </c>
      <c r="S657" t="s">
        <v>874</v>
      </c>
      <c r="T657" t="s">
        <v>618</v>
      </c>
      <c r="U657" t="s">
        <v>3804</v>
      </c>
      <c r="V657" t="s">
        <v>876</v>
      </c>
      <c r="W657">
        <v>21767</v>
      </c>
      <c r="X657">
        <v>66</v>
      </c>
      <c r="Y657" t="s">
        <v>3805</v>
      </c>
      <c r="Z657" t="s">
        <v>3806</v>
      </c>
      <c r="AA657" t="s">
        <v>842</v>
      </c>
      <c r="AB657" t="s">
        <v>851</v>
      </c>
      <c r="AC657" t="s">
        <v>713</v>
      </c>
      <c r="AD657" t="s">
        <v>713</v>
      </c>
      <c r="AE657" t="s">
        <v>1229</v>
      </c>
      <c r="AH657" t="s">
        <v>1497</v>
      </c>
    </row>
    <row r="658" spans="1:34">
      <c r="A658">
        <v>656</v>
      </c>
      <c r="B658" t="s">
        <v>3807</v>
      </c>
      <c r="C658">
        <v>1240</v>
      </c>
      <c r="D658" t="s">
        <v>811</v>
      </c>
      <c r="E658" t="s">
        <v>3796</v>
      </c>
      <c r="F658" t="s">
        <v>1106</v>
      </c>
      <c r="G658" t="s">
        <v>243</v>
      </c>
      <c r="H658" t="s">
        <v>1178</v>
      </c>
      <c r="I658" t="s">
        <v>1178</v>
      </c>
      <c r="J658" t="s">
        <v>3797</v>
      </c>
      <c r="K658" t="s">
        <v>3798</v>
      </c>
      <c r="N658" t="s">
        <v>1041</v>
      </c>
      <c r="S658" t="s">
        <v>874</v>
      </c>
      <c r="T658" t="s">
        <v>636</v>
      </c>
      <c r="U658" t="s">
        <v>3808</v>
      </c>
      <c r="V658" t="s">
        <v>876</v>
      </c>
      <c r="W658">
        <v>21805</v>
      </c>
      <c r="X658">
        <v>66</v>
      </c>
      <c r="Y658" t="s">
        <v>3809</v>
      </c>
      <c r="Z658" t="s">
        <v>3810</v>
      </c>
      <c r="AA658" t="s">
        <v>842</v>
      </c>
      <c r="AB658" t="s">
        <v>843</v>
      </c>
      <c r="AC658" t="s">
        <v>713</v>
      </c>
      <c r="AD658" t="s">
        <v>713</v>
      </c>
      <c r="AE658" t="s">
        <v>1313</v>
      </c>
      <c r="AH658" t="s">
        <v>1497</v>
      </c>
    </row>
    <row r="659" spans="1:34">
      <c r="A659">
        <v>657</v>
      </c>
      <c r="B659" t="s">
        <v>3811</v>
      </c>
      <c r="C659">
        <v>1242</v>
      </c>
      <c r="D659" t="s">
        <v>811</v>
      </c>
      <c r="E659" t="s">
        <v>3796</v>
      </c>
      <c r="F659" t="s">
        <v>1106</v>
      </c>
      <c r="G659" t="s">
        <v>243</v>
      </c>
      <c r="H659" t="s">
        <v>1178</v>
      </c>
      <c r="I659" t="s">
        <v>1178</v>
      </c>
      <c r="J659" t="s">
        <v>3797</v>
      </c>
      <c r="K659" t="s">
        <v>3798</v>
      </c>
      <c r="N659" t="s">
        <v>1041</v>
      </c>
      <c r="S659" t="s">
        <v>874</v>
      </c>
      <c r="T659" t="s">
        <v>655</v>
      </c>
      <c r="U659" t="s">
        <v>3812</v>
      </c>
      <c r="V659" t="s">
        <v>876</v>
      </c>
      <c r="W659">
        <v>22122</v>
      </c>
      <c r="X659">
        <v>65</v>
      </c>
      <c r="Y659" t="s">
        <v>3813</v>
      </c>
      <c r="Z659" t="s">
        <v>3814</v>
      </c>
      <c r="AA659" t="s">
        <v>842</v>
      </c>
      <c r="AB659" t="s">
        <v>851</v>
      </c>
      <c r="AC659" t="s">
        <v>713</v>
      </c>
      <c r="AD659" t="s">
        <v>713</v>
      </c>
      <c r="AE659" t="s">
        <v>1431</v>
      </c>
      <c r="AH659" t="s">
        <v>1497</v>
      </c>
    </row>
    <row r="660" spans="1:34">
      <c r="A660">
        <v>658</v>
      </c>
      <c r="B660" t="s">
        <v>3815</v>
      </c>
      <c r="C660">
        <v>1244</v>
      </c>
      <c r="D660" t="s">
        <v>811</v>
      </c>
      <c r="E660" t="s">
        <v>3796</v>
      </c>
      <c r="F660" t="s">
        <v>1106</v>
      </c>
      <c r="G660" t="s">
        <v>243</v>
      </c>
      <c r="H660" t="s">
        <v>1178</v>
      </c>
      <c r="I660" t="s">
        <v>1178</v>
      </c>
      <c r="J660" t="s">
        <v>3797</v>
      </c>
      <c r="K660" t="s">
        <v>3798</v>
      </c>
      <c r="N660" t="s">
        <v>1041</v>
      </c>
      <c r="S660" t="s">
        <v>874</v>
      </c>
      <c r="T660" t="s">
        <v>672</v>
      </c>
      <c r="U660" t="s">
        <v>3816</v>
      </c>
      <c r="V660" t="s">
        <v>876</v>
      </c>
      <c r="W660">
        <v>23390</v>
      </c>
      <c r="X660">
        <v>62</v>
      </c>
      <c r="Y660" t="s">
        <v>3817</v>
      </c>
      <c r="Z660" t="s">
        <v>3818</v>
      </c>
      <c r="AA660" t="s">
        <v>842</v>
      </c>
      <c r="AB660" t="s">
        <v>843</v>
      </c>
      <c r="AC660" t="s">
        <v>713</v>
      </c>
      <c r="AD660" t="s">
        <v>713</v>
      </c>
      <c r="AE660" t="s">
        <v>1361</v>
      </c>
      <c r="AH660" t="s">
        <v>1497</v>
      </c>
    </row>
    <row r="661" spans="1:34">
      <c r="A661">
        <v>659</v>
      </c>
      <c r="B661" t="s">
        <v>3798</v>
      </c>
      <c r="C661">
        <v>1246</v>
      </c>
      <c r="D661" t="s">
        <v>811</v>
      </c>
      <c r="E661" t="s">
        <v>3796</v>
      </c>
      <c r="F661" t="s">
        <v>1106</v>
      </c>
      <c r="G661" t="s">
        <v>243</v>
      </c>
      <c r="H661" t="s">
        <v>1178</v>
      </c>
      <c r="I661" t="s">
        <v>1178</v>
      </c>
      <c r="J661" t="s">
        <v>3797</v>
      </c>
      <c r="K661" t="s">
        <v>3798</v>
      </c>
      <c r="N661" t="s">
        <v>1041</v>
      </c>
      <c r="P661" t="s">
        <v>62</v>
      </c>
      <c r="Q661" t="s">
        <v>548</v>
      </c>
      <c r="S661" t="s">
        <v>874</v>
      </c>
      <c r="T661" t="s">
        <v>687</v>
      </c>
      <c r="U661" t="s">
        <v>3819</v>
      </c>
      <c r="V661" t="s">
        <v>876</v>
      </c>
      <c r="W661">
        <v>26671</v>
      </c>
      <c r="X661">
        <v>53</v>
      </c>
      <c r="Y661" t="s">
        <v>3820</v>
      </c>
      <c r="Z661" t="s">
        <v>3821</v>
      </c>
      <c r="AA661" t="s">
        <v>842</v>
      </c>
      <c r="AB661" t="s">
        <v>851</v>
      </c>
      <c r="AC661" t="s">
        <v>713</v>
      </c>
      <c r="AD661" t="s">
        <v>713</v>
      </c>
      <c r="AE661" t="s">
        <v>1313</v>
      </c>
      <c r="AH661" t="s">
        <v>1497</v>
      </c>
    </row>
    <row r="662" spans="1:34">
      <c r="A662">
        <v>660</v>
      </c>
      <c r="B662" t="s">
        <v>3822</v>
      </c>
      <c r="C662">
        <v>1248</v>
      </c>
      <c r="D662" t="s">
        <v>1310</v>
      </c>
      <c r="E662" t="s">
        <v>3796</v>
      </c>
      <c r="F662" t="s">
        <v>1106</v>
      </c>
      <c r="G662" t="s">
        <v>243</v>
      </c>
      <c r="H662" t="s">
        <v>1178</v>
      </c>
      <c r="I662" t="s">
        <v>1178</v>
      </c>
      <c r="J662" t="s">
        <v>3797</v>
      </c>
      <c r="K662" t="s">
        <v>3798</v>
      </c>
      <c r="N662" t="s">
        <v>1041</v>
      </c>
      <c r="S662" t="s">
        <v>874</v>
      </c>
      <c r="T662" t="s">
        <v>3823</v>
      </c>
      <c r="U662" t="s">
        <v>3824</v>
      </c>
      <c r="V662" t="s">
        <v>876</v>
      </c>
      <c r="W662">
        <v>23348</v>
      </c>
      <c r="X662">
        <v>62</v>
      </c>
      <c r="Y662" t="s">
        <v>3825</v>
      </c>
      <c r="Z662" t="s">
        <v>3826</v>
      </c>
      <c r="AA662" t="s">
        <v>842</v>
      </c>
      <c r="AB662" t="s">
        <v>843</v>
      </c>
      <c r="AC662" t="s">
        <v>713</v>
      </c>
      <c r="AD662" t="s">
        <v>713</v>
      </c>
      <c r="AE662" t="s">
        <v>1313</v>
      </c>
      <c r="AH662" t="s">
        <v>1950</v>
      </c>
    </row>
    <row r="663" spans="1:34">
      <c r="A663">
        <v>661</v>
      </c>
      <c r="B663" t="s">
        <v>3827</v>
      </c>
      <c r="C663">
        <v>1250</v>
      </c>
      <c r="D663" t="s">
        <v>811</v>
      </c>
      <c r="E663" t="s">
        <v>3796</v>
      </c>
      <c r="F663" t="s">
        <v>1106</v>
      </c>
      <c r="G663" t="s">
        <v>243</v>
      </c>
      <c r="H663" t="s">
        <v>1178</v>
      </c>
      <c r="I663" t="s">
        <v>1178</v>
      </c>
      <c r="J663" t="s">
        <v>3797</v>
      </c>
      <c r="K663" t="s">
        <v>3798</v>
      </c>
      <c r="N663" t="s">
        <v>1041</v>
      </c>
      <c r="O663" t="s">
        <v>308</v>
      </c>
      <c r="S663" t="s">
        <v>874</v>
      </c>
      <c r="T663" t="s">
        <v>3828</v>
      </c>
      <c r="U663" t="s">
        <v>3829</v>
      </c>
      <c r="V663" t="s">
        <v>876</v>
      </c>
      <c r="W663">
        <v>25538</v>
      </c>
      <c r="X663">
        <v>56</v>
      </c>
      <c r="Y663" t="s">
        <v>3830</v>
      </c>
      <c r="AA663" t="s">
        <v>842</v>
      </c>
      <c r="AB663" t="s">
        <v>843</v>
      </c>
      <c r="AC663" t="s">
        <v>713</v>
      </c>
      <c r="AD663" t="s">
        <v>713</v>
      </c>
      <c r="AE663" t="s">
        <v>1781</v>
      </c>
      <c r="AF663" t="s">
        <v>1571</v>
      </c>
      <c r="AG663" t="s">
        <v>3831</v>
      </c>
      <c r="AH663" t="s">
        <v>976</v>
      </c>
    </row>
    <row r="664" spans="1:34">
      <c r="A664">
        <v>662</v>
      </c>
      <c r="B664" t="s">
        <v>3832</v>
      </c>
      <c r="C664">
        <v>1252</v>
      </c>
      <c r="D664" t="s">
        <v>811</v>
      </c>
      <c r="E664" t="s">
        <v>3796</v>
      </c>
      <c r="F664" t="s">
        <v>1106</v>
      </c>
      <c r="G664" t="s">
        <v>243</v>
      </c>
      <c r="H664" t="s">
        <v>1178</v>
      </c>
      <c r="I664" t="s">
        <v>1178</v>
      </c>
      <c r="J664" t="s">
        <v>3797</v>
      </c>
      <c r="K664" t="s">
        <v>3798</v>
      </c>
      <c r="N664" t="s">
        <v>1041</v>
      </c>
      <c r="O664" t="s">
        <v>308</v>
      </c>
      <c r="S664" t="s">
        <v>898</v>
      </c>
      <c r="T664" t="s">
        <v>701</v>
      </c>
      <c r="U664" t="s">
        <v>3833</v>
      </c>
      <c r="V664" t="s">
        <v>876</v>
      </c>
      <c r="W664">
        <v>18961</v>
      </c>
      <c r="X664">
        <v>74</v>
      </c>
      <c r="Y664" t="s">
        <v>3834</v>
      </c>
      <c r="Z664" t="s">
        <v>3835</v>
      </c>
      <c r="AA664" t="s">
        <v>842</v>
      </c>
      <c r="AB664" t="s">
        <v>843</v>
      </c>
      <c r="AC664" t="s">
        <v>713</v>
      </c>
      <c r="AD664" t="s">
        <v>713</v>
      </c>
      <c r="AE664" t="s">
        <v>1177</v>
      </c>
      <c r="AH664" t="s">
        <v>1438</v>
      </c>
    </row>
    <row r="665" spans="1:34">
      <c r="A665">
        <v>663</v>
      </c>
      <c r="B665" t="s">
        <v>3836</v>
      </c>
      <c r="C665">
        <v>1254</v>
      </c>
      <c r="D665" t="s">
        <v>811</v>
      </c>
      <c r="E665" t="s">
        <v>3796</v>
      </c>
      <c r="F665" t="s">
        <v>1106</v>
      </c>
      <c r="G665" t="s">
        <v>243</v>
      </c>
      <c r="H665" t="s">
        <v>1178</v>
      </c>
      <c r="I665" t="s">
        <v>1178</v>
      </c>
      <c r="J665" t="s">
        <v>3797</v>
      </c>
      <c r="K665" t="s">
        <v>3798</v>
      </c>
      <c r="N665" t="s">
        <v>1041</v>
      </c>
      <c r="O665" t="s">
        <v>308</v>
      </c>
      <c r="S665" t="s">
        <v>874</v>
      </c>
      <c r="T665" t="s">
        <v>706</v>
      </c>
      <c r="U665" t="s">
        <v>3837</v>
      </c>
      <c r="V665" t="s">
        <v>876</v>
      </c>
      <c r="W665">
        <v>21527</v>
      </c>
      <c r="X665">
        <v>67</v>
      </c>
      <c r="Y665" t="s">
        <v>3838</v>
      </c>
      <c r="Z665" t="s">
        <v>3839</v>
      </c>
      <c r="AA665" t="s">
        <v>842</v>
      </c>
      <c r="AB665" t="s">
        <v>843</v>
      </c>
      <c r="AC665" t="s">
        <v>713</v>
      </c>
      <c r="AD665" t="s">
        <v>713</v>
      </c>
      <c r="AE665" t="s">
        <v>3734</v>
      </c>
      <c r="AH665" t="s">
        <v>1438</v>
      </c>
    </row>
    <row r="666" spans="1:34">
      <c r="A666">
        <v>664</v>
      </c>
      <c r="B666" t="s">
        <v>3840</v>
      </c>
      <c r="C666">
        <v>1256</v>
      </c>
      <c r="D666" t="s">
        <v>811</v>
      </c>
      <c r="E666" t="s">
        <v>3796</v>
      </c>
      <c r="F666" t="s">
        <v>1106</v>
      </c>
      <c r="G666" t="s">
        <v>243</v>
      </c>
      <c r="H666" t="s">
        <v>1178</v>
      </c>
      <c r="I666" t="s">
        <v>3840</v>
      </c>
      <c r="J666" t="s">
        <v>3841</v>
      </c>
      <c r="N666" t="s">
        <v>1077</v>
      </c>
      <c r="P666" t="s">
        <v>49</v>
      </c>
      <c r="Q666" t="s">
        <v>168</v>
      </c>
      <c r="S666" t="s">
        <v>874</v>
      </c>
      <c r="T666" t="s">
        <v>591</v>
      </c>
      <c r="U666" t="s">
        <v>3842</v>
      </c>
      <c r="V666" t="s">
        <v>876</v>
      </c>
      <c r="W666">
        <v>28783</v>
      </c>
      <c r="X666">
        <v>47</v>
      </c>
      <c r="Y666" t="s">
        <v>3843</v>
      </c>
      <c r="Z666" t="s">
        <v>3844</v>
      </c>
      <c r="AA666" t="s">
        <v>842</v>
      </c>
      <c r="AB666" t="s">
        <v>851</v>
      </c>
      <c r="AC666" t="s">
        <v>713</v>
      </c>
      <c r="AD666" t="s">
        <v>1400</v>
      </c>
      <c r="AE666" t="s">
        <v>3845</v>
      </c>
      <c r="AH666" t="s">
        <v>976</v>
      </c>
    </row>
    <row r="667" spans="1:34">
      <c r="A667">
        <v>665</v>
      </c>
      <c r="B667" t="s">
        <v>3841</v>
      </c>
      <c r="C667">
        <v>1258</v>
      </c>
      <c r="D667" t="s">
        <v>811</v>
      </c>
      <c r="E667" t="s">
        <v>3796</v>
      </c>
      <c r="F667" t="s">
        <v>1106</v>
      </c>
      <c r="G667" t="s">
        <v>243</v>
      </c>
      <c r="H667" t="s">
        <v>1178</v>
      </c>
      <c r="I667" t="s">
        <v>3840</v>
      </c>
      <c r="J667" t="s">
        <v>3841</v>
      </c>
      <c r="N667" t="s">
        <v>1077</v>
      </c>
      <c r="P667" t="s">
        <v>62</v>
      </c>
      <c r="Q667" t="s">
        <v>548</v>
      </c>
      <c r="S667" t="s">
        <v>874</v>
      </c>
      <c r="T667" t="s">
        <v>619</v>
      </c>
      <c r="U667" t="s">
        <v>3846</v>
      </c>
      <c r="V667" t="s">
        <v>876</v>
      </c>
      <c r="W667">
        <v>22484</v>
      </c>
      <c r="X667">
        <v>64</v>
      </c>
      <c r="Y667" t="s">
        <v>3847</v>
      </c>
      <c r="Z667" t="s">
        <v>3848</v>
      </c>
      <c r="AA667" t="s">
        <v>842</v>
      </c>
      <c r="AB667" t="s">
        <v>851</v>
      </c>
      <c r="AC667" t="s">
        <v>713</v>
      </c>
      <c r="AD667" t="s">
        <v>1256</v>
      </c>
      <c r="AE667" t="s">
        <v>3849</v>
      </c>
      <c r="AH667" t="s">
        <v>976</v>
      </c>
    </row>
    <row r="668" spans="1:34">
      <c r="A668">
        <v>666</v>
      </c>
      <c r="B668" t="s">
        <v>3850</v>
      </c>
      <c r="C668">
        <v>1260</v>
      </c>
      <c r="D668" t="s">
        <v>811</v>
      </c>
      <c r="E668" t="s">
        <v>3796</v>
      </c>
      <c r="F668" t="s">
        <v>1106</v>
      </c>
      <c r="G668" t="s">
        <v>243</v>
      </c>
      <c r="H668" t="s">
        <v>1178</v>
      </c>
      <c r="I668" t="s">
        <v>3840</v>
      </c>
      <c r="J668" t="s">
        <v>3841</v>
      </c>
      <c r="N668" t="s">
        <v>1077</v>
      </c>
      <c r="S668" t="s">
        <v>898</v>
      </c>
      <c r="T668" t="s">
        <v>600</v>
      </c>
      <c r="U668" t="s">
        <v>3851</v>
      </c>
      <c r="V668" t="s">
        <v>876</v>
      </c>
      <c r="W668">
        <v>19196</v>
      </c>
      <c r="X668">
        <v>73</v>
      </c>
      <c r="Y668" t="s">
        <v>3852</v>
      </c>
      <c r="Z668" t="s">
        <v>3853</v>
      </c>
      <c r="AA668" t="s">
        <v>842</v>
      </c>
      <c r="AB668" t="s">
        <v>851</v>
      </c>
      <c r="AC668" t="s">
        <v>1289</v>
      </c>
      <c r="AD668" t="s">
        <v>1289</v>
      </c>
      <c r="AE668" t="s">
        <v>3854</v>
      </c>
      <c r="AH668" t="s">
        <v>976</v>
      </c>
    </row>
    <row r="669" spans="1:34">
      <c r="A669">
        <v>667</v>
      </c>
      <c r="B669" t="s">
        <v>3855</v>
      </c>
      <c r="C669">
        <v>1262</v>
      </c>
      <c r="D669" t="s">
        <v>811</v>
      </c>
      <c r="E669" t="s">
        <v>3796</v>
      </c>
      <c r="F669" t="s">
        <v>1106</v>
      </c>
      <c r="G669" t="s">
        <v>243</v>
      </c>
      <c r="H669" t="s">
        <v>1178</v>
      </c>
      <c r="I669" t="s">
        <v>3840</v>
      </c>
      <c r="J669" t="s">
        <v>3841</v>
      </c>
      <c r="N669" t="s">
        <v>1077</v>
      </c>
      <c r="S669" t="s">
        <v>874</v>
      </c>
      <c r="T669" t="s">
        <v>656</v>
      </c>
      <c r="U669" t="s">
        <v>3856</v>
      </c>
      <c r="V669" t="s">
        <v>876</v>
      </c>
      <c r="W669">
        <v>26250</v>
      </c>
      <c r="X669">
        <v>54</v>
      </c>
      <c r="Y669" t="s">
        <v>3857</v>
      </c>
      <c r="AA669" t="s">
        <v>842</v>
      </c>
      <c r="AB669" t="s">
        <v>843</v>
      </c>
      <c r="AC669" t="s">
        <v>713</v>
      </c>
      <c r="AD669" t="s">
        <v>713</v>
      </c>
      <c r="AE669" t="s">
        <v>1718</v>
      </c>
      <c r="AG669" t="s">
        <v>3858</v>
      </c>
      <c r="AH669" t="s">
        <v>976</v>
      </c>
    </row>
    <row r="670" spans="1:34">
      <c r="A670">
        <v>668</v>
      </c>
      <c r="B670" t="s">
        <v>1668</v>
      </c>
      <c r="C670">
        <v>1263</v>
      </c>
      <c r="E670" t="s">
        <v>3796</v>
      </c>
      <c r="F670" t="s">
        <v>1106</v>
      </c>
      <c r="G670" t="s">
        <v>243</v>
      </c>
      <c r="H670" t="s">
        <v>1178</v>
      </c>
      <c r="I670" t="s">
        <v>1668</v>
      </c>
      <c r="J670" t="s">
        <v>3859</v>
      </c>
      <c r="N670" t="s">
        <v>1755</v>
      </c>
      <c r="P670" t="s">
        <v>49</v>
      </c>
      <c r="Q670" t="s">
        <v>168</v>
      </c>
      <c r="T670" t="s">
        <v>288</v>
      </c>
      <c r="U670" t="s">
        <v>1669</v>
      </c>
      <c r="V670" t="s">
        <v>876</v>
      </c>
      <c r="W670">
        <v>22549</v>
      </c>
      <c r="X670">
        <v>64</v>
      </c>
      <c r="Y670" t="s">
        <v>1670</v>
      </c>
      <c r="Z670" t="s">
        <v>3860</v>
      </c>
      <c r="AA670" t="s">
        <v>802</v>
      </c>
      <c r="AB670" t="s">
        <v>794</v>
      </c>
      <c r="AC670" t="s">
        <v>713</v>
      </c>
      <c r="AD670" t="s">
        <v>713</v>
      </c>
      <c r="AE670" t="s">
        <v>1672</v>
      </c>
      <c r="AF670" t="s">
        <v>872</v>
      </c>
    </row>
    <row r="671" spans="1:34">
      <c r="A671">
        <v>669</v>
      </c>
      <c r="B671" t="s">
        <v>3859</v>
      </c>
      <c r="C671">
        <v>1265</v>
      </c>
      <c r="D671" t="s">
        <v>811</v>
      </c>
      <c r="E671" t="s">
        <v>3796</v>
      </c>
      <c r="F671" t="s">
        <v>1106</v>
      </c>
      <c r="G671" t="s">
        <v>243</v>
      </c>
      <c r="H671" t="s">
        <v>1178</v>
      </c>
      <c r="I671" t="s">
        <v>1668</v>
      </c>
      <c r="J671" t="s">
        <v>3859</v>
      </c>
      <c r="N671" t="s">
        <v>1755</v>
      </c>
      <c r="P671" t="s">
        <v>62</v>
      </c>
      <c r="Q671" t="s">
        <v>548</v>
      </c>
      <c r="S671" t="s">
        <v>898</v>
      </c>
      <c r="T671" t="s">
        <v>601</v>
      </c>
      <c r="U671" t="s">
        <v>3861</v>
      </c>
      <c r="V671" t="s">
        <v>876</v>
      </c>
      <c r="W671">
        <v>20098</v>
      </c>
      <c r="X671">
        <v>71</v>
      </c>
      <c r="Y671" t="s">
        <v>3862</v>
      </c>
      <c r="Z671" t="s">
        <v>3863</v>
      </c>
      <c r="AA671" t="s">
        <v>842</v>
      </c>
      <c r="AB671" t="s">
        <v>851</v>
      </c>
      <c r="AC671" t="s">
        <v>713</v>
      </c>
      <c r="AD671" t="s">
        <v>713</v>
      </c>
      <c r="AE671" t="s">
        <v>3864</v>
      </c>
      <c r="AH671" t="s">
        <v>1852</v>
      </c>
    </row>
    <row r="672" spans="1:34">
      <c r="A672">
        <v>670</v>
      </c>
      <c r="B672" t="s">
        <v>3865</v>
      </c>
      <c r="C672">
        <v>1267</v>
      </c>
      <c r="D672" t="s">
        <v>811</v>
      </c>
      <c r="E672" t="s">
        <v>3796</v>
      </c>
      <c r="F672" t="s">
        <v>1106</v>
      </c>
      <c r="G672" t="s">
        <v>243</v>
      </c>
      <c r="H672" t="s">
        <v>1178</v>
      </c>
      <c r="I672" t="s">
        <v>1668</v>
      </c>
      <c r="J672" t="s">
        <v>3859</v>
      </c>
      <c r="N672" t="s">
        <v>1755</v>
      </c>
      <c r="S672" t="s">
        <v>898</v>
      </c>
      <c r="T672" t="s">
        <v>638</v>
      </c>
      <c r="U672" t="s">
        <v>3866</v>
      </c>
      <c r="V672" t="s">
        <v>876</v>
      </c>
      <c r="W672">
        <v>15828</v>
      </c>
      <c r="X672">
        <v>82</v>
      </c>
      <c r="Y672" t="s">
        <v>3867</v>
      </c>
      <c r="Z672" t="s">
        <v>3868</v>
      </c>
      <c r="AA672" t="s">
        <v>842</v>
      </c>
      <c r="AB672" t="s">
        <v>851</v>
      </c>
      <c r="AC672" t="s">
        <v>713</v>
      </c>
      <c r="AD672" t="s">
        <v>713</v>
      </c>
      <c r="AE672" t="s">
        <v>3869</v>
      </c>
      <c r="AH672" t="s">
        <v>1852</v>
      </c>
    </row>
    <row r="673" spans="1:34">
      <c r="A673">
        <v>671</v>
      </c>
      <c r="B673" t="s">
        <v>3870</v>
      </c>
      <c r="C673">
        <v>1269</v>
      </c>
      <c r="D673" t="s">
        <v>811</v>
      </c>
      <c r="E673" t="s">
        <v>3796</v>
      </c>
      <c r="F673" t="s">
        <v>1106</v>
      </c>
      <c r="G673" t="s">
        <v>243</v>
      </c>
      <c r="H673" t="s">
        <v>1178</v>
      </c>
      <c r="I673" t="s">
        <v>1668</v>
      </c>
      <c r="J673" t="s">
        <v>3859</v>
      </c>
      <c r="N673" t="s">
        <v>1755</v>
      </c>
      <c r="S673" t="s">
        <v>874</v>
      </c>
      <c r="T673" t="s">
        <v>620</v>
      </c>
      <c r="U673" t="s">
        <v>3871</v>
      </c>
      <c r="V673" t="s">
        <v>876</v>
      </c>
      <c r="W673">
        <v>27355</v>
      </c>
      <c r="X673">
        <v>51</v>
      </c>
      <c r="Y673" t="s">
        <v>3872</v>
      </c>
      <c r="Z673" t="s">
        <v>3873</v>
      </c>
      <c r="AA673" t="s">
        <v>842</v>
      </c>
      <c r="AB673" t="s">
        <v>851</v>
      </c>
      <c r="AC673" t="s">
        <v>713</v>
      </c>
      <c r="AD673" t="s">
        <v>713</v>
      </c>
      <c r="AE673" t="s">
        <v>3874</v>
      </c>
      <c r="AH673" t="s">
        <v>1852</v>
      </c>
    </row>
    <row r="674" spans="1:34">
      <c r="A674">
        <v>672</v>
      </c>
      <c r="B674" t="s">
        <v>3875</v>
      </c>
      <c r="C674">
        <v>1271</v>
      </c>
      <c r="D674" t="s">
        <v>811</v>
      </c>
      <c r="E674" t="s">
        <v>3796</v>
      </c>
      <c r="F674" t="s">
        <v>1106</v>
      </c>
      <c r="G674" t="s">
        <v>243</v>
      </c>
      <c r="H674" t="s">
        <v>1178</v>
      </c>
      <c r="I674" t="s">
        <v>1668</v>
      </c>
      <c r="J674" t="s">
        <v>3859</v>
      </c>
      <c r="N674" t="s">
        <v>1755</v>
      </c>
      <c r="S674" t="s">
        <v>874</v>
      </c>
      <c r="T674" t="s">
        <v>657</v>
      </c>
      <c r="U674" t="s">
        <v>3876</v>
      </c>
      <c r="V674" t="s">
        <v>876</v>
      </c>
      <c r="W674">
        <v>21451</v>
      </c>
      <c r="X674">
        <v>67</v>
      </c>
      <c r="Y674" t="s">
        <v>3877</v>
      </c>
      <c r="Z674" t="s">
        <v>3878</v>
      </c>
      <c r="AA674" t="s">
        <v>842</v>
      </c>
      <c r="AB674" t="s">
        <v>851</v>
      </c>
      <c r="AC674" t="s">
        <v>713</v>
      </c>
      <c r="AD674" t="s">
        <v>713</v>
      </c>
      <c r="AE674" t="s">
        <v>3879</v>
      </c>
      <c r="AH674" t="s">
        <v>1852</v>
      </c>
    </row>
    <row r="675" spans="1:34">
      <c r="A675">
        <v>673</v>
      </c>
      <c r="B675" t="s">
        <v>3880</v>
      </c>
      <c r="C675">
        <v>1273</v>
      </c>
      <c r="D675" t="s">
        <v>811</v>
      </c>
      <c r="E675" t="s">
        <v>3796</v>
      </c>
      <c r="F675" t="s">
        <v>1106</v>
      </c>
      <c r="G675" t="s">
        <v>243</v>
      </c>
      <c r="H675" t="s">
        <v>1178</v>
      </c>
      <c r="I675" t="s">
        <v>1668</v>
      </c>
      <c r="J675" t="s">
        <v>3859</v>
      </c>
      <c r="N675" t="s">
        <v>1755</v>
      </c>
      <c r="S675" t="s">
        <v>874</v>
      </c>
      <c r="T675" t="s">
        <v>673</v>
      </c>
      <c r="U675" t="s">
        <v>3881</v>
      </c>
      <c r="V675" t="s">
        <v>876</v>
      </c>
      <c r="W675">
        <v>25299</v>
      </c>
      <c r="X675">
        <v>56</v>
      </c>
      <c r="Y675" t="s">
        <v>3882</v>
      </c>
      <c r="Z675" t="s">
        <v>3883</v>
      </c>
      <c r="AA675" t="s">
        <v>842</v>
      </c>
      <c r="AB675" t="s">
        <v>851</v>
      </c>
      <c r="AC675" t="s">
        <v>713</v>
      </c>
      <c r="AD675" t="s">
        <v>713</v>
      </c>
      <c r="AE675" t="s">
        <v>3884</v>
      </c>
      <c r="AH675" t="s">
        <v>1852</v>
      </c>
    </row>
    <row r="676" spans="1:34">
      <c r="A676">
        <v>674</v>
      </c>
      <c r="B676" t="s">
        <v>3885</v>
      </c>
      <c r="C676">
        <v>1275</v>
      </c>
      <c r="D676" t="s">
        <v>811</v>
      </c>
      <c r="E676" t="s">
        <v>3796</v>
      </c>
      <c r="F676" t="s">
        <v>1106</v>
      </c>
      <c r="G676" t="s">
        <v>243</v>
      </c>
      <c r="H676" t="s">
        <v>1178</v>
      </c>
      <c r="I676" t="s">
        <v>1668</v>
      </c>
      <c r="J676" t="s">
        <v>3859</v>
      </c>
      <c r="N676" t="s">
        <v>1755</v>
      </c>
      <c r="S676" t="s">
        <v>874</v>
      </c>
      <c r="T676" t="s">
        <v>688</v>
      </c>
      <c r="U676" t="s">
        <v>3886</v>
      </c>
      <c r="V676" t="s">
        <v>876</v>
      </c>
      <c r="W676">
        <v>29981</v>
      </c>
      <c r="X676">
        <v>43</v>
      </c>
      <c r="Y676" t="s">
        <v>3887</v>
      </c>
      <c r="Z676" t="s">
        <v>3888</v>
      </c>
      <c r="AA676" t="s">
        <v>842</v>
      </c>
      <c r="AB676" t="s">
        <v>851</v>
      </c>
      <c r="AC676" t="s">
        <v>713</v>
      </c>
      <c r="AD676" t="s">
        <v>713</v>
      </c>
      <c r="AE676" t="s">
        <v>3889</v>
      </c>
      <c r="AH676" t="s">
        <v>1852</v>
      </c>
    </row>
    <row r="677" spans="1:34">
      <c r="A677">
        <v>675</v>
      </c>
      <c r="B677" t="s">
        <v>3890</v>
      </c>
      <c r="C677">
        <v>1277</v>
      </c>
      <c r="D677" t="s">
        <v>811</v>
      </c>
      <c r="E677" t="s">
        <v>3796</v>
      </c>
      <c r="F677" t="s">
        <v>1106</v>
      </c>
      <c r="G677" t="s">
        <v>243</v>
      </c>
      <c r="H677" t="s">
        <v>1178</v>
      </c>
      <c r="I677" t="s">
        <v>1668</v>
      </c>
      <c r="J677" t="s">
        <v>3859</v>
      </c>
      <c r="N677" t="s">
        <v>1755</v>
      </c>
      <c r="S677" t="s">
        <v>874</v>
      </c>
      <c r="T677" t="s">
        <v>696</v>
      </c>
      <c r="U677" t="s">
        <v>3891</v>
      </c>
      <c r="V677" t="s">
        <v>876</v>
      </c>
      <c r="W677">
        <v>30203</v>
      </c>
      <c r="X677">
        <v>43</v>
      </c>
      <c r="Y677" t="s">
        <v>3892</v>
      </c>
      <c r="Z677" t="s">
        <v>3893</v>
      </c>
      <c r="AA677" t="s">
        <v>842</v>
      </c>
      <c r="AB677" t="s">
        <v>851</v>
      </c>
      <c r="AC677" t="s">
        <v>713</v>
      </c>
      <c r="AD677" t="s">
        <v>713</v>
      </c>
      <c r="AE677" t="s">
        <v>3894</v>
      </c>
      <c r="AH677" t="s">
        <v>1852</v>
      </c>
    </row>
    <row r="678" spans="1:34">
      <c r="A678">
        <v>676</v>
      </c>
      <c r="B678" t="s">
        <v>3895</v>
      </c>
      <c r="C678">
        <v>1279</v>
      </c>
      <c r="D678" t="s">
        <v>811</v>
      </c>
      <c r="E678" t="s">
        <v>3796</v>
      </c>
      <c r="F678" t="s">
        <v>1106</v>
      </c>
      <c r="G678" t="s">
        <v>243</v>
      </c>
      <c r="H678" t="s">
        <v>1178</v>
      </c>
      <c r="I678" t="s">
        <v>1668</v>
      </c>
      <c r="J678" t="s">
        <v>3859</v>
      </c>
      <c r="N678" t="s">
        <v>1755</v>
      </c>
      <c r="S678" t="s">
        <v>874</v>
      </c>
      <c r="T678" t="s">
        <v>3896</v>
      </c>
      <c r="U678" t="s">
        <v>3897</v>
      </c>
      <c r="V678" t="s">
        <v>876</v>
      </c>
      <c r="W678">
        <v>21232</v>
      </c>
      <c r="X678">
        <v>67</v>
      </c>
      <c r="Y678" t="s">
        <v>3898</v>
      </c>
      <c r="Z678" t="s">
        <v>3899</v>
      </c>
      <c r="AA678" t="s">
        <v>842</v>
      </c>
      <c r="AB678" t="s">
        <v>843</v>
      </c>
      <c r="AC678" t="s">
        <v>713</v>
      </c>
      <c r="AD678" t="s">
        <v>713</v>
      </c>
      <c r="AE678" t="s">
        <v>3900</v>
      </c>
      <c r="AG678" t="s">
        <v>866</v>
      </c>
      <c r="AH678" t="s">
        <v>1852</v>
      </c>
    </row>
    <row r="679" spans="1:34">
      <c r="A679">
        <v>677</v>
      </c>
      <c r="B679" t="s">
        <v>2384</v>
      </c>
      <c r="C679">
        <v>1280</v>
      </c>
      <c r="E679" t="s">
        <v>3796</v>
      </c>
      <c r="F679" t="s">
        <v>1106</v>
      </c>
      <c r="G679" t="s">
        <v>243</v>
      </c>
      <c r="H679" t="s">
        <v>1178</v>
      </c>
      <c r="I679" t="s">
        <v>2384</v>
      </c>
      <c r="J679" t="s">
        <v>3901</v>
      </c>
      <c r="K679" t="s">
        <v>3902</v>
      </c>
      <c r="N679" t="s">
        <v>3903</v>
      </c>
      <c r="P679" t="s">
        <v>49</v>
      </c>
      <c r="Q679" t="s">
        <v>168</v>
      </c>
      <c r="T679" t="s">
        <v>197</v>
      </c>
      <c r="U679" t="s">
        <v>2385</v>
      </c>
      <c r="V679" t="s">
        <v>876</v>
      </c>
      <c r="W679">
        <v>28739</v>
      </c>
      <c r="X679">
        <v>47</v>
      </c>
      <c r="AA679" t="s">
        <v>802</v>
      </c>
      <c r="AB679" t="s">
        <v>794</v>
      </c>
      <c r="AC679" t="s">
        <v>1735</v>
      </c>
      <c r="AD679" t="s">
        <v>1735</v>
      </c>
      <c r="AE679" t="s">
        <v>2388</v>
      </c>
      <c r="AF679" t="s">
        <v>872</v>
      </c>
    </row>
    <row r="680" spans="1:34">
      <c r="A680">
        <v>678</v>
      </c>
      <c r="B680" t="s">
        <v>3901</v>
      </c>
      <c r="C680">
        <v>1282</v>
      </c>
      <c r="D680" t="s">
        <v>811</v>
      </c>
      <c r="E680" t="s">
        <v>3796</v>
      </c>
      <c r="F680" t="s">
        <v>1106</v>
      </c>
      <c r="G680" t="s">
        <v>243</v>
      </c>
      <c r="H680" t="s">
        <v>1178</v>
      </c>
      <c r="I680" t="s">
        <v>2384</v>
      </c>
      <c r="J680" t="s">
        <v>3901</v>
      </c>
      <c r="K680" t="s">
        <v>3902</v>
      </c>
      <c r="N680" t="s">
        <v>3903</v>
      </c>
      <c r="P680" t="s">
        <v>62</v>
      </c>
      <c r="Q680" t="s">
        <v>548</v>
      </c>
      <c r="S680" t="s">
        <v>874</v>
      </c>
      <c r="T680" t="s">
        <v>602</v>
      </c>
      <c r="U680" t="s">
        <v>3904</v>
      </c>
      <c r="V680" t="s">
        <v>876</v>
      </c>
      <c r="W680">
        <v>24860</v>
      </c>
      <c r="X680">
        <v>58</v>
      </c>
      <c r="Y680" t="s">
        <v>3905</v>
      </c>
      <c r="Z680" t="s">
        <v>3906</v>
      </c>
      <c r="AA680" t="s">
        <v>842</v>
      </c>
      <c r="AB680" t="s">
        <v>851</v>
      </c>
      <c r="AC680" t="s">
        <v>713</v>
      </c>
      <c r="AD680" t="s">
        <v>713</v>
      </c>
      <c r="AE680" t="s">
        <v>3907</v>
      </c>
      <c r="AH680" t="s">
        <v>1852</v>
      </c>
    </row>
    <row r="681" spans="1:34">
      <c r="A681">
        <v>679</v>
      </c>
      <c r="B681" t="s">
        <v>3902</v>
      </c>
      <c r="C681">
        <v>1284</v>
      </c>
      <c r="D681" t="s">
        <v>811</v>
      </c>
      <c r="E681" t="s">
        <v>3796</v>
      </c>
      <c r="F681" t="s">
        <v>1106</v>
      </c>
      <c r="G681" t="s">
        <v>243</v>
      </c>
      <c r="H681" t="s">
        <v>1178</v>
      </c>
      <c r="I681" t="s">
        <v>2384</v>
      </c>
      <c r="J681" t="s">
        <v>3901</v>
      </c>
      <c r="K681" t="s">
        <v>3902</v>
      </c>
      <c r="N681" t="s">
        <v>3903</v>
      </c>
      <c r="P681" t="s">
        <v>62</v>
      </c>
      <c r="Q681" t="s">
        <v>548</v>
      </c>
      <c r="S681" t="s">
        <v>874</v>
      </c>
      <c r="T681" t="s">
        <v>621</v>
      </c>
      <c r="U681" t="s">
        <v>3908</v>
      </c>
      <c r="V681" t="s">
        <v>876</v>
      </c>
      <c r="W681">
        <v>23911</v>
      </c>
      <c r="X681">
        <v>60</v>
      </c>
      <c r="Y681" t="s">
        <v>3909</v>
      </c>
      <c r="Z681" t="s">
        <v>3910</v>
      </c>
      <c r="AA681" t="s">
        <v>842</v>
      </c>
      <c r="AB681" t="s">
        <v>851</v>
      </c>
      <c r="AC681" t="s">
        <v>713</v>
      </c>
      <c r="AD681" t="s">
        <v>713</v>
      </c>
      <c r="AE681" t="s">
        <v>3911</v>
      </c>
      <c r="AH681" t="s">
        <v>1852</v>
      </c>
    </row>
    <row r="682" spans="1:34">
      <c r="A682">
        <v>680</v>
      </c>
      <c r="B682" t="s">
        <v>3912</v>
      </c>
      <c r="C682">
        <v>1286</v>
      </c>
      <c r="D682" t="s">
        <v>811</v>
      </c>
      <c r="E682" t="s">
        <v>3796</v>
      </c>
      <c r="F682" t="s">
        <v>1106</v>
      </c>
      <c r="G682" t="s">
        <v>243</v>
      </c>
      <c r="H682" t="s">
        <v>1178</v>
      </c>
      <c r="I682" t="s">
        <v>2384</v>
      </c>
      <c r="J682" t="s">
        <v>3901</v>
      </c>
      <c r="K682" t="s">
        <v>3902</v>
      </c>
      <c r="N682" t="s">
        <v>3903</v>
      </c>
      <c r="S682" t="s">
        <v>874</v>
      </c>
      <c r="T682" t="s">
        <v>639</v>
      </c>
      <c r="U682" t="s">
        <v>3913</v>
      </c>
      <c r="V682" t="s">
        <v>876</v>
      </c>
      <c r="W682">
        <v>24181</v>
      </c>
      <c r="X682">
        <v>59</v>
      </c>
      <c r="Y682" t="s">
        <v>3914</v>
      </c>
      <c r="Z682" t="s">
        <v>3915</v>
      </c>
      <c r="AA682" t="s">
        <v>842</v>
      </c>
      <c r="AB682" t="s">
        <v>851</v>
      </c>
      <c r="AC682" t="s">
        <v>713</v>
      </c>
      <c r="AD682" t="s">
        <v>713</v>
      </c>
      <c r="AE682" t="s">
        <v>3916</v>
      </c>
      <c r="AH682" t="s">
        <v>1852</v>
      </c>
    </row>
    <row r="683" spans="1:34">
      <c r="A683">
        <v>681</v>
      </c>
      <c r="B683" t="s">
        <v>3917</v>
      </c>
      <c r="C683">
        <v>1288</v>
      </c>
      <c r="D683" t="s">
        <v>811</v>
      </c>
      <c r="E683" t="s">
        <v>3796</v>
      </c>
      <c r="F683" t="s">
        <v>1106</v>
      </c>
      <c r="G683" t="s">
        <v>243</v>
      </c>
      <c r="H683" t="s">
        <v>1178</v>
      </c>
      <c r="I683" t="s">
        <v>2384</v>
      </c>
      <c r="J683" t="s">
        <v>3901</v>
      </c>
      <c r="K683" t="s">
        <v>3902</v>
      </c>
      <c r="N683" t="s">
        <v>3903</v>
      </c>
      <c r="S683" t="s">
        <v>874</v>
      </c>
      <c r="T683" t="s">
        <v>658</v>
      </c>
      <c r="U683" t="s">
        <v>3918</v>
      </c>
      <c r="V683" t="s">
        <v>876</v>
      </c>
      <c r="W683">
        <v>29947</v>
      </c>
      <c r="X683">
        <v>44</v>
      </c>
      <c r="Y683" t="s">
        <v>3919</v>
      </c>
      <c r="Z683" t="s">
        <v>3920</v>
      </c>
      <c r="AA683" t="s">
        <v>842</v>
      </c>
      <c r="AB683" t="s">
        <v>851</v>
      </c>
      <c r="AC683" t="s">
        <v>1256</v>
      </c>
      <c r="AD683" t="s">
        <v>1256</v>
      </c>
      <c r="AE683" t="s">
        <v>3921</v>
      </c>
      <c r="AH683" t="s">
        <v>1852</v>
      </c>
    </row>
    <row r="684" spans="1:34">
      <c r="A684">
        <v>682</v>
      </c>
      <c r="B684" t="s">
        <v>3922</v>
      </c>
      <c r="C684">
        <v>1290</v>
      </c>
      <c r="D684" t="s">
        <v>811</v>
      </c>
      <c r="E684" t="s">
        <v>3796</v>
      </c>
      <c r="F684" t="s">
        <v>1106</v>
      </c>
      <c r="G684" t="s">
        <v>243</v>
      </c>
      <c r="H684" t="s">
        <v>1178</v>
      </c>
      <c r="I684" t="s">
        <v>2384</v>
      </c>
      <c r="J684" t="s">
        <v>3901</v>
      </c>
      <c r="K684" t="s">
        <v>3902</v>
      </c>
      <c r="N684" t="s">
        <v>3903</v>
      </c>
      <c r="S684" t="s">
        <v>874</v>
      </c>
      <c r="T684" t="s">
        <v>674</v>
      </c>
      <c r="U684" t="s">
        <v>3923</v>
      </c>
      <c r="V684" t="s">
        <v>876</v>
      </c>
      <c r="W684">
        <v>30310</v>
      </c>
      <c r="X684">
        <v>43</v>
      </c>
      <c r="Y684" t="s">
        <v>3924</v>
      </c>
      <c r="Z684" t="s">
        <v>3925</v>
      </c>
      <c r="AA684" t="s">
        <v>842</v>
      </c>
      <c r="AB684" t="s">
        <v>843</v>
      </c>
      <c r="AC684" t="s">
        <v>713</v>
      </c>
      <c r="AD684" t="s">
        <v>713</v>
      </c>
      <c r="AE684" t="s">
        <v>3926</v>
      </c>
      <c r="AH684" t="s">
        <v>1852</v>
      </c>
    </row>
    <row r="685" spans="1:34">
      <c r="A685">
        <v>683</v>
      </c>
      <c r="B685" t="s">
        <v>3927</v>
      </c>
      <c r="C685">
        <v>1292</v>
      </c>
      <c r="D685" t="s">
        <v>811</v>
      </c>
      <c r="E685" t="s">
        <v>3796</v>
      </c>
      <c r="F685" t="s">
        <v>1106</v>
      </c>
      <c r="G685" t="s">
        <v>243</v>
      </c>
      <c r="H685" t="s">
        <v>1178</v>
      </c>
      <c r="I685" t="s">
        <v>2384</v>
      </c>
      <c r="J685" t="s">
        <v>3901</v>
      </c>
      <c r="K685" t="s">
        <v>3902</v>
      </c>
      <c r="N685" t="s">
        <v>3903</v>
      </c>
      <c r="S685" t="s">
        <v>874</v>
      </c>
      <c r="T685" t="s">
        <v>689</v>
      </c>
      <c r="U685" t="s">
        <v>3928</v>
      </c>
      <c r="V685" t="s">
        <v>876</v>
      </c>
      <c r="W685">
        <v>32130</v>
      </c>
      <c r="X685">
        <v>38</v>
      </c>
      <c r="Y685" t="s">
        <v>3929</v>
      </c>
      <c r="AA685" t="s">
        <v>842</v>
      </c>
      <c r="AB685" t="s">
        <v>843</v>
      </c>
      <c r="AC685" t="s">
        <v>713</v>
      </c>
      <c r="AD685" t="s">
        <v>713</v>
      </c>
      <c r="AE685" t="s">
        <v>3930</v>
      </c>
      <c r="AH685" t="s">
        <v>1852</v>
      </c>
    </row>
    <row r="686" spans="1:34">
      <c r="A686">
        <v>684</v>
      </c>
      <c r="B686" t="s">
        <v>3931</v>
      </c>
      <c r="C686">
        <v>1294</v>
      </c>
      <c r="D686" t="s">
        <v>811</v>
      </c>
      <c r="E686" t="s">
        <v>3796</v>
      </c>
      <c r="F686" t="s">
        <v>1106</v>
      </c>
      <c r="G686" t="s">
        <v>243</v>
      </c>
      <c r="H686" t="s">
        <v>1178</v>
      </c>
      <c r="I686" t="s">
        <v>2384</v>
      </c>
      <c r="J686" t="s">
        <v>3901</v>
      </c>
      <c r="K686" t="s">
        <v>3902</v>
      </c>
      <c r="N686" t="s">
        <v>3903</v>
      </c>
      <c r="O686" t="s">
        <v>308</v>
      </c>
      <c r="S686" t="s">
        <v>874</v>
      </c>
      <c r="T686" t="s">
        <v>3932</v>
      </c>
      <c r="U686" t="s">
        <v>3933</v>
      </c>
      <c r="V686" t="s">
        <v>876</v>
      </c>
      <c r="W686">
        <v>22724</v>
      </c>
      <c r="X686">
        <v>63</v>
      </c>
      <c r="Y686" t="s">
        <v>3934</v>
      </c>
      <c r="Z686" t="s">
        <v>3935</v>
      </c>
      <c r="AA686" t="s">
        <v>842</v>
      </c>
      <c r="AB686" t="s">
        <v>843</v>
      </c>
      <c r="AC686" t="s">
        <v>713</v>
      </c>
      <c r="AD686" t="s">
        <v>1436</v>
      </c>
      <c r="AE686" t="s">
        <v>1437</v>
      </c>
      <c r="AH686" t="s">
        <v>1087</v>
      </c>
    </row>
    <row r="687" spans="1:34">
      <c r="A687">
        <v>685</v>
      </c>
      <c r="B687" t="s">
        <v>3936</v>
      </c>
      <c r="C687">
        <v>1296</v>
      </c>
      <c r="D687" t="s">
        <v>811</v>
      </c>
      <c r="E687" t="s">
        <v>3796</v>
      </c>
      <c r="F687" t="s">
        <v>1106</v>
      </c>
      <c r="G687" t="s">
        <v>243</v>
      </c>
      <c r="H687" t="s">
        <v>1178</v>
      </c>
      <c r="I687" t="s">
        <v>2384</v>
      </c>
      <c r="J687" t="s">
        <v>3901</v>
      </c>
      <c r="K687" t="s">
        <v>3902</v>
      </c>
      <c r="N687" t="s">
        <v>3903</v>
      </c>
      <c r="O687" t="s">
        <v>308</v>
      </c>
      <c r="S687" t="s">
        <v>874</v>
      </c>
      <c r="T687" t="s">
        <v>3937</v>
      </c>
      <c r="U687" t="s">
        <v>3938</v>
      </c>
      <c r="V687" t="s">
        <v>876</v>
      </c>
      <c r="W687">
        <v>22873</v>
      </c>
      <c r="X687">
        <v>63</v>
      </c>
      <c r="Y687" t="s">
        <v>3939</v>
      </c>
      <c r="AA687" t="s">
        <v>842</v>
      </c>
      <c r="AB687" t="s">
        <v>843</v>
      </c>
      <c r="AC687" t="s">
        <v>713</v>
      </c>
      <c r="AD687" t="s">
        <v>713</v>
      </c>
      <c r="AE687" t="s">
        <v>3940</v>
      </c>
      <c r="AF687" t="s">
        <v>1571</v>
      </c>
      <c r="AG687" t="s">
        <v>3941</v>
      </c>
      <c r="AH687" t="s">
        <v>1087</v>
      </c>
    </row>
    <row r="688" spans="1:34">
      <c r="A688">
        <v>686</v>
      </c>
      <c r="B688" t="s">
        <v>3942</v>
      </c>
      <c r="C688">
        <v>1298</v>
      </c>
      <c r="D688" t="s">
        <v>811</v>
      </c>
      <c r="E688" t="s">
        <v>3796</v>
      </c>
      <c r="F688" t="s">
        <v>1106</v>
      </c>
      <c r="G688" t="s">
        <v>243</v>
      </c>
      <c r="H688" t="s">
        <v>1178</v>
      </c>
      <c r="I688" t="s">
        <v>2384</v>
      </c>
      <c r="J688" t="s">
        <v>3901</v>
      </c>
      <c r="K688" t="s">
        <v>3902</v>
      </c>
      <c r="N688" t="s">
        <v>3903</v>
      </c>
      <c r="O688" t="s">
        <v>308</v>
      </c>
      <c r="S688" t="s">
        <v>874</v>
      </c>
      <c r="T688" t="s">
        <v>3943</v>
      </c>
      <c r="U688" t="s">
        <v>3944</v>
      </c>
      <c r="V688" t="s">
        <v>876</v>
      </c>
      <c r="W688">
        <v>25028</v>
      </c>
      <c r="X688">
        <v>57</v>
      </c>
      <c r="Y688" t="s">
        <v>3945</v>
      </c>
      <c r="Z688" t="s">
        <v>3946</v>
      </c>
      <c r="AA688" t="s">
        <v>842</v>
      </c>
      <c r="AB688" t="s">
        <v>843</v>
      </c>
      <c r="AC688" t="s">
        <v>713</v>
      </c>
      <c r="AD688" t="s">
        <v>713</v>
      </c>
      <c r="AE688" t="s">
        <v>3734</v>
      </c>
      <c r="AH688" t="s">
        <v>1087</v>
      </c>
    </row>
    <row r="689" spans="1:35">
      <c r="A689">
        <v>687</v>
      </c>
      <c r="B689" t="s">
        <v>827</v>
      </c>
      <c r="C689">
        <v>1299</v>
      </c>
      <c r="E689" t="s">
        <v>846</v>
      </c>
      <c r="F689" t="s">
        <v>1106</v>
      </c>
      <c r="G689" t="s">
        <v>71</v>
      </c>
      <c r="H689" t="s">
        <v>827</v>
      </c>
      <c r="I689" t="s">
        <v>827</v>
      </c>
      <c r="N689" t="s">
        <v>3947</v>
      </c>
      <c r="P689" t="s">
        <v>49</v>
      </c>
      <c r="Q689" t="s">
        <v>168</v>
      </c>
      <c r="T689" t="s">
        <v>71</v>
      </c>
      <c r="U689" t="s">
        <v>833</v>
      </c>
      <c r="V689" t="s">
        <v>790</v>
      </c>
      <c r="W689">
        <v>33031</v>
      </c>
      <c r="X689">
        <v>35</v>
      </c>
      <c r="Y689" t="s">
        <v>834</v>
      </c>
      <c r="Z689" t="s">
        <v>3948</v>
      </c>
      <c r="AA689" t="s">
        <v>802</v>
      </c>
      <c r="AB689" t="s">
        <v>794</v>
      </c>
      <c r="AF689" t="s">
        <v>872</v>
      </c>
    </row>
    <row r="690" spans="1:35">
      <c r="A690">
        <v>688</v>
      </c>
      <c r="B690" t="s">
        <v>3949</v>
      </c>
      <c r="C690">
        <v>1301</v>
      </c>
      <c r="D690" t="s">
        <v>811</v>
      </c>
      <c r="E690" t="s">
        <v>846</v>
      </c>
      <c r="F690" t="s">
        <v>1106</v>
      </c>
      <c r="G690" t="s">
        <v>71</v>
      </c>
      <c r="H690" t="s">
        <v>827</v>
      </c>
      <c r="I690" t="s">
        <v>827</v>
      </c>
      <c r="J690" t="s">
        <v>786</v>
      </c>
      <c r="N690" t="s">
        <v>3947</v>
      </c>
      <c r="O690" t="s">
        <v>308</v>
      </c>
      <c r="S690" t="s">
        <v>788</v>
      </c>
      <c r="T690" t="s">
        <v>3950</v>
      </c>
      <c r="U690" t="s">
        <v>3951</v>
      </c>
      <c r="V690" t="s">
        <v>790</v>
      </c>
      <c r="W690">
        <v>34371</v>
      </c>
      <c r="X690">
        <v>31</v>
      </c>
      <c r="Y690" t="s">
        <v>3952</v>
      </c>
      <c r="Z690" t="s">
        <v>3953</v>
      </c>
      <c r="AA690" t="s">
        <v>842</v>
      </c>
      <c r="AB690" t="s">
        <v>843</v>
      </c>
      <c r="AC690" t="s">
        <v>713</v>
      </c>
      <c r="AD690" t="s">
        <v>713</v>
      </c>
      <c r="AE690" t="s">
        <v>3954</v>
      </c>
      <c r="AH690" t="s">
        <v>971</v>
      </c>
    </row>
    <row r="691" spans="1:35">
      <c r="A691">
        <v>689</v>
      </c>
      <c r="B691" t="s">
        <v>3955</v>
      </c>
      <c r="C691">
        <v>1303</v>
      </c>
      <c r="D691" t="s">
        <v>811</v>
      </c>
      <c r="E691" t="s">
        <v>846</v>
      </c>
      <c r="F691" t="s">
        <v>1106</v>
      </c>
      <c r="G691" t="s">
        <v>71</v>
      </c>
      <c r="H691" t="s">
        <v>827</v>
      </c>
      <c r="I691" t="s">
        <v>827</v>
      </c>
      <c r="J691" t="s">
        <v>786</v>
      </c>
      <c r="N691" t="s">
        <v>3947</v>
      </c>
      <c r="O691" t="s">
        <v>308</v>
      </c>
      <c r="S691" t="s">
        <v>799</v>
      </c>
      <c r="T691" t="s">
        <v>3956</v>
      </c>
      <c r="U691" t="s">
        <v>3957</v>
      </c>
      <c r="V691" t="s">
        <v>790</v>
      </c>
      <c r="W691">
        <v>30717</v>
      </c>
      <c r="X691">
        <v>41</v>
      </c>
      <c r="Y691" t="s">
        <v>3958</v>
      </c>
      <c r="AA691" t="s">
        <v>842</v>
      </c>
      <c r="AB691" t="s">
        <v>843</v>
      </c>
      <c r="AC691" t="s">
        <v>815</v>
      </c>
      <c r="AD691" t="s">
        <v>815</v>
      </c>
      <c r="AE691" t="s">
        <v>1282</v>
      </c>
      <c r="AF691" t="s">
        <v>1571</v>
      </c>
      <c r="AG691" t="s">
        <v>3959</v>
      </c>
      <c r="AH691" t="s">
        <v>971</v>
      </c>
    </row>
    <row r="692" spans="1:35">
      <c r="A692">
        <v>690</v>
      </c>
      <c r="B692" t="s">
        <v>785</v>
      </c>
      <c r="C692">
        <v>1304</v>
      </c>
      <c r="E692" t="s">
        <v>846</v>
      </c>
      <c r="F692" t="s">
        <v>1106</v>
      </c>
      <c r="G692" t="s">
        <v>71</v>
      </c>
      <c r="H692" t="s">
        <v>827</v>
      </c>
      <c r="I692" t="s">
        <v>785</v>
      </c>
      <c r="J692" t="s">
        <v>3960</v>
      </c>
      <c r="K692" t="s">
        <v>3961</v>
      </c>
      <c r="N692" t="s">
        <v>3962</v>
      </c>
      <c r="P692" t="s">
        <v>163</v>
      </c>
      <c r="Q692" t="s">
        <v>163</v>
      </c>
      <c r="R692" t="s">
        <v>168</v>
      </c>
      <c r="T692" t="s">
        <v>57</v>
      </c>
      <c r="U692" t="s">
        <v>3963</v>
      </c>
      <c r="V692" t="s">
        <v>790</v>
      </c>
      <c r="W692">
        <v>32431</v>
      </c>
      <c r="X692">
        <v>37</v>
      </c>
      <c r="Y692" t="s">
        <v>800</v>
      </c>
      <c r="Z692" t="s">
        <v>3964</v>
      </c>
      <c r="AA692" t="s">
        <v>802</v>
      </c>
      <c r="AB692" t="s">
        <v>794</v>
      </c>
      <c r="AC692" t="s">
        <v>803</v>
      </c>
      <c r="AD692" t="s">
        <v>795</v>
      </c>
      <c r="AE692" t="s">
        <v>796</v>
      </c>
      <c r="AF692" t="s">
        <v>872</v>
      </c>
    </row>
    <row r="693" spans="1:35">
      <c r="A693">
        <v>691</v>
      </c>
      <c r="B693" t="s">
        <v>3960</v>
      </c>
      <c r="C693">
        <v>1306</v>
      </c>
      <c r="D693" t="s">
        <v>1001</v>
      </c>
      <c r="E693" t="s">
        <v>846</v>
      </c>
      <c r="F693" t="s">
        <v>1106</v>
      </c>
      <c r="G693" t="s">
        <v>71</v>
      </c>
      <c r="H693" t="s">
        <v>827</v>
      </c>
      <c r="I693" t="s">
        <v>785</v>
      </c>
      <c r="J693" t="s">
        <v>3960</v>
      </c>
      <c r="K693" t="s">
        <v>3961</v>
      </c>
      <c r="N693" t="s">
        <v>3962</v>
      </c>
      <c r="P693" t="s">
        <v>62</v>
      </c>
      <c r="Q693" t="s">
        <v>548</v>
      </c>
      <c r="S693" t="s">
        <v>799</v>
      </c>
      <c r="T693" t="s">
        <v>604</v>
      </c>
      <c r="U693" t="s">
        <v>3965</v>
      </c>
      <c r="V693" t="s">
        <v>790</v>
      </c>
      <c r="W693">
        <v>22474</v>
      </c>
      <c r="X693">
        <v>64</v>
      </c>
      <c r="Y693" t="s">
        <v>3966</v>
      </c>
      <c r="Z693" t="s">
        <v>3967</v>
      </c>
      <c r="AA693" t="s">
        <v>842</v>
      </c>
      <c r="AB693" t="s">
        <v>843</v>
      </c>
      <c r="AC693" t="s">
        <v>236</v>
      </c>
      <c r="AD693" t="s">
        <v>236</v>
      </c>
      <c r="AE693" t="s">
        <v>3968</v>
      </c>
      <c r="AH693" t="s">
        <v>976</v>
      </c>
    </row>
    <row r="694" spans="1:35">
      <c r="A694">
        <v>692</v>
      </c>
      <c r="B694" t="s">
        <v>3961</v>
      </c>
      <c r="C694">
        <v>1308</v>
      </c>
      <c r="D694" t="s">
        <v>1001</v>
      </c>
      <c r="E694" t="s">
        <v>846</v>
      </c>
      <c r="F694" t="s">
        <v>1106</v>
      </c>
      <c r="G694" t="s">
        <v>71</v>
      </c>
      <c r="H694" t="s">
        <v>827</v>
      </c>
      <c r="I694" t="s">
        <v>785</v>
      </c>
      <c r="J694" t="s">
        <v>3960</v>
      </c>
      <c r="K694" t="s">
        <v>3961</v>
      </c>
      <c r="N694" t="s">
        <v>3962</v>
      </c>
      <c r="P694" t="s">
        <v>62</v>
      </c>
      <c r="Q694" t="s">
        <v>548</v>
      </c>
      <c r="S694" t="s">
        <v>874</v>
      </c>
      <c r="T694" t="s">
        <v>623</v>
      </c>
      <c r="U694" t="s">
        <v>3969</v>
      </c>
      <c r="V694" t="s">
        <v>876</v>
      </c>
      <c r="W694">
        <v>26681</v>
      </c>
      <c r="X694">
        <v>53</v>
      </c>
      <c r="Y694" t="s">
        <v>3970</v>
      </c>
      <c r="Z694" t="s">
        <v>3971</v>
      </c>
      <c r="AA694" t="s">
        <v>842</v>
      </c>
      <c r="AB694" t="s">
        <v>851</v>
      </c>
      <c r="AC694" t="s">
        <v>236</v>
      </c>
      <c r="AD694" t="s">
        <v>236</v>
      </c>
      <c r="AE694" t="s">
        <v>3968</v>
      </c>
      <c r="AH694" t="s">
        <v>976</v>
      </c>
    </row>
    <row r="695" spans="1:35">
      <c r="A695">
        <v>693</v>
      </c>
      <c r="B695" t="s">
        <v>3972</v>
      </c>
      <c r="C695">
        <v>1310</v>
      </c>
      <c r="D695" t="s">
        <v>1001</v>
      </c>
      <c r="E695" t="s">
        <v>846</v>
      </c>
      <c r="F695" t="s">
        <v>1106</v>
      </c>
      <c r="G695" t="s">
        <v>71</v>
      </c>
      <c r="H695" t="s">
        <v>827</v>
      </c>
      <c r="I695" t="s">
        <v>785</v>
      </c>
      <c r="J695" t="s">
        <v>3960</v>
      </c>
      <c r="K695" t="s">
        <v>3961</v>
      </c>
      <c r="N695" t="s">
        <v>3962</v>
      </c>
      <c r="S695" t="s">
        <v>799</v>
      </c>
      <c r="T695" t="s">
        <v>3973</v>
      </c>
      <c r="U695" t="s">
        <v>3974</v>
      </c>
      <c r="V695" t="s">
        <v>790</v>
      </c>
      <c r="W695">
        <v>26062</v>
      </c>
      <c r="X695">
        <v>54</v>
      </c>
      <c r="Y695" t="s">
        <v>3975</v>
      </c>
      <c r="Z695" t="s">
        <v>3976</v>
      </c>
      <c r="AA695" t="s">
        <v>842</v>
      </c>
      <c r="AB695" t="s">
        <v>843</v>
      </c>
      <c r="AC695" t="s">
        <v>236</v>
      </c>
      <c r="AD695" t="s">
        <v>236</v>
      </c>
      <c r="AE695" t="s">
        <v>3977</v>
      </c>
      <c r="AH695" t="s">
        <v>971</v>
      </c>
    </row>
    <row r="696" spans="1:35">
      <c r="A696">
        <v>694</v>
      </c>
      <c r="B696" t="s">
        <v>3978</v>
      </c>
      <c r="C696">
        <v>1312</v>
      </c>
      <c r="D696" t="s">
        <v>1822</v>
      </c>
      <c r="E696" t="s">
        <v>846</v>
      </c>
      <c r="F696" t="s">
        <v>1106</v>
      </c>
      <c r="G696" t="s">
        <v>71</v>
      </c>
      <c r="H696" t="s">
        <v>827</v>
      </c>
      <c r="I696" t="s">
        <v>785</v>
      </c>
      <c r="J696" t="s">
        <v>3960</v>
      </c>
      <c r="K696" t="s">
        <v>3961</v>
      </c>
      <c r="N696" t="s">
        <v>3962</v>
      </c>
      <c r="S696" t="s">
        <v>799</v>
      </c>
      <c r="T696" t="s">
        <v>659</v>
      </c>
      <c r="U696" t="s">
        <v>3979</v>
      </c>
      <c r="V696" t="s">
        <v>790</v>
      </c>
      <c r="W696">
        <v>24209</v>
      </c>
      <c r="X696">
        <v>59</v>
      </c>
      <c r="Y696" t="s">
        <v>3980</v>
      </c>
      <c r="Z696" t="s">
        <v>3981</v>
      </c>
      <c r="AA696" t="s">
        <v>842</v>
      </c>
      <c r="AB696" t="s">
        <v>843</v>
      </c>
      <c r="AC696" t="s">
        <v>809</v>
      </c>
      <c r="AD696" t="s">
        <v>809</v>
      </c>
      <c r="AE696" t="s">
        <v>2218</v>
      </c>
      <c r="AH696" t="s">
        <v>976</v>
      </c>
      <c r="AI696" t="s">
        <v>1863</v>
      </c>
    </row>
    <row r="697" spans="1:35">
      <c r="A697">
        <v>695</v>
      </c>
      <c r="B697" t="s">
        <v>3982</v>
      </c>
      <c r="C697">
        <v>1314</v>
      </c>
      <c r="D697" t="s">
        <v>1822</v>
      </c>
      <c r="E697" t="s">
        <v>846</v>
      </c>
      <c r="F697" t="s">
        <v>1106</v>
      </c>
      <c r="G697" t="s">
        <v>71</v>
      </c>
      <c r="H697" t="s">
        <v>827</v>
      </c>
      <c r="I697" t="s">
        <v>785</v>
      </c>
      <c r="J697" t="s">
        <v>3960</v>
      </c>
      <c r="K697" t="s">
        <v>3961</v>
      </c>
      <c r="N697" t="s">
        <v>3962</v>
      </c>
      <c r="S697" t="s">
        <v>799</v>
      </c>
      <c r="T697" t="s">
        <v>675</v>
      </c>
      <c r="U697" t="s">
        <v>3983</v>
      </c>
      <c r="V697" t="s">
        <v>790</v>
      </c>
      <c r="W697">
        <v>26119</v>
      </c>
      <c r="X697">
        <v>54</v>
      </c>
      <c r="Z697" t="s">
        <v>3984</v>
      </c>
      <c r="AA697" t="s">
        <v>842</v>
      </c>
      <c r="AB697" t="s">
        <v>843</v>
      </c>
      <c r="AC697" t="s">
        <v>809</v>
      </c>
      <c r="AD697" t="s">
        <v>809</v>
      </c>
      <c r="AE697" t="s">
        <v>2218</v>
      </c>
      <c r="AH697" t="s">
        <v>976</v>
      </c>
      <c r="AI697" t="s">
        <v>1863</v>
      </c>
    </row>
    <row r="698" spans="1:35">
      <c r="A698">
        <v>696</v>
      </c>
      <c r="B698" t="s">
        <v>3985</v>
      </c>
      <c r="C698">
        <v>1316</v>
      </c>
      <c r="D698" t="s">
        <v>1822</v>
      </c>
      <c r="E698" t="s">
        <v>846</v>
      </c>
      <c r="F698" t="s">
        <v>1106</v>
      </c>
      <c r="G698" t="s">
        <v>71</v>
      </c>
      <c r="H698" t="s">
        <v>827</v>
      </c>
      <c r="I698" t="s">
        <v>785</v>
      </c>
      <c r="J698" t="s">
        <v>3960</v>
      </c>
      <c r="K698" t="s">
        <v>3961</v>
      </c>
      <c r="N698" t="s">
        <v>3962</v>
      </c>
      <c r="S698" t="s">
        <v>874</v>
      </c>
      <c r="T698" t="s">
        <v>3986</v>
      </c>
      <c r="U698" t="s">
        <v>3987</v>
      </c>
      <c r="V698" t="s">
        <v>876</v>
      </c>
      <c r="W698">
        <v>22399</v>
      </c>
      <c r="X698">
        <v>64</v>
      </c>
      <c r="Y698" t="s">
        <v>3988</v>
      </c>
      <c r="AA698" t="s">
        <v>842</v>
      </c>
      <c r="AB698" t="s">
        <v>843</v>
      </c>
      <c r="AC698" t="s">
        <v>809</v>
      </c>
      <c r="AD698" t="s">
        <v>809</v>
      </c>
      <c r="AE698" t="s">
        <v>2218</v>
      </c>
      <c r="AG698" t="s">
        <v>3989</v>
      </c>
      <c r="AH698" t="s">
        <v>976</v>
      </c>
      <c r="AI698" t="s">
        <v>860</v>
      </c>
    </row>
    <row r="699" spans="1:35">
      <c r="A699">
        <v>697</v>
      </c>
      <c r="B699" t="s">
        <v>3990</v>
      </c>
      <c r="C699">
        <v>1318</v>
      </c>
      <c r="D699" t="s">
        <v>811</v>
      </c>
      <c r="E699" t="s">
        <v>846</v>
      </c>
      <c r="F699" t="s">
        <v>1106</v>
      </c>
      <c r="G699" t="s">
        <v>71</v>
      </c>
      <c r="H699" t="s">
        <v>827</v>
      </c>
      <c r="I699" t="s">
        <v>785</v>
      </c>
      <c r="J699" t="s">
        <v>3960</v>
      </c>
      <c r="K699" t="s">
        <v>3961</v>
      </c>
      <c r="N699" t="s">
        <v>3962</v>
      </c>
      <c r="O699" t="s">
        <v>308</v>
      </c>
      <c r="S699" t="s">
        <v>799</v>
      </c>
      <c r="T699" t="s">
        <v>698</v>
      </c>
      <c r="U699" t="s">
        <v>3991</v>
      </c>
      <c r="V699" t="s">
        <v>790</v>
      </c>
      <c r="W699">
        <v>26765</v>
      </c>
      <c r="X699">
        <v>52</v>
      </c>
      <c r="Y699" t="s">
        <v>3992</v>
      </c>
      <c r="Z699" t="s">
        <v>3993</v>
      </c>
      <c r="AA699" t="s">
        <v>842</v>
      </c>
      <c r="AB699" t="s">
        <v>843</v>
      </c>
      <c r="AC699" t="s">
        <v>713</v>
      </c>
      <c r="AD699" t="s">
        <v>713</v>
      </c>
      <c r="AE699" t="s">
        <v>3994</v>
      </c>
      <c r="AH699" t="s">
        <v>1438</v>
      </c>
    </row>
    <row r="700" spans="1:35">
      <c r="A700">
        <v>698</v>
      </c>
      <c r="B700" t="s">
        <v>1159</v>
      </c>
      <c r="C700">
        <v>1319</v>
      </c>
      <c r="E700" t="s">
        <v>846</v>
      </c>
      <c r="F700" t="s">
        <v>1106</v>
      </c>
      <c r="G700" t="s">
        <v>71</v>
      </c>
      <c r="H700" t="s">
        <v>827</v>
      </c>
      <c r="I700" t="s">
        <v>1159</v>
      </c>
      <c r="J700" t="s">
        <v>786</v>
      </c>
      <c r="N700" t="s">
        <v>3995</v>
      </c>
      <c r="P700" t="s">
        <v>49</v>
      </c>
      <c r="Q700" t="s">
        <v>168</v>
      </c>
      <c r="T700" t="s">
        <v>181</v>
      </c>
      <c r="U700" t="s">
        <v>1165</v>
      </c>
      <c r="V700" t="s">
        <v>790</v>
      </c>
      <c r="W700">
        <v>19232</v>
      </c>
      <c r="X700">
        <v>73</v>
      </c>
      <c r="Y700" t="s">
        <v>1166</v>
      </c>
      <c r="Z700" t="s">
        <v>3996</v>
      </c>
      <c r="AA700" t="s">
        <v>802</v>
      </c>
      <c r="AB700" t="s">
        <v>794</v>
      </c>
      <c r="AC700" t="s">
        <v>713</v>
      </c>
      <c r="AD700" t="s">
        <v>1163</v>
      </c>
      <c r="AE700" t="s">
        <v>1164</v>
      </c>
      <c r="AF700" t="s">
        <v>872</v>
      </c>
    </row>
    <row r="701" spans="1:35">
      <c r="A701">
        <v>699</v>
      </c>
      <c r="B701" t="s">
        <v>3997</v>
      </c>
      <c r="C701">
        <v>1321</v>
      </c>
      <c r="D701" t="s">
        <v>811</v>
      </c>
      <c r="E701" t="s">
        <v>846</v>
      </c>
      <c r="F701" t="s">
        <v>1106</v>
      </c>
      <c r="G701" t="s">
        <v>71</v>
      </c>
      <c r="H701" t="s">
        <v>827</v>
      </c>
      <c r="I701" t="s">
        <v>1159</v>
      </c>
      <c r="J701" t="s">
        <v>786</v>
      </c>
      <c r="N701" t="s">
        <v>3995</v>
      </c>
      <c r="S701" t="s">
        <v>799</v>
      </c>
      <c r="T701" t="s">
        <v>605</v>
      </c>
      <c r="U701" t="s">
        <v>3998</v>
      </c>
      <c r="V701" t="s">
        <v>790</v>
      </c>
      <c r="W701">
        <v>22720</v>
      </c>
      <c r="X701">
        <v>63</v>
      </c>
      <c r="Y701" t="s">
        <v>3999</v>
      </c>
      <c r="Z701" t="s">
        <v>4000</v>
      </c>
      <c r="AA701" t="s">
        <v>842</v>
      </c>
      <c r="AB701" t="s">
        <v>851</v>
      </c>
      <c r="AC701" t="s">
        <v>713</v>
      </c>
      <c r="AD701" t="s">
        <v>713</v>
      </c>
      <c r="AE701" t="s">
        <v>4001</v>
      </c>
      <c r="AH701" t="s">
        <v>1852</v>
      </c>
    </row>
    <row r="702" spans="1:35">
      <c r="A702">
        <v>700</v>
      </c>
      <c r="B702" t="s">
        <v>4002</v>
      </c>
      <c r="C702">
        <v>1323</v>
      </c>
      <c r="D702" t="s">
        <v>811</v>
      </c>
      <c r="E702" t="s">
        <v>846</v>
      </c>
      <c r="F702" t="s">
        <v>1106</v>
      </c>
      <c r="G702" t="s">
        <v>71</v>
      </c>
      <c r="H702" t="s">
        <v>827</v>
      </c>
      <c r="I702" t="s">
        <v>1159</v>
      </c>
      <c r="J702" t="s">
        <v>786</v>
      </c>
      <c r="N702" t="s">
        <v>3995</v>
      </c>
      <c r="S702" t="s">
        <v>799</v>
      </c>
      <c r="T702" t="s">
        <v>641</v>
      </c>
      <c r="U702" t="s">
        <v>4003</v>
      </c>
      <c r="V702" t="s">
        <v>790</v>
      </c>
      <c r="W702">
        <v>35402</v>
      </c>
      <c r="X702">
        <v>29</v>
      </c>
      <c r="Y702" t="s">
        <v>4004</v>
      </c>
      <c r="AA702" t="s">
        <v>842</v>
      </c>
      <c r="AB702" t="s">
        <v>851</v>
      </c>
      <c r="AC702" t="s">
        <v>713</v>
      </c>
      <c r="AD702" t="s">
        <v>713</v>
      </c>
      <c r="AE702" t="s">
        <v>4005</v>
      </c>
      <c r="AH702" t="s">
        <v>1852</v>
      </c>
    </row>
    <row r="703" spans="1:35">
      <c r="A703">
        <v>701</v>
      </c>
      <c r="B703" t="s">
        <v>4006</v>
      </c>
      <c r="C703">
        <v>1325</v>
      </c>
      <c r="D703" t="s">
        <v>811</v>
      </c>
      <c r="E703" t="s">
        <v>846</v>
      </c>
      <c r="F703" t="s">
        <v>1106</v>
      </c>
      <c r="G703" t="s">
        <v>71</v>
      </c>
      <c r="H703" t="s">
        <v>827</v>
      </c>
      <c r="I703" t="s">
        <v>1159</v>
      </c>
      <c r="J703" t="s">
        <v>786</v>
      </c>
      <c r="N703" t="s">
        <v>3995</v>
      </c>
      <c r="S703" t="s">
        <v>799</v>
      </c>
      <c r="T703" t="s">
        <v>660</v>
      </c>
      <c r="U703" t="s">
        <v>4007</v>
      </c>
      <c r="V703" t="s">
        <v>790</v>
      </c>
      <c r="W703">
        <v>35555</v>
      </c>
      <c r="X703">
        <v>28</v>
      </c>
      <c r="Y703" t="s">
        <v>4008</v>
      </c>
      <c r="Z703" t="s">
        <v>4009</v>
      </c>
      <c r="AA703" t="s">
        <v>842</v>
      </c>
      <c r="AB703" t="s">
        <v>843</v>
      </c>
      <c r="AC703" t="s">
        <v>713</v>
      </c>
      <c r="AD703" t="s">
        <v>713</v>
      </c>
      <c r="AE703" t="s">
        <v>4005</v>
      </c>
      <c r="AH703" t="s">
        <v>1852</v>
      </c>
    </row>
    <row r="704" spans="1:35">
      <c r="A704">
        <v>702</v>
      </c>
      <c r="B704" t="s">
        <v>4010</v>
      </c>
      <c r="C704">
        <v>1327</v>
      </c>
      <c r="D704" t="s">
        <v>811</v>
      </c>
      <c r="E704" t="s">
        <v>846</v>
      </c>
      <c r="F704" t="s">
        <v>1106</v>
      </c>
      <c r="G704" t="s">
        <v>71</v>
      </c>
      <c r="H704" t="s">
        <v>827</v>
      </c>
      <c r="I704" t="s">
        <v>1159</v>
      </c>
      <c r="J704" t="s">
        <v>786</v>
      </c>
      <c r="N704" t="s">
        <v>3995</v>
      </c>
      <c r="S704" t="s">
        <v>898</v>
      </c>
      <c r="T704" t="s">
        <v>691</v>
      </c>
      <c r="U704" t="s">
        <v>4011</v>
      </c>
      <c r="V704" t="s">
        <v>790</v>
      </c>
      <c r="W704">
        <v>18218</v>
      </c>
      <c r="X704">
        <v>76</v>
      </c>
      <c r="Y704" t="s">
        <v>4012</v>
      </c>
      <c r="Z704" t="s">
        <v>4013</v>
      </c>
      <c r="AA704" t="s">
        <v>842</v>
      </c>
      <c r="AB704" t="s">
        <v>843</v>
      </c>
      <c r="AC704" t="s">
        <v>713</v>
      </c>
      <c r="AD704" t="s">
        <v>713</v>
      </c>
      <c r="AE704" t="s">
        <v>1729</v>
      </c>
      <c r="AH704" t="s">
        <v>971</v>
      </c>
    </row>
    <row r="705" spans="1:37">
      <c r="A705">
        <v>703</v>
      </c>
      <c r="B705" t="s">
        <v>4014</v>
      </c>
      <c r="C705">
        <v>1329</v>
      </c>
      <c r="D705" t="s">
        <v>811</v>
      </c>
      <c r="E705" t="s">
        <v>846</v>
      </c>
      <c r="F705" t="s">
        <v>1106</v>
      </c>
      <c r="G705" t="s">
        <v>71</v>
      </c>
      <c r="H705" t="s">
        <v>827</v>
      </c>
      <c r="I705" t="s">
        <v>1159</v>
      </c>
      <c r="J705" t="s">
        <v>786</v>
      </c>
      <c r="N705" t="s">
        <v>3995</v>
      </c>
      <c r="S705" t="s">
        <v>799</v>
      </c>
      <c r="T705" t="s">
        <v>4015</v>
      </c>
      <c r="U705" t="s">
        <v>4016</v>
      </c>
      <c r="V705" t="s">
        <v>790</v>
      </c>
      <c r="W705">
        <v>22220</v>
      </c>
      <c r="X705">
        <v>65</v>
      </c>
      <c r="Y705" t="s">
        <v>4017</v>
      </c>
      <c r="Z705" t="s">
        <v>4018</v>
      </c>
      <c r="AA705" t="s">
        <v>842</v>
      </c>
      <c r="AB705" t="s">
        <v>851</v>
      </c>
      <c r="AC705" t="s">
        <v>713</v>
      </c>
      <c r="AD705" t="s">
        <v>1735</v>
      </c>
      <c r="AE705" t="s">
        <v>4019</v>
      </c>
      <c r="AH705" t="s">
        <v>971</v>
      </c>
    </row>
    <row r="706" spans="1:37">
      <c r="A706">
        <v>704</v>
      </c>
      <c r="B706" t="s">
        <v>4020</v>
      </c>
      <c r="C706">
        <v>1331</v>
      </c>
      <c r="D706" t="s">
        <v>981</v>
      </c>
      <c r="E706" t="s">
        <v>846</v>
      </c>
      <c r="F706" t="s">
        <v>1106</v>
      </c>
      <c r="G706" t="s">
        <v>71</v>
      </c>
      <c r="H706" t="s">
        <v>827</v>
      </c>
      <c r="I706" t="s">
        <v>1159</v>
      </c>
      <c r="J706" t="s">
        <v>786</v>
      </c>
      <c r="N706" t="s">
        <v>3995</v>
      </c>
      <c r="S706" t="s">
        <v>898</v>
      </c>
      <c r="T706" t="s">
        <v>4021</v>
      </c>
      <c r="U706" t="s">
        <v>4022</v>
      </c>
      <c r="V706" t="s">
        <v>790</v>
      </c>
      <c r="W706">
        <v>18796</v>
      </c>
      <c r="X706">
        <v>74</v>
      </c>
      <c r="Y706" t="s">
        <v>4023</v>
      </c>
      <c r="Z706" t="s">
        <v>4024</v>
      </c>
      <c r="AA706" t="s">
        <v>842</v>
      </c>
      <c r="AB706" t="s">
        <v>843</v>
      </c>
      <c r="AC706" t="s">
        <v>815</v>
      </c>
      <c r="AD706" t="s">
        <v>1735</v>
      </c>
      <c r="AE706" t="s">
        <v>4025</v>
      </c>
      <c r="AH706" t="s">
        <v>1497</v>
      </c>
    </row>
    <row r="707" spans="1:37">
      <c r="A707">
        <v>705</v>
      </c>
      <c r="B707" t="s">
        <v>4026</v>
      </c>
      <c r="C707">
        <v>1333</v>
      </c>
      <c r="D707" t="s">
        <v>811</v>
      </c>
      <c r="E707" t="s">
        <v>846</v>
      </c>
      <c r="F707" t="s">
        <v>1106</v>
      </c>
      <c r="G707" t="s">
        <v>71</v>
      </c>
      <c r="H707" t="s">
        <v>827</v>
      </c>
      <c r="I707" t="s">
        <v>1159</v>
      </c>
      <c r="J707" t="s">
        <v>786</v>
      </c>
      <c r="N707" t="s">
        <v>3995</v>
      </c>
      <c r="S707" t="s">
        <v>799</v>
      </c>
      <c r="T707" t="s">
        <v>4027</v>
      </c>
      <c r="U707" t="s">
        <v>4028</v>
      </c>
      <c r="V707" t="s">
        <v>790</v>
      </c>
      <c r="W707">
        <v>21313</v>
      </c>
      <c r="X707">
        <v>67</v>
      </c>
      <c r="Y707" t="s">
        <v>4029</v>
      </c>
      <c r="Z707" t="s">
        <v>4030</v>
      </c>
      <c r="AA707" t="s">
        <v>842</v>
      </c>
      <c r="AB707" t="s">
        <v>843</v>
      </c>
      <c r="AC707" t="s">
        <v>713</v>
      </c>
      <c r="AD707" t="s">
        <v>713</v>
      </c>
      <c r="AE707" t="s">
        <v>1229</v>
      </c>
      <c r="AH707" t="s">
        <v>1497</v>
      </c>
    </row>
    <row r="708" spans="1:37">
      <c r="A708">
        <v>706</v>
      </c>
      <c r="B708" t="s">
        <v>4031</v>
      </c>
      <c r="C708">
        <v>1335</v>
      </c>
      <c r="D708" t="s">
        <v>811</v>
      </c>
      <c r="E708" t="s">
        <v>846</v>
      </c>
      <c r="F708" t="s">
        <v>1106</v>
      </c>
      <c r="G708" t="s">
        <v>71</v>
      </c>
      <c r="H708" t="s">
        <v>827</v>
      </c>
      <c r="I708" t="s">
        <v>1159</v>
      </c>
      <c r="J708" t="s">
        <v>786</v>
      </c>
      <c r="N708" t="s">
        <v>3995</v>
      </c>
      <c r="S708" t="s">
        <v>799</v>
      </c>
      <c r="T708" t="s">
        <v>4032</v>
      </c>
      <c r="U708" t="s">
        <v>4033</v>
      </c>
      <c r="V708" t="s">
        <v>790</v>
      </c>
      <c r="W708">
        <v>26711</v>
      </c>
      <c r="X708">
        <v>52</v>
      </c>
      <c r="Y708" t="s">
        <v>4034</v>
      </c>
      <c r="AA708" t="s">
        <v>842</v>
      </c>
      <c r="AB708" t="s">
        <v>843</v>
      </c>
      <c r="AC708" t="s">
        <v>713</v>
      </c>
      <c r="AD708" t="s">
        <v>713</v>
      </c>
      <c r="AE708" t="s">
        <v>4035</v>
      </c>
      <c r="AG708" t="s">
        <v>866</v>
      </c>
      <c r="AH708" t="s">
        <v>1852</v>
      </c>
    </row>
    <row r="709" spans="1:37">
      <c r="A709">
        <v>707</v>
      </c>
      <c r="B709" t="s">
        <v>1186</v>
      </c>
      <c r="C709">
        <v>1336</v>
      </c>
      <c r="E709" t="s">
        <v>4036</v>
      </c>
      <c r="F709" t="s">
        <v>1106</v>
      </c>
      <c r="G709" t="s">
        <v>80</v>
      </c>
      <c r="H709" t="s">
        <v>908</v>
      </c>
      <c r="I709" t="s">
        <v>1186</v>
      </c>
      <c r="N709" t="s">
        <v>4037</v>
      </c>
      <c r="P709" t="s">
        <v>49</v>
      </c>
      <c r="Q709" t="s">
        <v>168</v>
      </c>
      <c r="T709" t="s">
        <v>275</v>
      </c>
      <c r="U709" t="s">
        <v>4038</v>
      </c>
      <c r="V709" t="s">
        <v>876</v>
      </c>
      <c r="W709">
        <v>29090</v>
      </c>
      <c r="X709">
        <v>46</v>
      </c>
      <c r="Y709" t="s">
        <v>1188</v>
      </c>
      <c r="Z709" t="s">
        <v>1189</v>
      </c>
      <c r="AA709" t="s">
        <v>802</v>
      </c>
      <c r="AB709" t="s">
        <v>794</v>
      </c>
      <c r="AC709" t="s">
        <v>713</v>
      </c>
      <c r="AD709" t="s">
        <v>1163</v>
      </c>
      <c r="AE709" t="s">
        <v>1172</v>
      </c>
      <c r="AF709" t="s">
        <v>872</v>
      </c>
    </row>
    <row r="710" spans="1:37">
      <c r="A710">
        <v>708</v>
      </c>
      <c r="B710" t="s">
        <v>4039</v>
      </c>
      <c r="C710">
        <v>1338</v>
      </c>
      <c r="D710" t="s">
        <v>811</v>
      </c>
      <c r="E710" t="s">
        <v>4036</v>
      </c>
      <c r="F710" t="s">
        <v>1106</v>
      </c>
      <c r="G710" t="s">
        <v>80</v>
      </c>
      <c r="H710" t="s">
        <v>1118</v>
      </c>
      <c r="I710" t="s">
        <v>1186</v>
      </c>
      <c r="N710" t="s">
        <v>4037</v>
      </c>
      <c r="O710" t="s">
        <v>308</v>
      </c>
      <c r="S710" t="s">
        <v>874</v>
      </c>
      <c r="T710" t="s">
        <v>606</v>
      </c>
      <c r="U710" t="s">
        <v>4040</v>
      </c>
      <c r="V710" t="s">
        <v>876</v>
      </c>
      <c r="W710">
        <v>24600</v>
      </c>
      <c r="X710">
        <v>58</v>
      </c>
      <c r="Y710" t="s">
        <v>4041</v>
      </c>
      <c r="Z710" t="s">
        <v>4042</v>
      </c>
      <c r="AA710" t="s">
        <v>842</v>
      </c>
      <c r="AB710" t="s">
        <v>843</v>
      </c>
      <c r="AC710" t="s">
        <v>713</v>
      </c>
      <c r="AD710" t="s">
        <v>713</v>
      </c>
      <c r="AE710" t="s">
        <v>1229</v>
      </c>
      <c r="AH710" t="s">
        <v>1224</v>
      </c>
    </row>
    <row r="711" spans="1:37">
      <c r="A711">
        <v>709</v>
      </c>
      <c r="B711" t="s">
        <v>4043</v>
      </c>
      <c r="C711">
        <v>1340</v>
      </c>
      <c r="D711" t="s">
        <v>811</v>
      </c>
      <c r="E711" t="s">
        <v>4036</v>
      </c>
      <c r="F711" t="s">
        <v>1106</v>
      </c>
      <c r="G711" t="s">
        <v>80</v>
      </c>
      <c r="H711" t="s">
        <v>1106</v>
      </c>
      <c r="I711" t="s">
        <v>1186</v>
      </c>
      <c r="N711" t="s">
        <v>4037</v>
      </c>
      <c r="O711" t="s">
        <v>308</v>
      </c>
      <c r="S711" t="s">
        <v>874</v>
      </c>
      <c r="T711" t="s">
        <v>625</v>
      </c>
      <c r="U711" t="s">
        <v>4044</v>
      </c>
      <c r="V711" t="s">
        <v>876</v>
      </c>
      <c r="W711">
        <v>26817</v>
      </c>
      <c r="X711">
        <v>52</v>
      </c>
      <c r="Y711" t="s">
        <v>4045</v>
      </c>
      <c r="AA711" t="s">
        <v>842</v>
      </c>
      <c r="AB711" t="s">
        <v>843</v>
      </c>
      <c r="AC711" t="s">
        <v>713</v>
      </c>
      <c r="AD711" t="s">
        <v>713</v>
      </c>
      <c r="AE711" t="s">
        <v>1373</v>
      </c>
      <c r="AH711" t="s">
        <v>1224</v>
      </c>
    </row>
    <row r="712" spans="1:37">
      <c r="A712">
        <v>710</v>
      </c>
      <c r="B712" t="s">
        <v>4046</v>
      </c>
      <c r="C712">
        <v>1342</v>
      </c>
      <c r="D712" t="s">
        <v>811</v>
      </c>
      <c r="E712" t="s">
        <v>4036</v>
      </c>
      <c r="F712" t="s">
        <v>1106</v>
      </c>
      <c r="G712" t="s">
        <v>80</v>
      </c>
      <c r="H712" t="s">
        <v>1106</v>
      </c>
      <c r="I712" t="s">
        <v>1186</v>
      </c>
      <c r="N712" t="s">
        <v>4037</v>
      </c>
      <c r="O712" t="s">
        <v>308</v>
      </c>
      <c r="S712" t="s">
        <v>874</v>
      </c>
      <c r="T712" t="s">
        <v>642</v>
      </c>
      <c r="U712" t="s">
        <v>4047</v>
      </c>
      <c r="V712" t="s">
        <v>876</v>
      </c>
      <c r="W712">
        <v>27630</v>
      </c>
      <c r="X712">
        <v>50</v>
      </c>
      <c r="Y712" t="s">
        <v>4048</v>
      </c>
      <c r="Z712" t="s">
        <v>4049</v>
      </c>
      <c r="AA712" t="s">
        <v>842</v>
      </c>
      <c r="AB712" t="s">
        <v>843</v>
      </c>
      <c r="AC712" t="s">
        <v>713</v>
      </c>
      <c r="AD712" t="s">
        <v>713</v>
      </c>
      <c r="AE712" t="s">
        <v>4050</v>
      </c>
      <c r="AH712" t="s">
        <v>1224</v>
      </c>
      <c r="AJ712">
        <v>2000</v>
      </c>
      <c r="AK712" t="s">
        <v>4477</v>
      </c>
    </row>
    <row r="713" spans="1:37">
      <c r="A713">
        <v>711</v>
      </c>
      <c r="B713" t="s">
        <v>4051</v>
      </c>
      <c r="C713">
        <v>1344</v>
      </c>
      <c r="D713" t="s">
        <v>811</v>
      </c>
      <c r="E713" t="s">
        <v>4036</v>
      </c>
      <c r="F713" t="s">
        <v>1106</v>
      </c>
      <c r="G713" t="s">
        <v>80</v>
      </c>
      <c r="H713" t="s">
        <v>1106</v>
      </c>
      <c r="I713" t="s">
        <v>1186</v>
      </c>
      <c r="N713" t="s">
        <v>4037</v>
      </c>
      <c r="O713" t="s">
        <v>308</v>
      </c>
      <c r="S713" t="s">
        <v>874</v>
      </c>
      <c r="T713" t="s">
        <v>661</v>
      </c>
      <c r="U713" t="s">
        <v>4052</v>
      </c>
      <c r="V713" t="s">
        <v>876</v>
      </c>
      <c r="W713">
        <v>29536</v>
      </c>
      <c r="X713">
        <v>45</v>
      </c>
      <c r="Y713" t="s">
        <v>4053</v>
      </c>
      <c r="AA713" t="s">
        <v>842</v>
      </c>
      <c r="AB713" t="s">
        <v>843</v>
      </c>
      <c r="AC713" t="s">
        <v>2039</v>
      </c>
      <c r="AD713" t="s">
        <v>2039</v>
      </c>
      <c r="AE713" t="s">
        <v>4054</v>
      </c>
      <c r="AH713" t="s">
        <v>1224</v>
      </c>
    </row>
    <row r="714" spans="1:37">
      <c r="A714">
        <v>712</v>
      </c>
      <c r="B714" t="s">
        <v>4055</v>
      </c>
      <c r="C714">
        <v>1346</v>
      </c>
      <c r="D714" t="s">
        <v>811</v>
      </c>
      <c r="E714" t="s">
        <v>4036</v>
      </c>
      <c r="F714" t="s">
        <v>1106</v>
      </c>
      <c r="G714" t="s">
        <v>80</v>
      </c>
      <c r="H714" t="s">
        <v>1106</v>
      </c>
      <c r="I714" t="s">
        <v>1186</v>
      </c>
      <c r="N714" t="s">
        <v>4037</v>
      </c>
      <c r="O714" t="s">
        <v>308</v>
      </c>
      <c r="S714" t="s">
        <v>874</v>
      </c>
      <c r="T714" t="s">
        <v>677</v>
      </c>
      <c r="U714" t="s">
        <v>4056</v>
      </c>
      <c r="V714" t="s">
        <v>876</v>
      </c>
      <c r="W714">
        <v>31881</v>
      </c>
      <c r="X714">
        <v>38</v>
      </c>
      <c r="Y714" t="s">
        <v>4057</v>
      </c>
      <c r="Z714" t="s">
        <v>4058</v>
      </c>
      <c r="AA714" t="s">
        <v>842</v>
      </c>
      <c r="AB714" t="s">
        <v>843</v>
      </c>
      <c r="AC714" t="s">
        <v>2039</v>
      </c>
      <c r="AD714" t="s">
        <v>713</v>
      </c>
      <c r="AE714" t="s">
        <v>1229</v>
      </c>
      <c r="AH714" t="s">
        <v>1224</v>
      </c>
    </row>
    <row r="715" spans="1:37">
      <c r="A715">
        <v>713</v>
      </c>
      <c r="B715" t="s">
        <v>3760</v>
      </c>
      <c r="C715">
        <v>1347</v>
      </c>
      <c r="E715" t="s">
        <v>4036</v>
      </c>
      <c r="F715" t="s">
        <v>1106</v>
      </c>
      <c r="G715" t="s">
        <v>80</v>
      </c>
      <c r="H715" t="s">
        <v>1106</v>
      </c>
      <c r="I715" t="s">
        <v>3760</v>
      </c>
      <c r="N715" t="s">
        <v>4059</v>
      </c>
      <c r="P715" t="s">
        <v>49</v>
      </c>
      <c r="Q715" t="s">
        <v>168</v>
      </c>
      <c r="T715" t="s">
        <v>590</v>
      </c>
      <c r="U715" t="s">
        <v>3762</v>
      </c>
      <c r="V715" t="s">
        <v>876</v>
      </c>
      <c r="W715">
        <v>21524</v>
      </c>
      <c r="X715">
        <v>67</v>
      </c>
      <c r="Y715" t="s">
        <v>3763</v>
      </c>
      <c r="Z715" t="s">
        <v>4060</v>
      </c>
      <c r="AA715" t="s">
        <v>802</v>
      </c>
      <c r="AB715" t="s">
        <v>794</v>
      </c>
      <c r="AF715" t="s">
        <v>872</v>
      </c>
    </row>
    <row r="716" spans="1:37">
      <c r="A716">
        <v>714</v>
      </c>
      <c r="B716" t="s">
        <v>4061</v>
      </c>
      <c r="C716">
        <v>1349</v>
      </c>
      <c r="D716" t="s">
        <v>811</v>
      </c>
      <c r="E716" t="s">
        <v>4036</v>
      </c>
      <c r="F716" t="s">
        <v>1106</v>
      </c>
      <c r="G716" t="s">
        <v>80</v>
      </c>
      <c r="H716" t="s">
        <v>1106</v>
      </c>
      <c r="I716" t="s">
        <v>3760</v>
      </c>
      <c r="N716" t="s">
        <v>4059</v>
      </c>
      <c r="O716" t="s">
        <v>308</v>
      </c>
      <c r="S716" t="s">
        <v>874</v>
      </c>
      <c r="T716" t="s">
        <v>607</v>
      </c>
      <c r="U716" t="s">
        <v>4062</v>
      </c>
      <c r="V716" t="s">
        <v>876</v>
      </c>
      <c r="W716">
        <v>22993</v>
      </c>
      <c r="X716">
        <v>63</v>
      </c>
      <c r="Y716" t="s">
        <v>4063</v>
      </c>
      <c r="Z716" t="s">
        <v>4064</v>
      </c>
      <c r="AA716" t="s">
        <v>842</v>
      </c>
      <c r="AB716" t="s">
        <v>843</v>
      </c>
      <c r="AC716" t="s">
        <v>713</v>
      </c>
      <c r="AD716" t="s">
        <v>713</v>
      </c>
      <c r="AE716" t="s">
        <v>1094</v>
      </c>
      <c r="AH716" t="s">
        <v>1224</v>
      </c>
    </row>
    <row r="717" spans="1:37">
      <c r="A717">
        <v>715</v>
      </c>
      <c r="B717" t="s">
        <v>4065</v>
      </c>
      <c r="C717">
        <v>1351</v>
      </c>
      <c r="D717" t="s">
        <v>811</v>
      </c>
      <c r="E717" t="s">
        <v>4036</v>
      </c>
      <c r="F717" t="s">
        <v>1106</v>
      </c>
      <c r="G717" t="s">
        <v>80</v>
      </c>
      <c r="H717" t="s">
        <v>1106</v>
      </c>
      <c r="I717" t="s">
        <v>3760</v>
      </c>
      <c r="N717" t="s">
        <v>4059</v>
      </c>
      <c r="O717" t="s">
        <v>308</v>
      </c>
      <c r="S717" t="s">
        <v>874</v>
      </c>
      <c r="T717" t="s">
        <v>626</v>
      </c>
      <c r="U717" t="s">
        <v>4066</v>
      </c>
      <c r="V717" t="s">
        <v>876</v>
      </c>
      <c r="W717">
        <v>24691</v>
      </c>
      <c r="X717">
        <v>58</v>
      </c>
      <c r="Y717" t="s">
        <v>4067</v>
      </c>
      <c r="Z717" t="s">
        <v>4068</v>
      </c>
      <c r="AA717" t="s">
        <v>842</v>
      </c>
      <c r="AB717" t="s">
        <v>843</v>
      </c>
      <c r="AC717" t="s">
        <v>713</v>
      </c>
      <c r="AD717" t="s">
        <v>713</v>
      </c>
      <c r="AE717" t="s">
        <v>1894</v>
      </c>
      <c r="AH717" t="s">
        <v>1224</v>
      </c>
    </row>
    <row r="718" spans="1:37">
      <c r="A718">
        <v>716</v>
      </c>
      <c r="B718" t="s">
        <v>4069</v>
      </c>
      <c r="C718">
        <v>1353</v>
      </c>
      <c r="D718" t="s">
        <v>811</v>
      </c>
      <c r="E718" t="s">
        <v>4036</v>
      </c>
      <c r="F718" t="s">
        <v>1106</v>
      </c>
      <c r="G718" t="s">
        <v>80</v>
      </c>
      <c r="H718" t="s">
        <v>1106</v>
      </c>
      <c r="I718" t="s">
        <v>3760</v>
      </c>
      <c r="N718" t="s">
        <v>4059</v>
      </c>
      <c r="O718" t="s">
        <v>308</v>
      </c>
      <c r="S718" t="s">
        <v>874</v>
      </c>
      <c r="T718" t="s">
        <v>643</v>
      </c>
      <c r="U718" t="s">
        <v>4070</v>
      </c>
      <c r="V718" t="s">
        <v>876</v>
      </c>
      <c r="W718">
        <v>24929</v>
      </c>
      <c r="X718">
        <v>57</v>
      </c>
      <c r="Y718" t="s">
        <v>4071</v>
      </c>
      <c r="Z718" t="s">
        <v>4072</v>
      </c>
      <c r="AA718" t="s">
        <v>842</v>
      </c>
      <c r="AB718" t="s">
        <v>843</v>
      </c>
      <c r="AC718" t="s">
        <v>713</v>
      </c>
      <c r="AD718" t="s">
        <v>713</v>
      </c>
      <c r="AE718" t="s">
        <v>1427</v>
      </c>
      <c r="AH718" t="s">
        <v>1224</v>
      </c>
    </row>
    <row r="719" spans="1:37">
      <c r="A719">
        <v>717</v>
      </c>
      <c r="B719" t="s">
        <v>4073</v>
      </c>
      <c r="C719">
        <v>1355</v>
      </c>
      <c r="D719" t="s">
        <v>811</v>
      </c>
      <c r="E719" t="s">
        <v>4036</v>
      </c>
      <c r="F719" t="s">
        <v>1106</v>
      </c>
      <c r="G719" t="s">
        <v>80</v>
      </c>
      <c r="H719" t="s">
        <v>3760</v>
      </c>
      <c r="I719" t="s">
        <v>3760</v>
      </c>
      <c r="N719" t="s">
        <v>4059</v>
      </c>
      <c r="O719" t="s">
        <v>308</v>
      </c>
      <c r="S719" t="s">
        <v>874</v>
      </c>
      <c r="T719" t="s">
        <v>662</v>
      </c>
      <c r="U719" t="s">
        <v>4074</v>
      </c>
      <c r="V719" t="s">
        <v>876</v>
      </c>
      <c r="W719">
        <v>26306</v>
      </c>
      <c r="X719">
        <v>54</v>
      </c>
      <c r="Y719" t="s">
        <v>4075</v>
      </c>
      <c r="Z719" t="s">
        <v>4076</v>
      </c>
      <c r="AA719" t="s">
        <v>842</v>
      </c>
      <c r="AB719" t="s">
        <v>843</v>
      </c>
      <c r="AC719" t="s">
        <v>713</v>
      </c>
      <c r="AD719" t="s">
        <v>713</v>
      </c>
      <c r="AE719" t="s">
        <v>4077</v>
      </c>
      <c r="AH719" t="s">
        <v>1224</v>
      </c>
    </row>
    <row r="720" spans="1:37">
      <c r="A720">
        <v>718</v>
      </c>
      <c r="B720" t="s">
        <v>4078</v>
      </c>
      <c r="C720">
        <v>1357</v>
      </c>
      <c r="D720" t="s">
        <v>811</v>
      </c>
      <c r="E720" t="s">
        <v>4036</v>
      </c>
      <c r="F720" t="s">
        <v>1106</v>
      </c>
      <c r="G720" t="s">
        <v>80</v>
      </c>
      <c r="H720" t="s">
        <v>3760</v>
      </c>
      <c r="I720" t="s">
        <v>3760</v>
      </c>
      <c r="N720" t="s">
        <v>4059</v>
      </c>
      <c r="O720" t="s">
        <v>308</v>
      </c>
      <c r="S720" t="s">
        <v>874</v>
      </c>
      <c r="T720" t="s">
        <v>678</v>
      </c>
      <c r="U720" t="s">
        <v>4079</v>
      </c>
      <c r="V720" t="s">
        <v>876</v>
      </c>
      <c r="W720">
        <v>28381</v>
      </c>
      <c r="X720">
        <v>48</v>
      </c>
      <c r="Y720" t="s">
        <v>4080</v>
      </c>
      <c r="Z720" t="s">
        <v>4081</v>
      </c>
      <c r="AA720" t="s">
        <v>842</v>
      </c>
      <c r="AB720" t="s">
        <v>843</v>
      </c>
      <c r="AC720" t="s">
        <v>713</v>
      </c>
      <c r="AD720" t="s">
        <v>713</v>
      </c>
      <c r="AE720" t="s">
        <v>4082</v>
      </c>
      <c r="AH720" t="s">
        <v>1224</v>
      </c>
    </row>
    <row r="721" spans="1:34">
      <c r="A721">
        <v>719</v>
      </c>
      <c r="B721" t="s">
        <v>2520</v>
      </c>
      <c r="C721">
        <v>1358</v>
      </c>
      <c r="E721" t="s">
        <v>4036</v>
      </c>
      <c r="F721" t="s">
        <v>1106</v>
      </c>
      <c r="G721" t="s">
        <v>80</v>
      </c>
      <c r="H721" t="s">
        <v>2520</v>
      </c>
      <c r="I721" t="s">
        <v>2520</v>
      </c>
      <c r="N721" t="s">
        <v>4083</v>
      </c>
      <c r="Q721" t="s">
        <v>168</v>
      </c>
      <c r="T721" t="s">
        <v>180</v>
      </c>
      <c r="U721" t="s">
        <v>2522</v>
      </c>
      <c r="V721" t="s">
        <v>876</v>
      </c>
      <c r="W721">
        <v>25699</v>
      </c>
      <c r="X721">
        <v>55</v>
      </c>
      <c r="Y721" t="s">
        <v>2523</v>
      </c>
      <c r="AA721" t="s">
        <v>802</v>
      </c>
      <c r="AB721" t="s">
        <v>794</v>
      </c>
      <c r="AC721" t="s">
        <v>815</v>
      </c>
      <c r="AD721" t="s">
        <v>815</v>
      </c>
      <c r="AE721" t="s">
        <v>2525</v>
      </c>
      <c r="AF721" t="s">
        <v>872</v>
      </c>
    </row>
    <row r="722" spans="1:34">
      <c r="A722">
        <v>720</v>
      </c>
      <c r="B722" t="s">
        <v>4084</v>
      </c>
      <c r="C722">
        <v>1360</v>
      </c>
      <c r="D722" t="s">
        <v>981</v>
      </c>
      <c r="E722" t="s">
        <v>4036</v>
      </c>
      <c r="F722" t="s">
        <v>1106</v>
      </c>
      <c r="G722" t="s">
        <v>80</v>
      </c>
      <c r="H722" t="s">
        <v>2520</v>
      </c>
      <c r="I722" t="s">
        <v>2520</v>
      </c>
      <c r="N722" t="s">
        <v>4083</v>
      </c>
      <c r="O722" t="s">
        <v>308</v>
      </c>
      <c r="S722" t="s">
        <v>874</v>
      </c>
      <c r="T722" t="s">
        <v>4085</v>
      </c>
      <c r="U722" t="s">
        <v>4086</v>
      </c>
      <c r="V722" t="s">
        <v>876</v>
      </c>
      <c r="W722">
        <v>20919</v>
      </c>
      <c r="X722">
        <v>68</v>
      </c>
      <c r="Y722" t="s">
        <v>4087</v>
      </c>
      <c r="Z722" t="s">
        <v>4088</v>
      </c>
      <c r="AA722" t="s">
        <v>842</v>
      </c>
      <c r="AB722" t="s">
        <v>843</v>
      </c>
      <c r="AC722" t="s">
        <v>815</v>
      </c>
      <c r="AD722" t="s">
        <v>1400</v>
      </c>
      <c r="AE722" t="s">
        <v>2888</v>
      </c>
      <c r="AH722" t="s">
        <v>1224</v>
      </c>
    </row>
    <row r="723" spans="1:34">
      <c r="A723">
        <v>721</v>
      </c>
      <c r="B723" t="s">
        <v>4089</v>
      </c>
      <c r="C723">
        <v>1362</v>
      </c>
      <c r="D723" t="s">
        <v>981</v>
      </c>
      <c r="E723" t="s">
        <v>4036</v>
      </c>
      <c r="F723" t="s">
        <v>1106</v>
      </c>
      <c r="G723" t="s">
        <v>80</v>
      </c>
      <c r="H723" t="s">
        <v>2520</v>
      </c>
      <c r="I723" t="s">
        <v>2520</v>
      </c>
      <c r="N723" t="s">
        <v>4083</v>
      </c>
      <c r="O723" t="s">
        <v>308</v>
      </c>
      <c r="S723" t="s">
        <v>874</v>
      </c>
      <c r="T723" t="s">
        <v>627</v>
      </c>
      <c r="U723" t="s">
        <v>4090</v>
      </c>
      <c r="V723" t="s">
        <v>876</v>
      </c>
      <c r="W723">
        <v>22040</v>
      </c>
      <c r="X723">
        <v>65</v>
      </c>
      <c r="Y723" t="s">
        <v>4091</v>
      </c>
      <c r="Z723" t="s">
        <v>4092</v>
      </c>
      <c r="AA723" t="s">
        <v>842</v>
      </c>
      <c r="AB723" t="s">
        <v>843</v>
      </c>
      <c r="AC723" t="s">
        <v>815</v>
      </c>
      <c r="AD723" t="s">
        <v>815</v>
      </c>
      <c r="AE723" t="s">
        <v>4093</v>
      </c>
      <c r="AH723" t="s">
        <v>1224</v>
      </c>
    </row>
    <row r="724" spans="1:34">
      <c r="A724">
        <v>722</v>
      </c>
      <c r="B724" t="s">
        <v>4094</v>
      </c>
      <c r="C724">
        <v>1364</v>
      </c>
      <c r="D724" t="s">
        <v>981</v>
      </c>
      <c r="E724" t="s">
        <v>4036</v>
      </c>
      <c r="F724" t="s">
        <v>1106</v>
      </c>
      <c r="G724" t="s">
        <v>80</v>
      </c>
      <c r="H724" t="s">
        <v>2520</v>
      </c>
      <c r="I724" t="s">
        <v>2520</v>
      </c>
      <c r="N724" t="s">
        <v>4083</v>
      </c>
      <c r="O724" t="s">
        <v>308</v>
      </c>
      <c r="S724" t="s">
        <v>874</v>
      </c>
      <c r="T724" t="s">
        <v>644</v>
      </c>
      <c r="U724" t="s">
        <v>4095</v>
      </c>
      <c r="V724" t="s">
        <v>876</v>
      </c>
      <c r="W724">
        <v>26478</v>
      </c>
      <c r="X724">
        <v>53</v>
      </c>
      <c r="Y724" t="s">
        <v>4096</v>
      </c>
      <c r="Z724" t="s">
        <v>4097</v>
      </c>
      <c r="AA724" t="s">
        <v>842</v>
      </c>
      <c r="AB724" t="s">
        <v>843</v>
      </c>
      <c r="AC724" t="s">
        <v>815</v>
      </c>
      <c r="AD724" t="s">
        <v>815</v>
      </c>
      <c r="AE724" t="s">
        <v>4093</v>
      </c>
      <c r="AH724" t="s">
        <v>1224</v>
      </c>
    </row>
    <row r="725" spans="1:34">
      <c r="A725">
        <v>723</v>
      </c>
      <c r="B725" t="s">
        <v>4098</v>
      </c>
      <c r="C725">
        <v>1366</v>
      </c>
      <c r="D725" t="s">
        <v>981</v>
      </c>
      <c r="E725" t="s">
        <v>4036</v>
      </c>
      <c r="F725" t="s">
        <v>1106</v>
      </c>
      <c r="G725" t="s">
        <v>80</v>
      </c>
      <c r="H725" t="s">
        <v>2520</v>
      </c>
      <c r="I725" t="s">
        <v>2520</v>
      </c>
      <c r="N725" t="s">
        <v>4083</v>
      </c>
      <c r="O725" t="s">
        <v>308</v>
      </c>
      <c r="S725" t="s">
        <v>874</v>
      </c>
      <c r="T725" t="s">
        <v>663</v>
      </c>
      <c r="U725" t="s">
        <v>4099</v>
      </c>
      <c r="V725" t="s">
        <v>876</v>
      </c>
      <c r="W725">
        <v>27186</v>
      </c>
      <c r="X725">
        <v>51</v>
      </c>
      <c r="Y725" t="s">
        <v>4100</v>
      </c>
      <c r="Z725" t="s">
        <v>4101</v>
      </c>
      <c r="AA725" t="s">
        <v>842</v>
      </c>
      <c r="AB725" t="s">
        <v>843</v>
      </c>
      <c r="AC725" t="s">
        <v>815</v>
      </c>
      <c r="AD725" t="s">
        <v>815</v>
      </c>
      <c r="AE725" t="s">
        <v>1352</v>
      </c>
      <c r="AH725" t="s">
        <v>1224</v>
      </c>
    </row>
    <row r="726" spans="1:34">
      <c r="A726">
        <v>724</v>
      </c>
      <c r="B726" t="s">
        <v>4102</v>
      </c>
      <c r="C726">
        <v>1368</v>
      </c>
      <c r="D726" t="s">
        <v>981</v>
      </c>
      <c r="E726" t="s">
        <v>4036</v>
      </c>
      <c r="F726" t="s">
        <v>1106</v>
      </c>
      <c r="G726" t="s">
        <v>80</v>
      </c>
      <c r="H726" t="s">
        <v>2520</v>
      </c>
      <c r="I726" t="s">
        <v>2520</v>
      </c>
      <c r="N726" t="s">
        <v>4083</v>
      </c>
      <c r="O726" t="s">
        <v>308</v>
      </c>
      <c r="S726" t="s">
        <v>874</v>
      </c>
      <c r="T726" t="s">
        <v>679</v>
      </c>
      <c r="U726" t="s">
        <v>4103</v>
      </c>
      <c r="V726" t="s">
        <v>876</v>
      </c>
      <c r="W726">
        <v>28887</v>
      </c>
      <c r="X726">
        <v>46</v>
      </c>
      <c r="Y726" t="s">
        <v>4104</v>
      </c>
      <c r="Z726" t="s">
        <v>4105</v>
      </c>
      <c r="AA726" t="s">
        <v>842</v>
      </c>
      <c r="AB726" t="s">
        <v>843</v>
      </c>
      <c r="AC726" t="s">
        <v>815</v>
      </c>
      <c r="AD726" t="s">
        <v>815</v>
      </c>
      <c r="AE726" t="s">
        <v>2411</v>
      </c>
      <c r="AH726" t="s">
        <v>1224</v>
      </c>
    </row>
    <row r="727" spans="1:34">
      <c r="A727">
        <v>725</v>
      </c>
      <c r="B727" t="s">
        <v>2918</v>
      </c>
      <c r="C727">
        <v>1369</v>
      </c>
      <c r="E727" t="s">
        <v>4036</v>
      </c>
      <c r="F727" t="s">
        <v>1106</v>
      </c>
      <c r="G727" t="s">
        <v>80</v>
      </c>
      <c r="H727" t="s">
        <v>2918</v>
      </c>
      <c r="I727" t="s">
        <v>2918</v>
      </c>
      <c r="N727" t="s">
        <v>4106</v>
      </c>
      <c r="P727" t="s">
        <v>163</v>
      </c>
      <c r="Q727" t="s">
        <v>500</v>
      </c>
      <c r="R727" t="s">
        <v>49</v>
      </c>
      <c r="T727" t="s">
        <v>498</v>
      </c>
      <c r="U727" t="s">
        <v>2919</v>
      </c>
      <c r="V727" t="s">
        <v>876</v>
      </c>
      <c r="W727">
        <v>22147</v>
      </c>
      <c r="X727">
        <v>65</v>
      </c>
      <c r="Y727" t="s">
        <v>2920</v>
      </c>
      <c r="Z727" t="s">
        <v>2921</v>
      </c>
      <c r="AA727" t="s">
        <v>842</v>
      </c>
      <c r="AB727" t="s">
        <v>794</v>
      </c>
      <c r="AC727" t="s">
        <v>236</v>
      </c>
      <c r="AD727" t="s">
        <v>236</v>
      </c>
      <c r="AE727" t="s">
        <v>865</v>
      </c>
      <c r="AF727" t="s">
        <v>872</v>
      </c>
    </row>
    <row r="728" spans="1:34">
      <c r="A728">
        <v>726</v>
      </c>
      <c r="B728" t="s">
        <v>4107</v>
      </c>
      <c r="C728">
        <v>1371</v>
      </c>
      <c r="D728" t="s">
        <v>1001</v>
      </c>
      <c r="E728" t="s">
        <v>4036</v>
      </c>
      <c r="F728" t="s">
        <v>1106</v>
      </c>
      <c r="G728" t="s">
        <v>80</v>
      </c>
      <c r="H728" t="s">
        <v>2918</v>
      </c>
      <c r="I728" t="s">
        <v>2918</v>
      </c>
      <c r="N728" t="s">
        <v>4106</v>
      </c>
      <c r="O728" t="s">
        <v>308</v>
      </c>
      <c r="S728" t="s">
        <v>874</v>
      </c>
      <c r="T728" t="s">
        <v>609</v>
      </c>
      <c r="U728" t="s">
        <v>4108</v>
      </c>
      <c r="V728" t="s">
        <v>876</v>
      </c>
      <c r="W728">
        <v>20956</v>
      </c>
      <c r="X728">
        <v>68</v>
      </c>
      <c r="Y728" t="s">
        <v>4109</v>
      </c>
      <c r="Z728" t="s">
        <v>4110</v>
      </c>
      <c r="AA728" t="s">
        <v>842</v>
      </c>
      <c r="AB728" t="s">
        <v>843</v>
      </c>
      <c r="AC728" t="s">
        <v>236</v>
      </c>
      <c r="AD728" t="s">
        <v>236</v>
      </c>
      <c r="AE728" t="s">
        <v>865</v>
      </c>
      <c r="AH728" t="s">
        <v>4111</v>
      </c>
    </row>
    <row r="729" spans="1:34">
      <c r="A729">
        <v>727</v>
      </c>
      <c r="B729" t="s">
        <v>4112</v>
      </c>
      <c r="C729">
        <v>1373</v>
      </c>
      <c r="D729" t="s">
        <v>1841</v>
      </c>
      <c r="E729" t="s">
        <v>4036</v>
      </c>
      <c r="F729" t="s">
        <v>1106</v>
      </c>
      <c r="G729" t="s">
        <v>80</v>
      </c>
      <c r="H729" t="s">
        <v>2918</v>
      </c>
      <c r="I729" t="s">
        <v>2918</v>
      </c>
      <c r="N729" t="s">
        <v>4106</v>
      </c>
      <c r="O729" t="s">
        <v>308</v>
      </c>
      <c r="S729" t="s">
        <v>874</v>
      </c>
      <c r="T729" t="s">
        <v>628</v>
      </c>
      <c r="U729" t="s">
        <v>4113</v>
      </c>
      <c r="V729" t="s">
        <v>876</v>
      </c>
      <c r="W729">
        <v>23295</v>
      </c>
      <c r="X729">
        <v>62</v>
      </c>
      <c r="Y729" t="s">
        <v>4114</v>
      </c>
      <c r="Z729" t="s">
        <v>4115</v>
      </c>
      <c r="AA729" t="s">
        <v>842</v>
      </c>
      <c r="AB729" t="s">
        <v>843</v>
      </c>
      <c r="AC729" t="s">
        <v>236</v>
      </c>
      <c r="AD729" t="s">
        <v>236</v>
      </c>
      <c r="AE729" t="s">
        <v>1846</v>
      </c>
      <c r="AH729" t="s">
        <v>1224</v>
      </c>
    </row>
    <row r="730" spans="1:34">
      <c r="A730">
        <v>728</v>
      </c>
      <c r="B730" t="s">
        <v>4116</v>
      </c>
      <c r="C730">
        <v>1375</v>
      </c>
      <c r="D730" t="s">
        <v>1841</v>
      </c>
      <c r="E730" t="s">
        <v>4036</v>
      </c>
      <c r="F730" t="s">
        <v>1106</v>
      </c>
      <c r="G730" t="s">
        <v>80</v>
      </c>
      <c r="H730" t="s">
        <v>2918</v>
      </c>
      <c r="I730" t="s">
        <v>2918</v>
      </c>
      <c r="N730" t="s">
        <v>4106</v>
      </c>
      <c r="O730" t="s">
        <v>308</v>
      </c>
      <c r="S730" t="s">
        <v>874</v>
      </c>
      <c r="T730" t="s">
        <v>645</v>
      </c>
      <c r="U730" t="s">
        <v>4117</v>
      </c>
      <c r="V730" t="s">
        <v>876</v>
      </c>
      <c r="W730">
        <v>23392</v>
      </c>
      <c r="X730">
        <v>62</v>
      </c>
      <c r="Y730" t="s">
        <v>4118</v>
      </c>
      <c r="Z730" t="s">
        <v>4119</v>
      </c>
      <c r="AA730" t="s">
        <v>842</v>
      </c>
      <c r="AB730" t="s">
        <v>843</v>
      </c>
      <c r="AC730" t="s">
        <v>236</v>
      </c>
      <c r="AD730" t="s">
        <v>236</v>
      </c>
      <c r="AE730" t="s">
        <v>743</v>
      </c>
      <c r="AH730" t="s">
        <v>1224</v>
      </c>
    </row>
    <row r="731" spans="1:34">
      <c r="A731">
        <v>729</v>
      </c>
      <c r="B731" t="s">
        <v>4120</v>
      </c>
      <c r="C731">
        <v>1377</v>
      </c>
      <c r="D731" t="s">
        <v>1841</v>
      </c>
      <c r="E731" t="s">
        <v>4036</v>
      </c>
      <c r="F731" t="s">
        <v>1106</v>
      </c>
      <c r="G731" t="s">
        <v>80</v>
      </c>
      <c r="H731" t="s">
        <v>2918</v>
      </c>
      <c r="I731" t="s">
        <v>2918</v>
      </c>
      <c r="N731" t="s">
        <v>4106</v>
      </c>
      <c r="O731" t="s">
        <v>308</v>
      </c>
      <c r="S731" t="s">
        <v>874</v>
      </c>
      <c r="T731" t="s">
        <v>664</v>
      </c>
      <c r="U731" t="s">
        <v>4121</v>
      </c>
      <c r="V731" t="s">
        <v>876</v>
      </c>
      <c r="W731">
        <v>23701</v>
      </c>
      <c r="X731">
        <v>61</v>
      </c>
      <c r="Y731" t="s">
        <v>4122</v>
      </c>
      <c r="Z731" t="s">
        <v>4123</v>
      </c>
      <c r="AA731" t="s">
        <v>842</v>
      </c>
      <c r="AB731" t="s">
        <v>843</v>
      </c>
      <c r="AC731" t="s">
        <v>236</v>
      </c>
      <c r="AD731" t="s">
        <v>236</v>
      </c>
      <c r="AE731" t="s">
        <v>744</v>
      </c>
      <c r="AH731" t="s">
        <v>1224</v>
      </c>
    </row>
    <row r="732" spans="1:34">
      <c r="A732">
        <v>730</v>
      </c>
      <c r="B732" t="s">
        <v>4124</v>
      </c>
      <c r="C732">
        <v>1379</v>
      </c>
      <c r="D732" t="s">
        <v>811</v>
      </c>
      <c r="E732" t="s">
        <v>4036</v>
      </c>
      <c r="F732" t="s">
        <v>1106</v>
      </c>
      <c r="G732" t="s">
        <v>80</v>
      </c>
      <c r="H732" t="s">
        <v>2918</v>
      </c>
      <c r="I732" t="s">
        <v>2918</v>
      </c>
      <c r="N732" t="s">
        <v>4106</v>
      </c>
      <c r="O732" t="s">
        <v>308</v>
      </c>
      <c r="S732" t="s">
        <v>874</v>
      </c>
      <c r="T732" t="s">
        <v>680</v>
      </c>
      <c r="U732" t="s">
        <v>4125</v>
      </c>
      <c r="V732" t="s">
        <v>876</v>
      </c>
      <c r="W732">
        <v>24508</v>
      </c>
      <c r="X732">
        <v>58</v>
      </c>
      <c r="Y732" t="s">
        <v>4126</v>
      </c>
      <c r="AA732" t="s">
        <v>842</v>
      </c>
      <c r="AB732" t="s">
        <v>843</v>
      </c>
      <c r="AC732" t="s">
        <v>942</v>
      </c>
      <c r="AD732" t="s">
        <v>942</v>
      </c>
      <c r="AE732" t="s">
        <v>4127</v>
      </c>
      <c r="AH732" t="s">
        <v>1224</v>
      </c>
    </row>
    <row r="733" spans="1:34">
      <c r="A733">
        <v>731</v>
      </c>
      <c r="B733" t="s">
        <v>1679</v>
      </c>
      <c r="C733">
        <v>1380</v>
      </c>
      <c r="E733" t="s">
        <v>4128</v>
      </c>
      <c r="F733" t="s">
        <v>1106</v>
      </c>
      <c r="G733" t="s">
        <v>80</v>
      </c>
      <c r="H733" t="s">
        <v>1106</v>
      </c>
      <c r="I733" t="s">
        <v>1679</v>
      </c>
      <c r="N733" t="s">
        <v>4129</v>
      </c>
      <c r="P733" t="s">
        <v>49</v>
      </c>
      <c r="Q733" t="s">
        <v>168</v>
      </c>
      <c r="T733" t="s">
        <v>278</v>
      </c>
      <c r="U733" t="s">
        <v>1680</v>
      </c>
      <c r="V733" t="s">
        <v>876</v>
      </c>
      <c r="W733">
        <v>28944</v>
      </c>
      <c r="X733">
        <v>46</v>
      </c>
      <c r="Y733" t="s">
        <v>1681</v>
      </c>
      <c r="Z733" t="s">
        <v>3659</v>
      </c>
      <c r="AA733" t="s">
        <v>802</v>
      </c>
      <c r="AB733" t="s">
        <v>794</v>
      </c>
      <c r="AC733" t="s">
        <v>236</v>
      </c>
      <c r="AD733" t="s">
        <v>236</v>
      </c>
      <c r="AE733" t="s">
        <v>1683</v>
      </c>
      <c r="AF733" t="s">
        <v>872</v>
      </c>
    </row>
    <row r="734" spans="1:34">
      <c r="A734">
        <v>732</v>
      </c>
      <c r="B734" t="s">
        <v>4130</v>
      </c>
      <c r="C734">
        <v>1382</v>
      </c>
      <c r="D734" t="s">
        <v>811</v>
      </c>
      <c r="E734" t="s">
        <v>4128</v>
      </c>
      <c r="F734" t="s">
        <v>1106</v>
      </c>
      <c r="G734" t="s">
        <v>80</v>
      </c>
      <c r="H734" t="s">
        <v>1106</v>
      </c>
      <c r="I734" t="s">
        <v>1679</v>
      </c>
      <c r="N734" t="s">
        <v>4129</v>
      </c>
      <c r="O734" t="s">
        <v>308</v>
      </c>
      <c r="S734" t="s">
        <v>874</v>
      </c>
      <c r="T734" t="s">
        <v>610</v>
      </c>
      <c r="U734" t="s">
        <v>4131</v>
      </c>
      <c r="V734" t="s">
        <v>876</v>
      </c>
      <c r="W734">
        <v>28386</v>
      </c>
      <c r="X734">
        <v>48</v>
      </c>
      <c r="Y734" t="s">
        <v>4132</v>
      </c>
      <c r="Z734" t="s">
        <v>4133</v>
      </c>
      <c r="AA734" t="s">
        <v>842</v>
      </c>
      <c r="AB734" t="s">
        <v>843</v>
      </c>
      <c r="AC734" t="s">
        <v>2480</v>
      </c>
      <c r="AD734" t="s">
        <v>2480</v>
      </c>
      <c r="AE734" t="s">
        <v>4134</v>
      </c>
      <c r="AH734" t="s">
        <v>1438</v>
      </c>
    </row>
    <row r="735" spans="1:34">
      <c r="A735">
        <v>733</v>
      </c>
      <c r="B735" t="s">
        <v>4135</v>
      </c>
      <c r="C735">
        <v>1384</v>
      </c>
      <c r="D735" t="s">
        <v>811</v>
      </c>
      <c r="E735" t="s">
        <v>4128</v>
      </c>
      <c r="F735" t="s">
        <v>1106</v>
      </c>
      <c r="G735" t="s">
        <v>80</v>
      </c>
      <c r="H735" t="s">
        <v>1106</v>
      </c>
      <c r="I735" t="s">
        <v>1679</v>
      </c>
      <c r="N735" t="s">
        <v>4129</v>
      </c>
      <c r="O735" t="s">
        <v>308</v>
      </c>
      <c r="S735" t="s">
        <v>874</v>
      </c>
      <c r="T735" t="s">
        <v>629</v>
      </c>
      <c r="U735" t="s">
        <v>4136</v>
      </c>
      <c r="V735" t="s">
        <v>876</v>
      </c>
      <c r="W735">
        <v>29120</v>
      </c>
      <c r="X735">
        <v>46</v>
      </c>
      <c r="Y735" t="s">
        <v>4137</v>
      </c>
      <c r="Z735" t="s">
        <v>4138</v>
      </c>
      <c r="AA735" t="s">
        <v>842</v>
      </c>
      <c r="AB735" t="s">
        <v>843</v>
      </c>
      <c r="AC735" t="s">
        <v>1256</v>
      </c>
      <c r="AD735" t="s">
        <v>1256</v>
      </c>
      <c r="AE735" t="s">
        <v>1338</v>
      </c>
      <c r="AH735" t="s">
        <v>1438</v>
      </c>
    </row>
    <row r="736" spans="1:34">
      <c r="A736">
        <v>734</v>
      </c>
      <c r="B736" t="s">
        <v>4139</v>
      </c>
      <c r="C736">
        <v>1386</v>
      </c>
      <c r="D736" t="s">
        <v>811</v>
      </c>
      <c r="E736" t="s">
        <v>4128</v>
      </c>
      <c r="F736" t="s">
        <v>1106</v>
      </c>
      <c r="G736" t="s">
        <v>80</v>
      </c>
      <c r="H736" t="s">
        <v>1106</v>
      </c>
      <c r="I736" t="s">
        <v>1679</v>
      </c>
      <c r="N736" t="s">
        <v>4129</v>
      </c>
      <c r="O736" t="s">
        <v>308</v>
      </c>
      <c r="S736" t="s">
        <v>874</v>
      </c>
      <c r="T736" t="s">
        <v>646</v>
      </c>
      <c r="U736" t="s">
        <v>4140</v>
      </c>
      <c r="V736" t="s">
        <v>876</v>
      </c>
      <c r="W736">
        <v>30879</v>
      </c>
      <c r="X736">
        <v>41</v>
      </c>
      <c r="Y736" t="s">
        <v>4141</v>
      </c>
      <c r="Z736" t="s">
        <v>4142</v>
      </c>
      <c r="AA736" t="s">
        <v>842</v>
      </c>
      <c r="AB736" t="s">
        <v>843</v>
      </c>
      <c r="AC736" t="s">
        <v>713</v>
      </c>
      <c r="AD736" t="s">
        <v>713</v>
      </c>
      <c r="AE736" t="s">
        <v>1177</v>
      </c>
      <c r="AH736" t="s">
        <v>1438</v>
      </c>
    </row>
    <row r="737" spans="1:34">
      <c r="A737">
        <v>735</v>
      </c>
      <c r="B737" t="s">
        <v>4143</v>
      </c>
      <c r="C737">
        <v>1388</v>
      </c>
      <c r="D737" t="s">
        <v>811</v>
      </c>
      <c r="E737" t="s">
        <v>4128</v>
      </c>
      <c r="F737" t="s">
        <v>1106</v>
      </c>
      <c r="G737" t="s">
        <v>80</v>
      </c>
      <c r="H737" t="s">
        <v>1106</v>
      </c>
      <c r="I737" t="s">
        <v>1679</v>
      </c>
      <c r="N737" t="s">
        <v>4129</v>
      </c>
      <c r="O737" t="s">
        <v>308</v>
      </c>
      <c r="S737" t="s">
        <v>874</v>
      </c>
      <c r="T737" t="s">
        <v>665</v>
      </c>
      <c r="U737" t="s">
        <v>4144</v>
      </c>
      <c r="V737" t="s">
        <v>876</v>
      </c>
      <c r="W737">
        <v>31503</v>
      </c>
      <c r="X737">
        <v>39</v>
      </c>
      <c r="Y737" t="s">
        <v>4145</v>
      </c>
      <c r="Z737" t="s">
        <v>4146</v>
      </c>
      <c r="AA737" t="s">
        <v>842</v>
      </c>
      <c r="AB737" t="s">
        <v>843</v>
      </c>
      <c r="AC737" t="s">
        <v>713</v>
      </c>
      <c r="AD737" t="s">
        <v>713</v>
      </c>
      <c r="AE737" t="s">
        <v>4147</v>
      </c>
      <c r="AH737" t="s">
        <v>1438</v>
      </c>
    </row>
    <row r="738" spans="1:34">
      <c r="A738">
        <v>736</v>
      </c>
      <c r="B738" t="s">
        <v>4148</v>
      </c>
      <c r="C738">
        <v>1390</v>
      </c>
      <c r="D738" t="s">
        <v>1310</v>
      </c>
      <c r="E738" t="s">
        <v>4128</v>
      </c>
      <c r="F738" t="s">
        <v>1106</v>
      </c>
      <c r="G738" t="s">
        <v>80</v>
      </c>
      <c r="H738" t="s">
        <v>1106</v>
      </c>
      <c r="I738" t="s">
        <v>1679</v>
      </c>
      <c r="N738" t="s">
        <v>4129</v>
      </c>
      <c r="O738" t="s">
        <v>308</v>
      </c>
      <c r="S738" t="s">
        <v>874</v>
      </c>
      <c r="T738" t="s">
        <v>737</v>
      </c>
      <c r="U738" t="s">
        <v>4149</v>
      </c>
      <c r="V738" t="s">
        <v>876</v>
      </c>
      <c r="W738">
        <v>32472</v>
      </c>
      <c r="X738">
        <v>37</v>
      </c>
      <c r="Y738" t="s">
        <v>4150</v>
      </c>
      <c r="AA738" t="s">
        <v>842</v>
      </c>
      <c r="AB738" t="s">
        <v>843</v>
      </c>
      <c r="AC738" t="s">
        <v>713</v>
      </c>
      <c r="AD738" t="s">
        <v>713</v>
      </c>
      <c r="AE738" t="s">
        <v>4151</v>
      </c>
      <c r="AH738" t="s">
        <v>1295</v>
      </c>
    </row>
    <row r="739" spans="1:34">
      <c r="A739">
        <v>737</v>
      </c>
      <c r="B739" t="s">
        <v>4152</v>
      </c>
      <c r="C739">
        <v>1392</v>
      </c>
      <c r="D739" t="s">
        <v>1310</v>
      </c>
      <c r="E739" t="s">
        <v>4128</v>
      </c>
      <c r="F739" t="s">
        <v>1106</v>
      </c>
      <c r="G739" t="s">
        <v>80</v>
      </c>
      <c r="H739" t="s">
        <v>1106</v>
      </c>
      <c r="I739" t="s">
        <v>1679</v>
      </c>
      <c r="N739" t="s">
        <v>4129</v>
      </c>
      <c r="O739" t="s">
        <v>308</v>
      </c>
      <c r="S739" t="s">
        <v>874</v>
      </c>
      <c r="T739" t="s">
        <v>4153</v>
      </c>
      <c r="U739" t="s">
        <v>4154</v>
      </c>
      <c r="V739" t="s">
        <v>876</v>
      </c>
      <c r="W739">
        <v>35008</v>
      </c>
      <c r="X739">
        <v>30</v>
      </c>
      <c r="Y739" t="s">
        <v>4155</v>
      </c>
      <c r="AA739" t="s">
        <v>842</v>
      </c>
      <c r="AB739" t="s">
        <v>843</v>
      </c>
      <c r="AC739" t="s">
        <v>1256</v>
      </c>
      <c r="AD739" t="s">
        <v>1256</v>
      </c>
      <c r="AE739" t="s">
        <v>4156</v>
      </c>
      <c r="AH739" t="s">
        <v>1295</v>
      </c>
    </row>
    <row r="740" spans="1:34">
      <c r="A740">
        <v>738</v>
      </c>
      <c r="B740" t="s">
        <v>1439</v>
      </c>
      <c r="C740">
        <v>1393</v>
      </c>
      <c r="E740" t="s">
        <v>4128</v>
      </c>
      <c r="F740" t="s">
        <v>1106</v>
      </c>
      <c r="G740" t="s">
        <v>80</v>
      </c>
      <c r="H740" t="s">
        <v>1106</v>
      </c>
      <c r="I740" t="s">
        <v>1439</v>
      </c>
      <c r="N740" t="s">
        <v>4157</v>
      </c>
      <c r="P740" t="s">
        <v>49</v>
      </c>
      <c r="Q740" t="s">
        <v>168</v>
      </c>
      <c r="T740" t="s">
        <v>593</v>
      </c>
      <c r="U740" t="s">
        <v>1441</v>
      </c>
      <c r="V740" t="s">
        <v>876</v>
      </c>
      <c r="W740">
        <v>23479</v>
      </c>
      <c r="X740">
        <v>61</v>
      </c>
      <c r="Y740" t="s">
        <v>1442</v>
      </c>
      <c r="Z740" t="s">
        <v>1443</v>
      </c>
      <c r="AA740" t="s">
        <v>802</v>
      </c>
      <c r="AB740" t="s">
        <v>794</v>
      </c>
      <c r="AC740" t="s">
        <v>713</v>
      </c>
      <c r="AD740" t="s">
        <v>1163</v>
      </c>
      <c r="AE740" t="s">
        <v>1444</v>
      </c>
      <c r="AF740" t="s">
        <v>872</v>
      </c>
    </row>
    <row r="741" spans="1:34">
      <c r="A741">
        <v>739</v>
      </c>
      <c r="B741" t="s">
        <v>4158</v>
      </c>
      <c r="C741">
        <v>1395</v>
      </c>
      <c r="D741" t="s">
        <v>811</v>
      </c>
      <c r="E741" t="s">
        <v>4128</v>
      </c>
      <c r="F741" t="s">
        <v>1106</v>
      </c>
      <c r="G741" t="s">
        <v>80</v>
      </c>
      <c r="H741" t="s">
        <v>1106</v>
      </c>
      <c r="I741" t="s">
        <v>1439</v>
      </c>
      <c r="N741" t="s">
        <v>4157</v>
      </c>
      <c r="O741" t="s">
        <v>308</v>
      </c>
      <c r="S741" t="s">
        <v>874</v>
      </c>
      <c r="T741" t="s">
        <v>611</v>
      </c>
      <c r="U741" t="s">
        <v>4159</v>
      </c>
      <c r="V741" t="s">
        <v>876</v>
      </c>
      <c r="W741">
        <v>23563</v>
      </c>
      <c r="X741">
        <v>61</v>
      </c>
      <c r="Y741" t="s">
        <v>4160</v>
      </c>
      <c r="Z741" t="s">
        <v>4161</v>
      </c>
      <c r="AA741" t="s">
        <v>842</v>
      </c>
      <c r="AB741" t="s">
        <v>843</v>
      </c>
      <c r="AC741" t="s">
        <v>713</v>
      </c>
      <c r="AD741" t="s">
        <v>713</v>
      </c>
      <c r="AE741" t="s">
        <v>1313</v>
      </c>
      <c r="AH741" t="s">
        <v>1438</v>
      </c>
    </row>
    <row r="742" spans="1:34">
      <c r="A742">
        <v>740</v>
      </c>
      <c r="B742" t="s">
        <v>4162</v>
      </c>
      <c r="C742">
        <v>1397</v>
      </c>
      <c r="D742" t="s">
        <v>811</v>
      </c>
      <c r="E742" t="s">
        <v>4128</v>
      </c>
      <c r="F742" t="s">
        <v>1106</v>
      </c>
      <c r="G742" t="s">
        <v>80</v>
      </c>
      <c r="H742" t="s">
        <v>1106</v>
      </c>
      <c r="I742" t="s">
        <v>1439</v>
      </c>
      <c r="N742" t="s">
        <v>4157</v>
      </c>
      <c r="O742" t="s">
        <v>308</v>
      </c>
      <c r="S742" t="s">
        <v>874</v>
      </c>
      <c r="T742" t="s">
        <v>630</v>
      </c>
      <c r="U742" t="s">
        <v>4163</v>
      </c>
      <c r="V742" t="s">
        <v>876</v>
      </c>
      <c r="W742">
        <v>25153</v>
      </c>
      <c r="X742">
        <v>57</v>
      </c>
      <c r="Y742" t="s">
        <v>4164</v>
      </c>
      <c r="Z742" t="s">
        <v>4165</v>
      </c>
      <c r="AA742" t="s">
        <v>842</v>
      </c>
      <c r="AB742" t="s">
        <v>843</v>
      </c>
      <c r="AC742" t="s">
        <v>713</v>
      </c>
      <c r="AD742" t="s">
        <v>713</v>
      </c>
      <c r="AE742" t="s">
        <v>4166</v>
      </c>
      <c r="AH742" t="s">
        <v>1438</v>
      </c>
    </row>
    <row r="743" spans="1:34">
      <c r="A743">
        <v>741</v>
      </c>
      <c r="B743" t="s">
        <v>4167</v>
      </c>
      <c r="C743">
        <v>1399</v>
      </c>
      <c r="D743" t="s">
        <v>811</v>
      </c>
      <c r="E743" t="s">
        <v>4128</v>
      </c>
      <c r="F743" t="s">
        <v>1106</v>
      </c>
      <c r="G743" t="s">
        <v>80</v>
      </c>
      <c r="H743" t="s">
        <v>1106</v>
      </c>
      <c r="I743" t="s">
        <v>1439</v>
      </c>
      <c r="N743" t="s">
        <v>4157</v>
      </c>
      <c r="O743" t="s">
        <v>308</v>
      </c>
      <c r="S743" t="s">
        <v>874</v>
      </c>
      <c r="T743" t="s">
        <v>647</v>
      </c>
      <c r="U743" t="s">
        <v>4168</v>
      </c>
      <c r="V743" t="s">
        <v>876</v>
      </c>
      <c r="W743">
        <v>25850</v>
      </c>
      <c r="X743">
        <v>55</v>
      </c>
      <c r="Y743" t="s">
        <v>4169</v>
      </c>
      <c r="Z743" t="s">
        <v>4170</v>
      </c>
      <c r="AA743" t="s">
        <v>842</v>
      </c>
      <c r="AB743" t="s">
        <v>843</v>
      </c>
      <c r="AC743" t="s">
        <v>713</v>
      </c>
      <c r="AD743" t="s">
        <v>713</v>
      </c>
      <c r="AE743" t="s">
        <v>4171</v>
      </c>
      <c r="AH743" t="s">
        <v>1438</v>
      </c>
    </row>
    <row r="744" spans="1:34">
      <c r="A744">
        <v>742</v>
      </c>
      <c r="B744" t="s">
        <v>4172</v>
      </c>
      <c r="C744">
        <v>1401</v>
      </c>
      <c r="D744" t="s">
        <v>811</v>
      </c>
      <c r="E744" t="s">
        <v>4128</v>
      </c>
      <c r="F744" t="s">
        <v>1106</v>
      </c>
      <c r="G744" t="s">
        <v>80</v>
      </c>
      <c r="H744" t="s">
        <v>1106</v>
      </c>
      <c r="I744" t="s">
        <v>1439</v>
      </c>
      <c r="N744" t="s">
        <v>4157</v>
      </c>
      <c r="O744" t="s">
        <v>308</v>
      </c>
      <c r="S744" t="s">
        <v>874</v>
      </c>
      <c r="T744" t="s">
        <v>666</v>
      </c>
      <c r="U744" t="s">
        <v>4173</v>
      </c>
      <c r="V744" t="s">
        <v>876</v>
      </c>
      <c r="W744">
        <v>25908</v>
      </c>
      <c r="X744">
        <v>55</v>
      </c>
      <c r="Y744" t="s">
        <v>4174</v>
      </c>
      <c r="Z744" t="s">
        <v>4175</v>
      </c>
      <c r="AA744" t="s">
        <v>842</v>
      </c>
      <c r="AB744" t="s">
        <v>843</v>
      </c>
      <c r="AC744" t="s">
        <v>713</v>
      </c>
      <c r="AD744" t="s">
        <v>713</v>
      </c>
      <c r="AE744" t="s">
        <v>4176</v>
      </c>
      <c r="AH744" t="s">
        <v>1438</v>
      </c>
    </row>
    <row r="745" spans="1:34">
      <c r="A745">
        <v>743</v>
      </c>
      <c r="B745" t="s">
        <v>4177</v>
      </c>
      <c r="C745">
        <v>1403</v>
      </c>
      <c r="D745" t="s">
        <v>1310</v>
      </c>
      <c r="E745" t="s">
        <v>4128</v>
      </c>
      <c r="F745" t="s">
        <v>1106</v>
      </c>
      <c r="G745" t="s">
        <v>80</v>
      </c>
      <c r="H745" t="s">
        <v>1106</v>
      </c>
      <c r="I745" t="s">
        <v>1439</v>
      </c>
      <c r="N745" t="s">
        <v>4157</v>
      </c>
      <c r="O745" t="s">
        <v>308</v>
      </c>
      <c r="S745" t="s">
        <v>874</v>
      </c>
      <c r="T745" t="s">
        <v>681</v>
      </c>
      <c r="U745" t="s">
        <v>4178</v>
      </c>
      <c r="V745" t="s">
        <v>876</v>
      </c>
      <c r="W745">
        <v>24619</v>
      </c>
      <c r="X745">
        <v>58</v>
      </c>
      <c r="Y745" t="s">
        <v>4179</v>
      </c>
      <c r="Z745" t="s">
        <v>4180</v>
      </c>
      <c r="AA745" t="s">
        <v>842</v>
      </c>
      <c r="AB745" t="s">
        <v>843</v>
      </c>
      <c r="AC745" t="s">
        <v>713</v>
      </c>
      <c r="AD745" t="s">
        <v>713</v>
      </c>
      <c r="AE745" t="s">
        <v>1313</v>
      </c>
      <c r="AH745" t="s">
        <v>1224</v>
      </c>
    </row>
    <row r="746" spans="1:34">
      <c r="A746">
        <v>744</v>
      </c>
      <c r="B746" t="s">
        <v>2090</v>
      </c>
      <c r="C746">
        <v>1404</v>
      </c>
      <c r="E746" t="s">
        <v>4128</v>
      </c>
      <c r="F746" t="s">
        <v>1106</v>
      </c>
      <c r="G746" t="s">
        <v>80</v>
      </c>
      <c r="H746" t="s">
        <v>1106</v>
      </c>
      <c r="I746" t="s">
        <v>2090</v>
      </c>
      <c r="N746" t="s">
        <v>4181</v>
      </c>
      <c r="P746" t="s">
        <v>49</v>
      </c>
      <c r="Q746" t="s">
        <v>168</v>
      </c>
      <c r="T746" t="s">
        <v>212</v>
      </c>
      <c r="U746" t="s">
        <v>2091</v>
      </c>
      <c r="V746" t="s">
        <v>876</v>
      </c>
      <c r="W746">
        <v>21600</v>
      </c>
      <c r="X746">
        <v>66</v>
      </c>
      <c r="Y746" t="s">
        <v>2092</v>
      </c>
      <c r="Z746" t="s">
        <v>2093</v>
      </c>
      <c r="AA746" t="s">
        <v>802</v>
      </c>
      <c r="AB746" t="s">
        <v>794</v>
      </c>
      <c r="AC746" t="s">
        <v>809</v>
      </c>
      <c r="AD746" t="s">
        <v>809</v>
      </c>
      <c r="AE746" t="s">
        <v>2085</v>
      </c>
      <c r="AF746" t="s">
        <v>872</v>
      </c>
    </row>
    <row r="747" spans="1:34">
      <c r="A747">
        <v>745</v>
      </c>
      <c r="B747" t="s">
        <v>4182</v>
      </c>
      <c r="C747">
        <v>1406</v>
      </c>
      <c r="D747" t="s">
        <v>811</v>
      </c>
      <c r="E747" t="s">
        <v>4128</v>
      </c>
      <c r="F747" t="s">
        <v>1106</v>
      </c>
      <c r="G747" t="s">
        <v>80</v>
      </c>
      <c r="H747" t="s">
        <v>1106</v>
      </c>
      <c r="I747" t="s">
        <v>2090</v>
      </c>
      <c r="N747" t="s">
        <v>4181</v>
      </c>
      <c r="O747" t="s">
        <v>308</v>
      </c>
      <c r="S747" t="s">
        <v>874</v>
      </c>
      <c r="T747" t="s">
        <v>612</v>
      </c>
      <c r="U747" t="s">
        <v>4183</v>
      </c>
      <c r="V747" t="s">
        <v>876</v>
      </c>
      <c r="W747">
        <v>21629</v>
      </c>
      <c r="X747">
        <v>66</v>
      </c>
      <c r="Y747" t="s">
        <v>4184</v>
      </c>
      <c r="Z747" t="s">
        <v>4185</v>
      </c>
      <c r="AA747" t="s">
        <v>842</v>
      </c>
      <c r="AB747" t="s">
        <v>843</v>
      </c>
      <c r="AC747" t="s">
        <v>809</v>
      </c>
      <c r="AD747" t="s">
        <v>809</v>
      </c>
      <c r="AE747" t="s">
        <v>2085</v>
      </c>
      <c r="AH747" t="s">
        <v>1438</v>
      </c>
    </row>
    <row r="748" spans="1:34">
      <c r="A748">
        <v>746</v>
      </c>
      <c r="B748" t="s">
        <v>4186</v>
      </c>
      <c r="C748">
        <v>1408</v>
      </c>
      <c r="D748" t="s">
        <v>811</v>
      </c>
      <c r="E748" t="s">
        <v>4128</v>
      </c>
      <c r="F748" t="s">
        <v>1106</v>
      </c>
      <c r="G748" t="s">
        <v>80</v>
      </c>
      <c r="H748" t="s">
        <v>1106</v>
      </c>
      <c r="I748" t="s">
        <v>2090</v>
      </c>
      <c r="N748" t="s">
        <v>4181</v>
      </c>
      <c r="O748" t="s">
        <v>308</v>
      </c>
      <c r="S748" t="s">
        <v>874</v>
      </c>
      <c r="T748" t="s">
        <v>631</v>
      </c>
      <c r="U748" t="s">
        <v>4187</v>
      </c>
      <c r="V748" t="s">
        <v>876</v>
      </c>
      <c r="W748">
        <v>22009</v>
      </c>
      <c r="X748">
        <v>65</v>
      </c>
      <c r="Y748" t="s">
        <v>4188</v>
      </c>
      <c r="Z748" t="s">
        <v>4189</v>
      </c>
      <c r="AA748" t="s">
        <v>842</v>
      </c>
      <c r="AB748" t="s">
        <v>843</v>
      </c>
      <c r="AC748" t="s">
        <v>942</v>
      </c>
      <c r="AD748" t="s">
        <v>942</v>
      </c>
      <c r="AE748" t="s">
        <v>2179</v>
      </c>
      <c r="AH748" t="s">
        <v>1438</v>
      </c>
    </row>
    <row r="749" spans="1:34">
      <c r="A749">
        <v>747</v>
      </c>
      <c r="B749" t="s">
        <v>4190</v>
      </c>
      <c r="C749">
        <v>1410</v>
      </c>
      <c r="D749" t="s">
        <v>811</v>
      </c>
      <c r="E749" t="s">
        <v>4128</v>
      </c>
      <c r="F749" t="s">
        <v>1106</v>
      </c>
      <c r="G749" t="s">
        <v>80</v>
      </c>
      <c r="H749" t="s">
        <v>1106</v>
      </c>
      <c r="I749" t="s">
        <v>2090</v>
      </c>
      <c r="N749" t="s">
        <v>4181</v>
      </c>
      <c r="O749" t="s">
        <v>308</v>
      </c>
      <c r="S749" t="s">
        <v>874</v>
      </c>
      <c r="T749" t="s">
        <v>648</v>
      </c>
      <c r="U749" t="s">
        <v>4191</v>
      </c>
      <c r="V749" t="s">
        <v>876</v>
      </c>
      <c r="W749">
        <v>22260</v>
      </c>
      <c r="X749">
        <v>65</v>
      </c>
      <c r="Y749" t="s">
        <v>4192</v>
      </c>
      <c r="Z749" t="s">
        <v>4193</v>
      </c>
      <c r="AA749" t="s">
        <v>842</v>
      </c>
      <c r="AB749" t="s">
        <v>843</v>
      </c>
      <c r="AC749" t="s">
        <v>942</v>
      </c>
      <c r="AD749" t="s">
        <v>942</v>
      </c>
      <c r="AE749" t="s">
        <v>2179</v>
      </c>
      <c r="AH749" t="s">
        <v>1438</v>
      </c>
    </row>
    <row r="750" spans="1:34">
      <c r="A750">
        <v>748</v>
      </c>
      <c r="B750" t="s">
        <v>4194</v>
      </c>
      <c r="C750">
        <v>1412</v>
      </c>
      <c r="D750" t="s">
        <v>811</v>
      </c>
      <c r="E750" t="s">
        <v>4128</v>
      </c>
      <c r="F750" t="s">
        <v>1106</v>
      </c>
      <c r="G750" t="s">
        <v>80</v>
      </c>
      <c r="H750" t="s">
        <v>1106</v>
      </c>
      <c r="I750" t="s">
        <v>2090</v>
      </c>
      <c r="N750" t="s">
        <v>4181</v>
      </c>
      <c r="O750" t="s">
        <v>308</v>
      </c>
      <c r="S750" t="s">
        <v>874</v>
      </c>
      <c r="T750" t="s">
        <v>667</v>
      </c>
      <c r="U750" t="s">
        <v>4195</v>
      </c>
      <c r="V750" t="s">
        <v>876</v>
      </c>
      <c r="W750">
        <v>22477</v>
      </c>
      <c r="X750">
        <v>64</v>
      </c>
      <c r="Y750" t="s">
        <v>4196</v>
      </c>
      <c r="AA750" t="s">
        <v>842</v>
      </c>
      <c r="AB750" t="s">
        <v>843</v>
      </c>
      <c r="AC750" t="s">
        <v>809</v>
      </c>
      <c r="AD750" t="s">
        <v>809</v>
      </c>
      <c r="AE750" t="s">
        <v>2085</v>
      </c>
      <c r="AH750" t="s">
        <v>1438</v>
      </c>
    </row>
    <row r="751" spans="1:34">
      <c r="A751">
        <v>749</v>
      </c>
      <c r="B751" t="s">
        <v>4197</v>
      </c>
      <c r="C751">
        <v>1414</v>
      </c>
      <c r="D751" t="s">
        <v>811</v>
      </c>
      <c r="E751" t="s">
        <v>4128</v>
      </c>
      <c r="F751" t="s">
        <v>1106</v>
      </c>
      <c r="G751" t="s">
        <v>80</v>
      </c>
      <c r="H751" t="s">
        <v>1106</v>
      </c>
      <c r="I751" t="s">
        <v>2090</v>
      </c>
      <c r="N751" t="s">
        <v>4181</v>
      </c>
      <c r="O751" t="s">
        <v>308</v>
      </c>
      <c r="S751" t="s">
        <v>874</v>
      </c>
      <c r="T751" t="s">
        <v>682</v>
      </c>
      <c r="U751" t="s">
        <v>4198</v>
      </c>
      <c r="V751" t="s">
        <v>876</v>
      </c>
      <c r="W751">
        <v>22929</v>
      </c>
      <c r="X751">
        <v>63</v>
      </c>
      <c r="Y751" t="s">
        <v>4199</v>
      </c>
      <c r="Z751" t="s">
        <v>4200</v>
      </c>
      <c r="AA751" t="s">
        <v>842</v>
      </c>
      <c r="AB751" t="s">
        <v>843</v>
      </c>
      <c r="AC751" t="s">
        <v>942</v>
      </c>
      <c r="AD751" t="s">
        <v>942</v>
      </c>
      <c r="AE751" t="s">
        <v>2179</v>
      </c>
      <c r="AH751" t="s">
        <v>1438</v>
      </c>
    </row>
    <row r="752" spans="1:34">
      <c r="A752">
        <v>750</v>
      </c>
      <c r="B752" t="s">
        <v>4201</v>
      </c>
      <c r="C752">
        <v>1416</v>
      </c>
      <c r="D752" t="s">
        <v>811</v>
      </c>
      <c r="E752" t="s">
        <v>4128</v>
      </c>
      <c r="F752" t="s">
        <v>1106</v>
      </c>
      <c r="G752" t="s">
        <v>80</v>
      </c>
      <c r="H752" t="s">
        <v>1106</v>
      </c>
      <c r="I752" t="s">
        <v>2090</v>
      </c>
      <c r="N752" t="s">
        <v>4181</v>
      </c>
      <c r="O752" t="s">
        <v>308</v>
      </c>
      <c r="S752" t="s">
        <v>874</v>
      </c>
      <c r="T752" t="s">
        <v>692</v>
      </c>
      <c r="U752" t="s">
        <v>4202</v>
      </c>
      <c r="V752" t="s">
        <v>876</v>
      </c>
      <c r="W752">
        <v>23749</v>
      </c>
      <c r="X752">
        <v>61</v>
      </c>
      <c r="Y752" t="s">
        <v>4203</v>
      </c>
      <c r="Z752" t="s">
        <v>4204</v>
      </c>
      <c r="AA752" t="s">
        <v>842</v>
      </c>
      <c r="AB752" t="s">
        <v>843</v>
      </c>
      <c r="AC752" t="s">
        <v>809</v>
      </c>
      <c r="AD752" t="s">
        <v>809</v>
      </c>
      <c r="AE752" t="s">
        <v>4205</v>
      </c>
      <c r="AH752" t="s">
        <v>1438</v>
      </c>
    </row>
  </sheetData>
  <phoneticPr fontId="1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648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50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52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52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52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52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52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52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52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52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52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648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648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648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648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P16" s="508"/>
      <c r="Q16" s="509"/>
      <c r="R16" s="509"/>
      <c r="V16" s="509"/>
      <c r="W16" s="513"/>
      <c r="Z16" s="514"/>
      <c r="AA16" s="648"/>
      <c r="AF16" s="509"/>
      <c r="AG16" s="648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648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648"/>
      <c r="AH18" s="509"/>
    </row>
    <row r="19" spans="1:39" ht="18" customHeight="1">
      <c r="A19" s="506"/>
      <c r="B19" s="506"/>
      <c r="C19" s="506">
        <v>674</v>
      </c>
      <c r="D19" s="654" t="s">
        <v>747</v>
      </c>
      <c r="E19" s="516">
        <f>SUBTOTAL(103,$F$21:F741)</f>
        <v>674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648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2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3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 t="s">
        <v>792</v>
      </c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4208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804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47" t="s">
        <v>814</v>
      </c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 t="s">
        <v>821</v>
      </c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826</v>
      </c>
      <c r="E27" s="516">
        <f t="shared" si="0"/>
        <v>7</v>
      </c>
      <c r="F27" s="534" t="s">
        <v>782</v>
      </c>
      <c r="G27" s="534" t="s">
        <v>783</v>
      </c>
      <c r="H27" s="535" t="s">
        <v>784</v>
      </c>
      <c r="I27" s="535" t="s">
        <v>57</v>
      </c>
      <c r="J27" s="535" t="s">
        <v>785</v>
      </c>
      <c r="K27" s="535" t="s">
        <v>826</v>
      </c>
      <c r="L27" s="535" t="s">
        <v>827</v>
      </c>
      <c r="M27" s="536" t="s">
        <v>786</v>
      </c>
      <c r="N27" s="537"/>
      <c r="O27" s="537"/>
      <c r="P27" s="548" t="s">
        <v>828</v>
      </c>
      <c r="Q27" s="539"/>
      <c r="R27" s="516" t="s">
        <v>49</v>
      </c>
      <c r="S27" s="516" t="s">
        <v>49</v>
      </c>
      <c r="T27" s="516"/>
      <c r="U27" s="516" t="s">
        <v>788</v>
      </c>
      <c r="V27" s="548" t="s">
        <v>50</v>
      </c>
      <c r="W27" s="541" t="s">
        <v>829</v>
      </c>
      <c r="X27" s="516" t="s">
        <v>790</v>
      </c>
      <c r="Y27" s="542">
        <v>32305</v>
      </c>
      <c r="Z27" s="543">
        <f t="shared" ca="1" si="1"/>
        <v>37</v>
      </c>
      <c r="AA27" s="534" t="s">
        <v>830</v>
      </c>
      <c r="AB27" s="516" t="s">
        <v>831</v>
      </c>
      <c r="AC27" s="516" t="s">
        <v>793</v>
      </c>
      <c r="AD27" s="516" t="s">
        <v>794</v>
      </c>
      <c r="AE27" s="534" t="s">
        <v>713</v>
      </c>
      <c r="AF27" s="534" t="s">
        <v>795</v>
      </c>
      <c r="AG27" s="534" t="s">
        <v>804</v>
      </c>
      <c r="AH27" s="516"/>
      <c r="AI27" s="516"/>
      <c r="AJ27" s="516" t="s">
        <v>832</v>
      </c>
      <c r="AK27" s="516"/>
      <c r="AL27" s="544"/>
      <c r="AM27" s="544"/>
    </row>
    <row r="28" spans="1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827</v>
      </c>
      <c r="M28" s="536" t="s">
        <v>786</v>
      </c>
      <c r="N28" s="537"/>
      <c r="O28" s="537"/>
      <c r="P28" s="538" t="s">
        <v>828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4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 t="s">
        <v>835</v>
      </c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1:39" ht="18" customHeight="1">
      <c r="C29" s="516">
        <v>9</v>
      </c>
      <c r="D29" s="516" t="s">
        <v>836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827</v>
      </c>
      <c r="M29" s="536" t="s">
        <v>786</v>
      </c>
      <c r="N29" s="537"/>
      <c r="O29" s="537"/>
      <c r="P29" s="538" t="s">
        <v>828</v>
      </c>
      <c r="Q29" s="539"/>
      <c r="R29" s="516"/>
      <c r="S29" s="516"/>
      <c r="T29" s="516"/>
      <c r="U29" s="516" t="s">
        <v>799</v>
      </c>
      <c r="V29" s="538" t="s">
        <v>59</v>
      </c>
      <c r="W29" s="541" t="s">
        <v>837</v>
      </c>
      <c r="X29" s="516" t="s">
        <v>790</v>
      </c>
      <c r="Y29" s="542">
        <v>33599</v>
      </c>
      <c r="Z29" s="543">
        <f t="shared" ca="1" si="1"/>
        <v>34</v>
      </c>
      <c r="AA29" s="534" t="s">
        <v>838</v>
      </c>
      <c r="AB29" s="516"/>
      <c r="AC29" s="516" t="s">
        <v>802</v>
      </c>
      <c r="AD29" s="516" t="s">
        <v>794</v>
      </c>
      <c r="AE29" s="534" t="s">
        <v>809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839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827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50" t="s">
        <v>84</v>
      </c>
      <c r="W30" s="541" t="s">
        <v>840</v>
      </c>
      <c r="X30" s="516" t="s">
        <v>790</v>
      </c>
      <c r="Y30" s="542">
        <v>36739</v>
      </c>
      <c r="Z30" s="543">
        <f t="shared" ca="1" si="1"/>
        <v>25</v>
      </c>
      <c r="AA30" s="534" t="s">
        <v>841</v>
      </c>
      <c r="AB30" s="551"/>
      <c r="AC30" s="516" t="s">
        <v>842</v>
      </c>
      <c r="AD30" s="552" t="s">
        <v>843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 t="s">
        <v>844</v>
      </c>
      <c r="AK30" s="516"/>
      <c r="AL30" s="544"/>
      <c r="AM30" s="544"/>
    </row>
    <row r="31" spans="1:39" ht="18" customHeight="1">
      <c r="A31" s="173"/>
      <c r="B31" s="173"/>
      <c r="C31" s="516">
        <v>11</v>
      </c>
      <c r="D31" s="516" t="s">
        <v>845</v>
      </c>
      <c r="E31" s="516">
        <f>SUBTOTAL(103,$U$21:U31)</f>
        <v>11</v>
      </c>
      <c r="F31" s="553" t="s">
        <v>782</v>
      </c>
      <c r="G31" s="516" t="s">
        <v>846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827</v>
      </c>
      <c r="M31" s="536" t="s">
        <v>786</v>
      </c>
      <c r="N31" s="537"/>
      <c r="O31" s="537"/>
      <c r="P31" s="538" t="s">
        <v>828</v>
      </c>
      <c r="Q31" s="539"/>
      <c r="R31" s="554"/>
      <c r="S31" s="554"/>
      <c r="T31" s="554"/>
      <c r="U31" s="555" t="s">
        <v>788</v>
      </c>
      <c r="V31" s="556" t="s">
        <v>847</v>
      </c>
      <c r="W31" s="557" t="s">
        <v>848</v>
      </c>
      <c r="X31" s="516" t="s">
        <v>790</v>
      </c>
      <c r="Y31" s="542">
        <v>32741</v>
      </c>
      <c r="Z31" s="543">
        <f t="shared" ca="1" si="1"/>
        <v>36</v>
      </c>
      <c r="AA31" s="516" t="s">
        <v>849</v>
      </c>
      <c r="AB31" s="516" t="s">
        <v>850</v>
      </c>
      <c r="AC31" s="516" t="s">
        <v>842</v>
      </c>
      <c r="AD31" s="516" t="s">
        <v>851</v>
      </c>
      <c r="AE31" s="516" t="s">
        <v>713</v>
      </c>
      <c r="AF31" s="516" t="s">
        <v>795</v>
      </c>
      <c r="AG31" s="516" t="s">
        <v>4209</v>
      </c>
      <c r="AH31" s="554"/>
      <c r="AI31" s="554"/>
      <c r="AJ31" s="558" t="s">
        <v>853</v>
      </c>
      <c r="AK31" s="554"/>
      <c r="AL31" s="554"/>
      <c r="AM31" s="554"/>
    </row>
    <row r="32" spans="1:39" ht="18" customHeight="1">
      <c r="C32" s="516">
        <v>12</v>
      </c>
      <c r="D32" s="516" t="s">
        <v>854</v>
      </c>
      <c r="E32" s="516">
        <f t="shared" ref="E32:E97" si="2">SUBTOTAL(103,$U$21:U32)</f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827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51"/>
      <c r="AC32" s="516" t="s">
        <v>842</v>
      </c>
      <c r="AD32" s="552" t="s">
        <v>843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2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827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51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2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2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3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2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3"/>
        <v>41</v>
      </c>
      <c r="AA36" s="534" t="s">
        <v>881</v>
      </c>
      <c r="AB36" s="516"/>
      <c r="AC36" s="516" t="s">
        <v>802</v>
      </c>
      <c r="AD36" s="552" t="s">
        <v>843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2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3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2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3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2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3"/>
        <v>39</v>
      </c>
      <c r="AA39" s="534" t="s">
        <v>891</v>
      </c>
      <c r="AB39" s="516"/>
      <c r="AC39" s="516" t="s">
        <v>793</v>
      </c>
      <c r="AD39" s="552" t="s">
        <v>843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2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3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2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3"/>
        <v>71</v>
      </c>
      <c r="AA41" s="534" t="s">
        <v>901</v>
      </c>
      <c r="AB41" s="551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2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3"/>
        <v>35</v>
      </c>
      <c r="AA42" s="534" t="s">
        <v>906</v>
      </c>
      <c r="AB42" s="551"/>
      <c r="AC42" s="516" t="s">
        <v>842</v>
      </c>
      <c r="AD42" s="552" t="s">
        <v>843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2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3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2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3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2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3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804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2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3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2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3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2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3"/>
        <v>39</v>
      </c>
      <c r="AA48" s="534" t="s">
        <v>929</v>
      </c>
      <c r="AB48" s="551"/>
      <c r="AC48" s="516" t="s">
        <v>793</v>
      </c>
      <c r="AD48" s="552" t="s">
        <v>843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2:39" ht="18" customHeight="1">
      <c r="C49" s="516">
        <v>29</v>
      </c>
      <c r="D49" s="516" t="s">
        <v>930</v>
      </c>
      <c r="E49" s="516">
        <f t="shared" si="2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3"/>
        <v>35</v>
      </c>
      <c r="AA49" s="534" t="s">
        <v>933</v>
      </c>
      <c r="AB49" s="551"/>
      <c r="AC49" s="516" t="s">
        <v>793</v>
      </c>
      <c r="AD49" s="552" t="s">
        <v>843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2:39" ht="18" customHeight="1">
      <c r="C50" s="516">
        <v>30</v>
      </c>
      <c r="D50" s="516" t="s">
        <v>935</v>
      </c>
      <c r="E50" s="516">
        <f t="shared" si="2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656" t="s">
        <v>935</v>
      </c>
      <c r="L50" s="536" t="s">
        <v>936</v>
      </c>
      <c r="M50" s="535" t="s">
        <v>937</v>
      </c>
      <c r="N50" s="537"/>
      <c r="O50" s="537"/>
      <c r="P50" s="538" t="s">
        <v>938</v>
      </c>
      <c r="Q50" s="539"/>
      <c r="R50" s="516" t="s">
        <v>62</v>
      </c>
      <c r="S50" s="516" t="s">
        <v>62</v>
      </c>
      <c r="T50" s="516"/>
      <c r="U50" s="516" t="s">
        <v>874</v>
      </c>
      <c r="V50" s="538" t="s">
        <v>111</v>
      </c>
      <c r="W50" s="541" t="s">
        <v>939</v>
      </c>
      <c r="X50" s="516" t="s">
        <v>876</v>
      </c>
      <c r="Y50" s="542">
        <v>24988</v>
      </c>
      <c r="Z50" s="543">
        <f t="shared" ca="1" si="3"/>
        <v>57</v>
      </c>
      <c r="AA50" s="534" t="s">
        <v>940</v>
      </c>
      <c r="AB50" s="516" t="s">
        <v>941</v>
      </c>
      <c r="AC50" s="516" t="s">
        <v>842</v>
      </c>
      <c r="AD50" s="516" t="s">
        <v>794</v>
      </c>
      <c r="AE50" s="534" t="s">
        <v>942</v>
      </c>
      <c r="AF50" s="534" t="s">
        <v>795</v>
      </c>
      <c r="AG50" s="534" t="s">
        <v>943</v>
      </c>
      <c r="AH50" s="516"/>
      <c r="AI50" s="516"/>
      <c r="AJ50" s="516" t="s">
        <v>832</v>
      </c>
      <c r="AK50" s="516"/>
      <c r="AL50" s="544"/>
      <c r="AM50" s="544"/>
    </row>
    <row r="51" spans="2:39" ht="18" customHeight="1">
      <c r="C51" s="516">
        <v>31</v>
      </c>
      <c r="D51" s="516" t="s">
        <v>936</v>
      </c>
      <c r="E51" s="516">
        <f t="shared" si="2"/>
        <v>30</v>
      </c>
      <c r="F51" s="534" t="s">
        <v>782</v>
      </c>
      <c r="G51" s="534" t="s">
        <v>869</v>
      </c>
      <c r="H51" s="535" t="s">
        <v>784</v>
      </c>
      <c r="I51" s="535" t="s">
        <v>4</v>
      </c>
      <c r="J51" s="535" t="s">
        <v>868</v>
      </c>
      <c r="K51" s="656" t="s">
        <v>935</v>
      </c>
      <c r="L51" s="536" t="s">
        <v>936</v>
      </c>
      <c r="M51" s="535" t="s">
        <v>937</v>
      </c>
      <c r="N51" s="537"/>
      <c r="O51" s="537"/>
      <c r="P51" s="538" t="s">
        <v>938</v>
      </c>
      <c r="Q51" s="539"/>
      <c r="R51" s="516" t="s">
        <v>62</v>
      </c>
      <c r="S51" s="516" t="s">
        <v>62</v>
      </c>
      <c r="T51" s="516"/>
      <c r="U51" s="516" t="s">
        <v>874</v>
      </c>
      <c r="V51" s="538" t="s">
        <v>74</v>
      </c>
      <c r="W51" s="541" t="s">
        <v>944</v>
      </c>
      <c r="X51" s="516" t="s">
        <v>876</v>
      </c>
      <c r="Y51" s="542">
        <v>30935</v>
      </c>
      <c r="Z51" s="543">
        <f t="shared" ca="1" si="3"/>
        <v>41</v>
      </c>
      <c r="AA51" s="534" t="s">
        <v>945</v>
      </c>
      <c r="AB51" s="516" t="s">
        <v>946</v>
      </c>
      <c r="AC51" s="516" t="s">
        <v>802</v>
      </c>
      <c r="AD51" s="516" t="s">
        <v>794</v>
      </c>
      <c r="AE51" s="534" t="s">
        <v>942</v>
      </c>
      <c r="AF51" s="534" t="s">
        <v>795</v>
      </c>
      <c r="AG51" s="534" t="s">
        <v>796</v>
      </c>
      <c r="AH51" s="516"/>
      <c r="AI51" s="516"/>
      <c r="AJ51" s="516"/>
      <c r="AK51" s="516"/>
      <c r="AL51" s="544"/>
      <c r="AM51" s="544"/>
    </row>
    <row r="52" spans="2:39" ht="18" customHeight="1">
      <c r="C52" s="516">
        <v>32</v>
      </c>
      <c r="D52" s="516" t="s">
        <v>937</v>
      </c>
      <c r="E52" s="516">
        <f t="shared" si="2"/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656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40" t="s">
        <v>63</v>
      </c>
      <c r="W52" s="541" t="s">
        <v>947</v>
      </c>
      <c r="X52" s="516" t="s">
        <v>876</v>
      </c>
      <c r="Y52" s="542">
        <v>29183</v>
      </c>
      <c r="Z52" s="543">
        <f t="shared" ca="1" si="3"/>
        <v>46</v>
      </c>
      <c r="AA52" s="534" t="s">
        <v>948</v>
      </c>
      <c r="AB52" s="516" t="s">
        <v>949</v>
      </c>
      <c r="AC52" s="516" t="s">
        <v>802</v>
      </c>
      <c r="AD52" s="516" t="s">
        <v>794</v>
      </c>
      <c r="AE52" s="534" t="s">
        <v>236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2:39" ht="18" customHeight="1">
      <c r="C53" s="516">
        <v>33</v>
      </c>
      <c r="D53" s="516" t="s">
        <v>950</v>
      </c>
      <c r="E53" s="516">
        <f t="shared" si="2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656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/>
      <c r="S53" s="516"/>
      <c r="T53" s="516"/>
      <c r="U53" s="516" t="s">
        <v>874</v>
      </c>
      <c r="V53" s="538" t="s">
        <v>86</v>
      </c>
      <c r="W53" s="541" t="s">
        <v>951</v>
      </c>
      <c r="X53" s="516" t="s">
        <v>876</v>
      </c>
      <c r="Y53" s="542">
        <v>33662</v>
      </c>
      <c r="Z53" s="543">
        <f t="shared" ca="1" si="3"/>
        <v>33</v>
      </c>
      <c r="AA53" s="534" t="s">
        <v>952</v>
      </c>
      <c r="AB53" s="551"/>
      <c r="AC53" s="516" t="s">
        <v>802</v>
      </c>
      <c r="AD53" s="516" t="s">
        <v>794</v>
      </c>
      <c r="AE53" s="534" t="s">
        <v>809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2:39" ht="18" customHeight="1">
      <c r="C54" s="516">
        <v>34</v>
      </c>
      <c r="D54" s="516" t="s">
        <v>953</v>
      </c>
      <c r="E54" s="516">
        <f t="shared" si="2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656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898</v>
      </c>
      <c r="V54" s="538" t="s">
        <v>96</v>
      </c>
      <c r="W54" s="541" t="s">
        <v>954</v>
      </c>
      <c r="X54" s="516" t="s">
        <v>876</v>
      </c>
      <c r="Y54" s="542">
        <v>18173</v>
      </c>
      <c r="Z54" s="543">
        <f t="shared" ca="1" si="3"/>
        <v>76</v>
      </c>
      <c r="AA54" s="534" t="s">
        <v>955</v>
      </c>
      <c r="AB54" s="516" t="s">
        <v>956</v>
      </c>
      <c r="AC54" s="516" t="s">
        <v>842</v>
      </c>
      <c r="AD54" s="516" t="s">
        <v>794</v>
      </c>
      <c r="AE54" s="534" t="s">
        <v>809</v>
      </c>
      <c r="AF54" s="534" t="s">
        <v>795</v>
      </c>
      <c r="AG54" s="534" t="s">
        <v>804</v>
      </c>
      <c r="AH54" s="516"/>
      <c r="AI54" s="516"/>
      <c r="AJ54" s="516"/>
      <c r="AK54" s="516"/>
      <c r="AL54" s="544"/>
      <c r="AM54" s="544"/>
    </row>
    <row r="55" spans="2:39" ht="18" customHeight="1">
      <c r="C55" s="516">
        <v>35</v>
      </c>
      <c r="D55" s="516" t="s">
        <v>957</v>
      </c>
      <c r="E55" s="516">
        <f t="shared" si="2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656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874</v>
      </c>
      <c r="V55" s="538" t="s">
        <v>104</v>
      </c>
      <c r="W55" s="541" t="s">
        <v>958</v>
      </c>
      <c r="X55" s="516" t="s">
        <v>876</v>
      </c>
      <c r="Y55" s="542">
        <v>21465</v>
      </c>
      <c r="Z55" s="543">
        <f t="shared" ca="1" si="3"/>
        <v>67</v>
      </c>
      <c r="AA55" s="534" t="s">
        <v>959</v>
      </c>
      <c r="AB55" s="516" t="s">
        <v>960</v>
      </c>
      <c r="AC55" s="516" t="s">
        <v>802</v>
      </c>
      <c r="AD55" s="516" t="s">
        <v>794</v>
      </c>
      <c r="AE55" s="534" t="s">
        <v>713</v>
      </c>
      <c r="AF55" s="534" t="s">
        <v>795</v>
      </c>
      <c r="AG55" s="534" t="s">
        <v>796</v>
      </c>
      <c r="AH55" s="516"/>
      <c r="AI55" s="516"/>
      <c r="AJ55" s="516"/>
      <c r="AK55" s="516"/>
      <c r="AL55" s="544"/>
      <c r="AM55" s="544"/>
    </row>
    <row r="56" spans="2:39" ht="18" customHeight="1">
      <c r="C56" s="516">
        <v>36</v>
      </c>
      <c r="D56" s="516" t="s">
        <v>961</v>
      </c>
      <c r="E56" s="516">
        <f t="shared" si="2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656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962</v>
      </c>
      <c r="W56" s="541" t="s">
        <v>963</v>
      </c>
      <c r="X56" s="516" t="s">
        <v>876</v>
      </c>
      <c r="Y56" s="542">
        <v>25896</v>
      </c>
      <c r="Z56" s="543">
        <f t="shared" ca="1" si="3"/>
        <v>55</v>
      </c>
      <c r="AA56" s="534" t="s">
        <v>964</v>
      </c>
      <c r="AB56" s="516" t="s">
        <v>965</v>
      </c>
      <c r="AC56" s="516" t="s">
        <v>842</v>
      </c>
      <c r="AD56" s="516" t="s">
        <v>794</v>
      </c>
      <c r="AE56" s="534" t="s">
        <v>942</v>
      </c>
      <c r="AF56" s="534" t="s">
        <v>795</v>
      </c>
      <c r="AG56" s="534" t="s">
        <v>852</v>
      </c>
      <c r="AH56" s="516"/>
      <c r="AI56" s="516"/>
      <c r="AJ56" s="516" t="s">
        <v>832</v>
      </c>
      <c r="AK56" s="516"/>
      <c r="AL56" s="544"/>
      <c r="AM56" s="544"/>
    </row>
    <row r="57" spans="2:39" ht="18" customHeight="1">
      <c r="C57" s="516">
        <v>37</v>
      </c>
      <c r="D57" s="516" t="s">
        <v>966</v>
      </c>
      <c r="E57" s="516">
        <f t="shared" si="2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656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 t="s">
        <v>308</v>
      </c>
      <c r="R57" s="516"/>
      <c r="S57" s="516"/>
      <c r="T57" s="516"/>
      <c r="U57" s="516" t="s">
        <v>874</v>
      </c>
      <c r="V57" s="538" t="s">
        <v>125</v>
      </c>
      <c r="W57" s="541" t="s">
        <v>967</v>
      </c>
      <c r="X57" s="516" t="s">
        <v>876</v>
      </c>
      <c r="Y57" s="542">
        <v>35278</v>
      </c>
      <c r="Z57" s="543">
        <f t="shared" ca="1" si="3"/>
        <v>29</v>
      </c>
      <c r="AA57" s="534" t="s">
        <v>968</v>
      </c>
      <c r="AB57" s="516" t="s">
        <v>969</v>
      </c>
      <c r="AC57" s="516" t="s">
        <v>842</v>
      </c>
      <c r="AD57" s="516" t="s">
        <v>851</v>
      </c>
      <c r="AE57" s="534" t="s">
        <v>713</v>
      </c>
      <c r="AF57" s="534" t="s">
        <v>795</v>
      </c>
      <c r="AG57" s="534" t="s">
        <v>970</v>
      </c>
      <c r="AH57" s="516"/>
      <c r="AI57" s="516"/>
      <c r="AJ57" s="516" t="s">
        <v>971</v>
      </c>
      <c r="AK57" s="516"/>
      <c r="AL57" s="544"/>
      <c r="AM57" s="544"/>
    </row>
    <row r="58" spans="2:39" ht="18" customHeight="1">
      <c r="C58" s="516">
        <v>38</v>
      </c>
      <c r="D58" s="516" t="s">
        <v>972</v>
      </c>
      <c r="E58" s="516">
        <f t="shared" si="2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656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/>
      <c r="R58" s="516"/>
      <c r="S58" s="516"/>
      <c r="T58" s="516"/>
      <c r="U58" s="516" t="s">
        <v>874</v>
      </c>
      <c r="V58" s="538" t="s">
        <v>973</v>
      </c>
      <c r="W58" s="541" t="s">
        <v>974</v>
      </c>
      <c r="X58" s="516" t="s">
        <v>876</v>
      </c>
      <c r="Y58" s="542">
        <v>22442</v>
      </c>
      <c r="Z58" s="543">
        <f t="shared" ca="1" si="3"/>
        <v>64</v>
      </c>
      <c r="AA58" s="534" t="s">
        <v>975</v>
      </c>
      <c r="AB58" s="551"/>
      <c r="AC58" s="516" t="s">
        <v>842</v>
      </c>
      <c r="AD58" s="516" t="s">
        <v>843</v>
      </c>
      <c r="AE58" s="534" t="s">
        <v>713</v>
      </c>
      <c r="AF58" s="534" t="s">
        <v>795</v>
      </c>
      <c r="AG58" s="534" t="s">
        <v>804</v>
      </c>
      <c r="AH58" s="516"/>
      <c r="AI58" s="516" t="s">
        <v>866</v>
      </c>
      <c r="AJ58" s="516" t="s">
        <v>976</v>
      </c>
      <c r="AK58" s="516" t="s">
        <v>860</v>
      </c>
      <c r="AL58" s="544"/>
      <c r="AM58" s="544"/>
    </row>
    <row r="59" spans="2:39" ht="18" customHeight="1">
      <c r="B59" s="655"/>
      <c r="C59" s="516"/>
      <c r="D59" s="516" t="s">
        <v>868</v>
      </c>
      <c r="E59" s="516">
        <f t="shared" si="2"/>
        <v>37</v>
      </c>
      <c r="F59" s="534"/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868</v>
      </c>
      <c r="L59" s="535" t="s">
        <v>977</v>
      </c>
      <c r="M59" s="536" t="s">
        <v>786</v>
      </c>
      <c r="N59" s="537"/>
      <c r="O59" s="537"/>
      <c r="P59" s="548" t="s">
        <v>978</v>
      </c>
      <c r="Q59" s="539"/>
      <c r="R59" s="516" t="s">
        <v>871</v>
      </c>
      <c r="S59" s="516" t="s">
        <v>3</v>
      </c>
      <c r="T59" s="516" t="s">
        <v>49</v>
      </c>
      <c r="U59" s="562"/>
      <c r="V59" s="564" t="s">
        <v>4</v>
      </c>
      <c r="W59" s="560"/>
      <c r="X59" s="516" t="s">
        <v>790</v>
      </c>
      <c r="Y59" s="542">
        <v>31732</v>
      </c>
      <c r="Z59" s="543">
        <f t="shared" ca="1" si="3"/>
        <v>39</v>
      </c>
      <c r="AA59" s="534" t="s">
        <v>979</v>
      </c>
      <c r="AB59" s="516" t="s">
        <v>980</v>
      </c>
      <c r="AC59" s="516" t="s">
        <v>53</v>
      </c>
      <c r="AD59" s="516" t="s">
        <v>794</v>
      </c>
      <c r="AE59" s="534"/>
      <c r="AF59" s="534" t="s">
        <v>795</v>
      </c>
      <c r="AG59" s="534" t="s">
        <v>804</v>
      </c>
      <c r="AH59" s="516"/>
      <c r="AI59" s="516"/>
      <c r="AJ59" s="516"/>
      <c r="AK59" s="516"/>
      <c r="AL59" s="544"/>
      <c r="AM59" s="544"/>
    </row>
    <row r="60" spans="2:39" ht="18" customHeight="1">
      <c r="B60" s="655"/>
      <c r="C60" s="516">
        <v>39</v>
      </c>
      <c r="D60" s="516" t="s">
        <v>977</v>
      </c>
      <c r="E60" s="516">
        <f t="shared" si="2"/>
        <v>38</v>
      </c>
      <c r="F60" s="534" t="s">
        <v>981</v>
      </c>
      <c r="G60" s="534" t="s">
        <v>869</v>
      </c>
      <c r="H60" s="535" t="s">
        <v>784</v>
      </c>
      <c r="I60" s="535" t="s">
        <v>4</v>
      </c>
      <c r="J60" s="535" t="s">
        <v>868</v>
      </c>
      <c r="K60" s="535" t="s">
        <v>868</v>
      </c>
      <c r="L60" s="535" t="s">
        <v>977</v>
      </c>
      <c r="M60" s="536" t="s">
        <v>786</v>
      </c>
      <c r="N60" s="537"/>
      <c r="O60" s="537"/>
      <c r="P60" s="538" t="s">
        <v>978</v>
      </c>
      <c r="Q60" s="539"/>
      <c r="R60" s="516" t="s">
        <v>982</v>
      </c>
      <c r="S60" s="516" t="s">
        <v>3</v>
      </c>
      <c r="T60" s="516" t="s">
        <v>62</v>
      </c>
      <c r="U60" s="562" t="s">
        <v>983</v>
      </c>
      <c r="V60" s="546" t="s">
        <v>64</v>
      </c>
      <c r="W60" s="560" t="s">
        <v>984</v>
      </c>
      <c r="X60" s="516" t="s">
        <v>790</v>
      </c>
      <c r="Y60" s="542">
        <v>28737</v>
      </c>
      <c r="Z60" s="543">
        <f t="shared" ca="1" si="3"/>
        <v>47</v>
      </c>
      <c r="AA60" s="534" t="s">
        <v>985</v>
      </c>
      <c r="AB60" s="516" t="s">
        <v>986</v>
      </c>
      <c r="AC60" s="516" t="s">
        <v>53</v>
      </c>
      <c r="AD60" s="516" t="s">
        <v>794</v>
      </c>
      <c r="AE60" s="534" t="s">
        <v>795</v>
      </c>
      <c r="AF60" s="534" t="s">
        <v>795</v>
      </c>
      <c r="AG60" s="534"/>
      <c r="AH60" s="516"/>
      <c r="AI60" s="516"/>
      <c r="AJ60" s="516"/>
      <c r="AK60" s="516"/>
      <c r="AL60" s="544"/>
      <c r="AM60" s="544"/>
    </row>
    <row r="61" spans="2:39" ht="18" customHeight="1">
      <c r="C61" s="516">
        <v>40</v>
      </c>
      <c r="D61" s="516" t="s">
        <v>987</v>
      </c>
      <c r="E61" s="516">
        <f t="shared" si="2"/>
        <v>39</v>
      </c>
      <c r="F61" s="534" t="s">
        <v>782</v>
      </c>
      <c r="G61" s="534" t="s">
        <v>869</v>
      </c>
      <c r="H61" s="535" t="s">
        <v>784</v>
      </c>
      <c r="I61" s="535" t="s">
        <v>4</v>
      </c>
      <c r="J61" s="535" t="s">
        <v>868</v>
      </c>
      <c r="K61" s="535" t="s">
        <v>868</v>
      </c>
      <c r="L61" s="535" t="s">
        <v>977</v>
      </c>
      <c r="M61" s="536" t="s">
        <v>786</v>
      </c>
      <c r="N61" s="537"/>
      <c r="O61" s="537"/>
      <c r="P61" s="538" t="s">
        <v>978</v>
      </c>
      <c r="Q61" s="539"/>
      <c r="R61" s="516" t="s">
        <v>49</v>
      </c>
      <c r="S61" s="516" t="s">
        <v>49</v>
      </c>
      <c r="T61" s="516"/>
      <c r="U61" s="562" t="s">
        <v>898</v>
      </c>
      <c r="V61" s="538" t="s">
        <v>75</v>
      </c>
      <c r="W61" s="560" t="s">
        <v>988</v>
      </c>
      <c r="X61" s="516" t="s">
        <v>790</v>
      </c>
      <c r="Y61" s="542">
        <v>19202</v>
      </c>
      <c r="Z61" s="543">
        <f t="shared" ca="1" si="3"/>
        <v>73</v>
      </c>
      <c r="AA61" s="534" t="s">
        <v>989</v>
      </c>
      <c r="AB61" s="516"/>
      <c r="AC61" s="516" t="s">
        <v>802</v>
      </c>
      <c r="AD61" s="516" t="s">
        <v>794</v>
      </c>
      <c r="AE61" s="534" t="s">
        <v>809</v>
      </c>
      <c r="AF61" s="534" t="s">
        <v>795</v>
      </c>
      <c r="AG61" s="534" t="s">
        <v>804</v>
      </c>
      <c r="AH61" s="516"/>
      <c r="AI61" s="516"/>
      <c r="AJ61" s="516"/>
      <c r="AK61" s="516"/>
      <c r="AL61" s="544"/>
      <c r="AM61" s="544"/>
    </row>
    <row r="62" spans="2:39" ht="18" customHeight="1">
      <c r="C62" s="516">
        <v>41</v>
      </c>
      <c r="D62" s="516" t="s">
        <v>990</v>
      </c>
      <c r="E62" s="516">
        <f t="shared" si="2"/>
        <v>40</v>
      </c>
      <c r="F62" s="534" t="s">
        <v>782</v>
      </c>
      <c r="G62" s="534" t="s">
        <v>869</v>
      </c>
      <c r="H62" s="535" t="s">
        <v>784</v>
      </c>
      <c r="I62" s="535" t="s">
        <v>4</v>
      </c>
      <c r="J62" s="535" t="s">
        <v>868</v>
      </c>
      <c r="K62" s="535" t="s">
        <v>868</v>
      </c>
      <c r="L62" s="535" t="s">
        <v>977</v>
      </c>
      <c r="M62" s="536" t="s">
        <v>786</v>
      </c>
      <c r="N62" s="537"/>
      <c r="O62" s="537"/>
      <c r="P62" s="538" t="s">
        <v>978</v>
      </c>
      <c r="Q62" s="539"/>
      <c r="R62" s="516" t="s">
        <v>62</v>
      </c>
      <c r="S62" s="516" t="s">
        <v>62</v>
      </c>
      <c r="T62" s="516"/>
      <c r="U62" s="562" t="s">
        <v>898</v>
      </c>
      <c r="V62" s="538" t="s">
        <v>87</v>
      </c>
      <c r="W62" s="560" t="s">
        <v>991</v>
      </c>
      <c r="X62" s="516" t="s">
        <v>876</v>
      </c>
      <c r="Y62" s="542">
        <v>19466</v>
      </c>
      <c r="Z62" s="543">
        <f t="shared" ca="1" si="3"/>
        <v>72</v>
      </c>
      <c r="AA62" s="534" t="s">
        <v>992</v>
      </c>
      <c r="AB62" s="516" t="s">
        <v>993</v>
      </c>
      <c r="AC62" s="516" t="s">
        <v>802</v>
      </c>
      <c r="AD62" s="516" t="s">
        <v>794</v>
      </c>
      <c r="AE62" s="534" t="s">
        <v>809</v>
      </c>
      <c r="AF62" s="534" t="s">
        <v>795</v>
      </c>
      <c r="AG62" s="534" t="s">
        <v>804</v>
      </c>
      <c r="AH62" s="516"/>
      <c r="AI62" s="516"/>
      <c r="AJ62" s="516"/>
      <c r="AK62" s="516"/>
      <c r="AL62" s="544"/>
      <c r="AM62" s="544"/>
    </row>
    <row r="63" spans="2:39" ht="18" customHeight="1">
      <c r="C63" s="516">
        <v>42</v>
      </c>
      <c r="D63" s="516" t="s">
        <v>994</v>
      </c>
      <c r="E63" s="516">
        <f t="shared" si="2"/>
        <v>41</v>
      </c>
      <c r="F63" s="534" t="s">
        <v>782</v>
      </c>
      <c r="G63" s="534" t="s">
        <v>869</v>
      </c>
      <c r="H63" s="535" t="s">
        <v>784</v>
      </c>
      <c r="I63" s="535" t="s">
        <v>4</v>
      </c>
      <c r="J63" s="535" t="s">
        <v>868</v>
      </c>
      <c r="K63" s="535" t="s">
        <v>868</v>
      </c>
      <c r="L63" s="535" t="s">
        <v>977</v>
      </c>
      <c r="M63" s="536" t="s">
        <v>786</v>
      </c>
      <c r="N63" s="537"/>
      <c r="O63" s="537"/>
      <c r="P63" s="538" t="s">
        <v>978</v>
      </c>
      <c r="Q63" s="539"/>
      <c r="R63" s="516"/>
      <c r="S63" s="516"/>
      <c r="T63" s="516"/>
      <c r="U63" s="562" t="s">
        <v>898</v>
      </c>
      <c r="V63" s="538" t="s">
        <v>97</v>
      </c>
      <c r="W63" s="560" t="s">
        <v>995</v>
      </c>
      <c r="X63" s="516" t="s">
        <v>790</v>
      </c>
      <c r="Y63" s="542">
        <v>19784</v>
      </c>
      <c r="Z63" s="543">
        <f t="shared" ca="1" si="3"/>
        <v>71</v>
      </c>
      <c r="AA63" s="534" t="s">
        <v>996</v>
      </c>
      <c r="AB63" s="516"/>
      <c r="AC63" s="516" t="s">
        <v>842</v>
      </c>
      <c r="AD63" s="516" t="s">
        <v>794</v>
      </c>
      <c r="AE63" s="534" t="s">
        <v>809</v>
      </c>
      <c r="AF63" s="534" t="s">
        <v>795</v>
      </c>
      <c r="AG63" s="534" t="s">
        <v>804</v>
      </c>
      <c r="AH63" s="516"/>
      <c r="AI63" s="516"/>
      <c r="AJ63" s="516" t="s">
        <v>903</v>
      </c>
      <c r="AK63" s="516"/>
      <c r="AL63" s="544"/>
      <c r="AM63" s="544"/>
    </row>
    <row r="64" spans="2:39" ht="18" customHeight="1">
      <c r="C64" s="516">
        <v>43</v>
      </c>
      <c r="D64" s="516" t="s">
        <v>997</v>
      </c>
      <c r="E64" s="516">
        <f t="shared" si="2"/>
        <v>42</v>
      </c>
      <c r="F64" s="534" t="s">
        <v>782</v>
      </c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/>
      <c r="S64" s="516"/>
      <c r="T64" s="516"/>
      <c r="U64" s="562" t="s">
        <v>874</v>
      </c>
      <c r="V64" s="538" t="s">
        <v>105</v>
      </c>
      <c r="W64" s="560" t="s">
        <v>998</v>
      </c>
      <c r="X64" s="516" t="s">
        <v>876</v>
      </c>
      <c r="Y64" s="542">
        <v>22276</v>
      </c>
      <c r="Z64" s="543">
        <f t="shared" ca="1" si="3"/>
        <v>65</v>
      </c>
      <c r="AA64" s="534" t="s">
        <v>999</v>
      </c>
      <c r="AB64" s="516"/>
      <c r="AC64" s="516" t="s">
        <v>842</v>
      </c>
      <c r="AD64" s="516" t="s">
        <v>794</v>
      </c>
      <c r="AE64" s="534" t="s">
        <v>815</v>
      </c>
      <c r="AF64" s="534" t="s">
        <v>795</v>
      </c>
      <c r="AG64" s="534" t="s">
        <v>796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44</v>
      </c>
      <c r="D65" s="516" t="s">
        <v>1000</v>
      </c>
      <c r="E65" s="516">
        <f t="shared" si="2"/>
        <v>43</v>
      </c>
      <c r="F65" s="534" t="s">
        <v>1001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/>
      <c r="S65" s="516"/>
      <c r="T65" s="516"/>
      <c r="U65" s="562" t="s">
        <v>874</v>
      </c>
      <c r="V65" s="549" t="s">
        <v>1002</v>
      </c>
      <c r="W65" s="560" t="s">
        <v>1003</v>
      </c>
      <c r="X65" s="516" t="s">
        <v>876</v>
      </c>
      <c r="Y65" s="542">
        <v>33959</v>
      </c>
      <c r="Z65" s="543">
        <f t="shared" ca="1" si="3"/>
        <v>33</v>
      </c>
      <c r="AA65" s="534" t="s">
        <v>1004</v>
      </c>
      <c r="AB65" s="516"/>
      <c r="AC65" s="516" t="s">
        <v>842</v>
      </c>
      <c r="AD65" s="516" t="s">
        <v>843</v>
      </c>
      <c r="AE65" s="534" t="s">
        <v>236</v>
      </c>
      <c r="AF65" s="534" t="s">
        <v>236</v>
      </c>
      <c r="AG65" s="534" t="s">
        <v>865</v>
      </c>
      <c r="AH65" s="516"/>
      <c r="AI65" s="516" t="s">
        <v>866</v>
      </c>
      <c r="AJ65" s="516"/>
      <c r="AK65" s="516" t="s">
        <v>860</v>
      </c>
      <c r="AL65" s="544"/>
      <c r="AM65" s="544"/>
    </row>
    <row r="66" spans="3:39" ht="19.5" customHeight="1">
      <c r="C66" s="516">
        <v>45</v>
      </c>
      <c r="D66" s="516" t="s">
        <v>1005</v>
      </c>
      <c r="E66" s="516">
        <f t="shared" si="2"/>
        <v>44</v>
      </c>
      <c r="F66" s="534" t="s">
        <v>1001</v>
      </c>
      <c r="G66" s="534" t="s">
        <v>783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59" t="s">
        <v>978</v>
      </c>
      <c r="Q66" s="539"/>
      <c r="R66" s="516"/>
      <c r="S66" s="516"/>
      <c r="T66" s="516"/>
      <c r="U66" s="562" t="s">
        <v>788</v>
      </c>
      <c r="V66" s="563" t="s">
        <v>1006</v>
      </c>
      <c r="W66" s="560" t="s">
        <v>1007</v>
      </c>
      <c r="X66" s="516" t="s">
        <v>790</v>
      </c>
      <c r="Y66" s="542">
        <v>33674</v>
      </c>
      <c r="Z66" s="543">
        <f t="shared" ca="1" si="3"/>
        <v>33</v>
      </c>
      <c r="AA66" s="534" t="s">
        <v>1008</v>
      </c>
      <c r="AB66" s="516"/>
      <c r="AC66" s="516" t="s">
        <v>793</v>
      </c>
      <c r="AD66" s="516" t="s">
        <v>794</v>
      </c>
      <c r="AE66" s="534" t="s">
        <v>809</v>
      </c>
      <c r="AF66" s="534" t="s">
        <v>236</v>
      </c>
      <c r="AG66" s="534" t="s">
        <v>865</v>
      </c>
      <c r="AH66" s="516"/>
      <c r="AI66" s="516" t="s">
        <v>866</v>
      </c>
      <c r="AJ66" s="516"/>
      <c r="AK66" s="516"/>
      <c r="AL66" s="544"/>
      <c r="AM66" s="544"/>
    </row>
    <row r="67" spans="3:39" ht="18" customHeight="1">
      <c r="C67" s="516">
        <v>46</v>
      </c>
      <c r="D67" s="516" t="s">
        <v>1009</v>
      </c>
      <c r="E67" s="516">
        <f t="shared" si="2"/>
        <v>45</v>
      </c>
      <c r="F67" s="534" t="s">
        <v>782</v>
      </c>
      <c r="G67" s="534" t="s">
        <v>869</v>
      </c>
      <c r="H67" s="535" t="s">
        <v>784</v>
      </c>
      <c r="I67" s="535" t="s">
        <v>9</v>
      </c>
      <c r="J67" s="535" t="s">
        <v>784</v>
      </c>
      <c r="K67" s="535" t="s">
        <v>1009</v>
      </c>
      <c r="L67" s="535" t="s">
        <v>1010</v>
      </c>
      <c r="M67" s="536" t="s">
        <v>786</v>
      </c>
      <c r="N67" s="537"/>
      <c r="O67" s="537"/>
      <c r="P67" s="550" t="s">
        <v>1011</v>
      </c>
      <c r="Q67" s="539"/>
      <c r="R67" s="516" t="s">
        <v>49</v>
      </c>
      <c r="S67" s="516" t="s">
        <v>49</v>
      </c>
      <c r="T67" s="516"/>
      <c r="U67" s="516" t="s">
        <v>874</v>
      </c>
      <c r="V67" s="548" t="s">
        <v>54</v>
      </c>
      <c r="W67" s="541" t="s">
        <v>1012</v>
      </c>
      <c r="X67" s="516" t="s">
        <v>876</v>
      </c>
      <c r="Y67" s="542">
        <v>29276</v>
      </c>
      <c r="Z67" s="543">
        <f t="shared" ca="1" si="3"/>
        <v>45</v>
      </c>
      <c r="AA67" s="534" t="s">
        <v>1013</v>
      </c>
      <c r="AB67" s="516"/>
      <c r="AC67" s="516" t="s">
        <v>802</v>
      </c>
      <c r="AD67" s="516" t="s">
        <v>794</v>
      </c>
      <c r="AE67" s="534" t="s">
        <v>795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3:39" ht="18" customHeight="1">
      <c r="C68" s="516">
        <v>47</v>
      </c>
      <c r="D68" s="516" t="s">
        <v>1010</v>
      </c>
      <c r="E68" s="516">
        <f t="shared" si="2"/>
        <v>46</v>
      </c>
      <c r="F68" s="534" t="s">
        <v>782</v>
      </c>
      <c r="G68" s="534" t="s">
        <v>869</v>
      </c>
      <c r="H68" s="535" t="s">
        <v>784</v>
      </c>
      <c r="I68" s="535" t="s">
        <v>9</v>
      </c>
      <c r="J68" s="535" t="s">
        <v>784</v>
      </c>
      <c r="K68" s="535" t="s">
        <v>1009</v>
      </c>
      <c r="L68" s="535" t="s">
        <v>1010</v>
      </c>
      <c r="M68" s="536" t="s">
        <v>786</v>
      </c>
      <c r="N68" s="537"/>
      <c r="O68" s="537"/>
      <c r="P68" s="538" t="s">
        <v>1011</v>
      </c>
      <c r="Q68" s="539"/>
      <c r="R68" s="516" t="s">
        <v>62</v>
      </c>
      <c r="S68" s="516" t="s">
        <v>62</v>
      </c>
      <c r="T68" s="516"/>
      <c r="U68" s="516" t="s">
        <v>874</v>
      </c>
      <c r="V68" s="538" t="s">
        <v>22</v>
      </c>
      <c r="W68" s="541" t="s">
        <v>1014</v>
      </c>
      <c r="X68" s="516" t="s">
        <v>876</v>
      </c>
      <c r="Y68" s="542">
        <v>30920</v>
      </c>
      <c r="Z68" s="543">
        <f t="shared" ca="1" si="3"/>
        <v>41</v>
      </c>
      <c r="AA68" s="534" t="s">
        <v>1015</v>
      </c>
      <c r="AB68" s="516" t="s">
        <v>1016</v>
      </c>
      <c r="AC68" s="516" t="s">
        <v>802</v>
      </c>
      <c r="AD68" s="516" t="s">
        <v>794</v>
      </c>
      <c r="AE68" s="534" t="s">
        <v>795</v>
      </c>
      <c r="AF68" s="534" t="s">
        <v>795</v>
      </c>
      <c r="AG68" s="534" t="s">
        <v>804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48</v>
      </c>
      <c r="D69" s="516" t="s">
        <v>1017</v>
      </c>
      <c r="E69" s="516">
        <f t="shared" si="2"/>
        <v>47</v>
      </c>
      <c r="F69" s="534" t="s">
        <v>782</v>
      </c>
      <c r="G69" s="534" t="s">
        <v>869</v>
      </c>
      <c r="H69" s="535" t="s">
        <v>784</v>
      </c>
      <c r="I69" s="535" t="s">
        <v>9</v>
      </c>
      <c r="J69" s="535" t="s">
        <v>784</v>
      </c>
      <c r="K69" s="535" t="s">
        <v>1009</v>
      </c>
      <c r="L69" s="535" t="s">
        <v>1010</v>
      </c>
      <c r="M69" s="536" t="s">
        <v>786</v>
      </c>
      <c r="N69" s="537"/>
      <c r="O69" s="537"/>
      <c r="P69" s="538" t="s">
        <v>1011</v>
      </c>
      <c r="Q69" s="539"/>
      <c r="R69" s="516" t="s">
        <v>1018</v>
      </c>
      <c r="S69" s="516" t="s">
        <v>1019</v>
      </c>
      <c r="T69" s="516"/>
      <c r="U69" s="516" t="s">
        <v>874</v>
      </c>
      <c r="V69" s="538" t="s">
        <v>77</v>
      </c>
      <c r="W69" s="541" t="s">
        <v>1020</v>
      </c>
      <c r="X69" s="516" t="s">
        <v>876</v>
      </c>
      <c r="Y69" s="542">
        <v>31700</v>
      </c>
      <c r="Z69" s="543">
        <f t="shared" ca="1" si="3"/>
        <v>39</v>
      </c>
      <c r="AA69" s="534" t="s">
        <v>1021</v>
      </c>
      <c r="AB69" s="516" t="s">
        <v>1022</v>
      </c>
      <c r="AC69" s="516" t="s">
        <v>802</v>
      </c>
      <c r="AD69" s="516" t="s">
        <v>794</v>
      </c>
      <c r="AE69" s="534" t="s">
        <v>809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3:39" ht="18" customHeight="1">
      <c r="C70" s="516">
        <v>49</v>
      </c>
      <c r="D70" s="516" t="s">
        <v>1023</v>
      </c>
      <c r="E70" s="516">
        <f t="shared" si="2"/>
        <v>48</v>
      </c>
      <c r="F70" s="534" t="s">
        <v>782</v>
      </c>
      <c r="G70" s="534" t="s">
        <v>869</v>
      </c>
      <c r="H70" s="535" t="s">
        <v>784</v>
      </c>
      <c r="I70" s="535" t="s">
        <v>9</v>
      </c>
      <c r="J70" s="535" t="s">
        <v>784</v>
      </c>
      <c r="K70" s="535" t="s">
        <v>1009</v>
      </c>
      <c r="L70" s="535" t="s">
        <v>1010</v>
      </c>
      <c r="M70" s="536" t="s">
        <v>786</v>
      </c>
      <c r="N70" s="537"/>
      <c r="O70" s="537"/>
      <c r="P70" s="538" t="s">
        <v>1011</v>
      </c>
      <c r="Q70" s="539"/>
      <c r="R70" s="516" t="s">
        <v>1018</v>
      </c>
      <c r="S70" s="516" t="s">
        <v>18</v>
      </c>
      <c r="T70" s="516"/>
      <c r="U70" s="516" t="s">
        <v>874</v>
      </c>
      <c r="V70" s="538" t="s">
        <v>19</v>
      </c>
      <c r="W70" s="541"/>
      <c r="X70" s="516" t="s">
        <v>876</v>
      </c>
      <c r="Y70" s="542">
        <v>30683</v>
      </c>
      <c r="Z70" s="543">
        <f t="shared" ca="1" si="3"/>
        <v>42</v>
      </c>
      <c r="AA70" s="534" t="s">
        <v>1025</v>
      </c>
      <c r="AB70" s="516" t="s">
        <v>1026</v>
      </c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50</v>
      </c>
      <c r="D71" s="516" t="s">
        <v>1027</v>
      </c>
      <c r="E71" s="516">
        <f t="shared" si="2"/>
        <v>49</v>
      </c>
      <c r="F71" s="534" t="s">
        <v>782</v>
      </c>
      <c r="G71" s="534" t="s">
        <v>869</v>
      </c>
      <c r="H71" s="535" t="s">
        <v>784</v>
      </c>
      <c r="I71" s="535" t="s">
        <v>9</v>
      </c>
      <c r="J71" s="535" t="s">
        <v>784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16</v>
      </c>
      <c r="S71" s="516" t="s">
        <v>16</v>
      </c>
      <c r="T71" s="516" t="s">
        <v>1028</v>
      </c>
      <c r="U71" s="516" t="s">
        <v>874</v>
      </c>
      <c r="V71" s="538" t="s">
        <v>12</v>
      </c>
      <c r="W71" s="541"/>
      <c r="X71" s="516" t="s">
        <v>876</v>
      </c>
      <c r="Y71" s="542">
        <v>29107</v>
      </c>
      <c r="Z71" s="543">
        <f t="shared" ca="1" si="3"/>
        <v>46</v>
      </c>
      <c r="AA71" s="534" t="s">
        <v>1030</v>
      </c>
      <c r="AB71" s="516" t="s">
        <v>801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796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51</v>
      </c>
      <c r="D72" s="516" t="s">
        <v>1031</v>
      </c>
      <c r="E72" s="516">
        <f t="shared" si="2"/>
        <v>50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16</v>
      </c>
      <c r="S72" s="516" t="s">
        <v>16</v>
      </c>
      <c r="T72" s="516" t="s">
        <v>1028</v>
      </c>
      <c r="U72" s="516" t="s">
        <v>874</v>
      </c>
      <c r="V72" s="538" t="s">
        <v>15</v>
      </c>
      <c r="W72" s="541"/>
      <c r="X72" s="516" t="s">
        <v>876</v>
      </c>
      <c r="Y72" s="542">
        <v>29445</v>
      </c>
      <c r="Z72" s="543">
        <f t="shared" ca="1" si="3"/>
        <v>45</v>
      </c>
      <c r="AA72" s="534" t="s">
        <v>1033</v>
      </c>
      <c r="AB72" s="516" t="s">
        <v>1034</v>
      </c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52</v>
      </c>
      <c r="D73" s="516" t="s">
        <v>1035</v>
      </c>
      <c r="E73" s="516">
        <f t="shared" si="2"/>
        <v>51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/>
      <c r="S73" s="516"/>
      <c r="T73" s="516" t="s">
        <v>1036</v>
      </c>
      <c r="U73" s="516" t="s">
        <v>874</v>
      </c>
      <c r="V73" s="550" t="s">
        <v>113</v>
      </c>
      <c r="W73" s="541"/>
      <c r="X73" s="516" t="s">
        <v>876</v>
      </c>
      <c r="Y73" s="542">
        <v>29529</v>
      </c>
      <c r="Z73" s="543">
        <f t="shared" ca="1" si="3"/>
        <v>45</v>
      </c>
      <c r="AA73" s="534" t="s">
        <v>1038</v>
      </c>
      <c r="AB73" s="516"/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796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53</v>
      </c>
      <c r="D74" s="516" t="s">
        <v>1040</v>
      </c>
      <c r="E74" s="516">
        <f t="shared" si="2"/>
        <v>52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1040</v>
      </c>
      <c r="M74" s="536" t="s">
        <v>786</v>
      </c>
      <c r="N74" s="537"/>
      <c r="O74" s="537"/>
      <c r="P74" s="548" t="s">
        <v>2864</v>
      </c>
      <c r="Q74" s="539"/>
      <c r="R74" s="516" t="s">
        <v>62</v>
      </c>
      <c r="S74" s="516" t="s">
        <v>62</v>
      </c>
      <c r="T74" s="516" t="s">
        <v>1042</v>
      </c>
      <c r="U74" s="516" t="s">
        <v>874</v>
      </c>
      <c r="V74" s="548" t="s">
        <v>65</v>
      </c>
      <c r="W74" s="541"/>
      <c r="X74" s="516" t="s">
        <v>876</v>
      </c>
      <c r="Y74" s="542">
        <v>27958</v>
      </c>
      <c r="Z74" s="543">
        <f t="shared" ca="1" si="3"/>
        <v>49</v>
      </c>
      <c r="AA74" s="534" t="s">
        <v>1044</v>
      </c>
      <c r="AB74" s="516" t="s">
        <v>1045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804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54</v>
      </c>
      <c r="D75" s="516" t="s">
        <v>1046</v>
      </c>
      <c r="E75" s="516">
        <f t="shared" si="2"/>
        <v>53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1040</v>
      </c>
      <c r="M75" s="536" t="s">
        <v>786</v>
      </c>
      <c r="N75" s="537"/>
      <c r="O75" s="537"/>
      <c r="P75" s="538" t="s">
        <v>2864</v>
      </c>
      <c r="Q75" s="539"/>
      <c r="R75" s="516"/>
      <c r="S75" s="516"/>
      <c r="T75" s="516" t="s">
        <v>1047</v>
      </c>
      <c r="U75" s="516" t="s">
        <v>874</v>
      </c>
      <c r="V75" s="538" t="s">
        <v>78</v>
      </c>
      <c r="W75" s="541"/>
      <c r="X75" s="516" t="s">
        <v>876</v>
      </c>
      <c r="Y75" s="542">
        <v>30623</v>
      </c>
      <c r="Z75" s="543">
        <f t="shared" ca="1" si="3"/>
        <v>42</v>
      </c>
      <c r="AA75" s="534" t="s">
        <v>1049</v>
      </c>
      <c r="AB75" s="516" t="s">
        <v>1050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55</v>
      </c>
      <c r="D76" s="516" t="s">
        <v>1051</v>
      </c>
      <c r="E76" s="516">
        <f t="shared" si="2"/>
        <v>54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1040</v>
      </c>
      <c r="M76" s="536" t="s">
        <v>786</v>
      </c>
      <c r="N76" s="537"/>
      <c r="O76" s="537"/>
      <c r="P76" s="538" t="s">
        <v>2864</v>
      </c>
      <c r="Q76" s="539"/>
      <c r="R76" s="516"/>
      <c r="S76" s="516"/>
      <c r="T76" s="516"/>
      <c r="U76" s="516" t="s">
        <v>898</v>
      </c>
      <c r="V76" s="538" t="s">
        <v>88</v>
      </c>
      <c r="W76" s="541"/>
      <c r="X76" s="516" t="s">
        <v>876</v>
      </c>
      <c r="Y76" s="542">
        <v>19533</v>
      </c>
      <c r="Z76" s="543">
        <f t="shared" ca="1" si="3"/>
        <v>72</v>
      </c>
      <c r="AA76" s="534" t="s">
        <v>1053</v>
      </c>
      <c r="AB76" s="516" t="s">
        <v>1054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804</v>
      </c>
      <c r="AH76" s="516"/>
      <c r="AI76" s="516"/>
      <c r="AJ76" s="516"/>
      <c r="AK76" s="516"/>
      <c r="AL76" s="544"/>
      <c r="AM76" s="544"/>
    </row>
    <row r="77" spans="3:39" ht="18" customHeight="1">
      <c r="C77" s="516">
        <v>56</v>
      </c>
      <c r="D77" s="516" t="s">
        <v>1055</v>
      </c>
      <c r="E77" s="516">
        <f t="shared" si="2"/>
        <v>55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1040</v>
      </c>
      <c r="M77" s="536" t="s">
        <v>786</v>
      </c>
      <c r="N77" s="537"/>
      <c r="O77" s="537"/>
      <c r="P77" s="538" t="s">
        <v>2864</v>
      </c>
      <c r="Q77" s="539"/>
      <c r="R77" s="516"/>
      <c r="S77" s="516"/>
      <c r="T77" s="516"/>
      <c r="U77" s="516" t="s">
        <v>874</v>
      </c>
      <c r="V77" s="538" t="s">
        <v>98</v>
      </c>
      <c r="W77" s="541"/>
      <c r="X77" s="516" t="s">
        <v>876</v>
      </c>
      <c r="Y77" s="542">
        <v>26302</v>
      </c>
      <c r="Z77" s="543">
        <f t="shared" ca="1" si="3"/>
        <v>54</v>
      </c>
      <c r="AA77" s="534" t="s">
        <v>1057</v>
      </c>
      <c r="AB77" s="516" t="s">
        <v>1058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57</v>
      </c>
      <c r="D78" s="516" t="s">
        <v>1059</v>
      </c>
      <c r="E78" s="516">
        <f t="shared" si="2"/>
        <v>56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38" t="s">
        <v>2864</v>
      </c>
      <c r="Q78" s="539"/>
      <c r="R78" s="516"/>
      <c r="S78" s="516"/>
      <c r="T78" s="516"/>
      <c r="U78" s="516" t="s">
        <v>874</v>
      </c>
      <c r="V78" s="538" t="s">
        <v>106</v>
      </c>
      <c r="W78" s="541"/>
      <c r="X78" s="516" t="s">
        <v>876</v>
      </c>
      <c r="Y78" s="542">
        <v>29493</v>
      </c>
      <c r="Z78" s="543">
        <f t="shared" ca="1" si="3"/>
        <v>45</v>
      </c>
      <c r="AA78" s="534" t="s">
        <v>1061</v>
      </c>
      <c r="AB78" s="516" t="s">
        <v>1062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58</v>
      </c>
      <c r="D79" s="516" t="s">
        <v>1063</v>
      </c>
      <c r="E79" s="516">
        <f t="shared" si="2"/>
        <v>57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/>
      <c r="U79" s="516" t="s">
        <v>874</v>
      </c>
      <c r="V79" s="538" t="s">
        <v>114</v>
      </c>
      <c r="W79" s="541"/>
      <c r="X79" s="516" t="s">
        <v>876</v>
      </c>
      <c r="Y79" s="542">
        <v>28181</v>
      </c>
      <c r="Z79" s="543">
        <f t="shared" ca="1" si="3"/>
        <v>48</v>
      </c>
      <c r="AA79" s="534" t="s">
        <v>1065</v>
      </c>
      <c r="AB79" s="516" t="s">
        <v>1066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59</v>
      </c>
      <c r="D80" s="516" t="s">
        <v>1067</v>
      </c>
      <c r="E80" s="516">
        <f t="shared" si="2"/>
        <v>58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874</v>
      </c>
      <c r="V80" s="538" t="s">
        <v>119</v>
      </c>
      <c r="W80" s="541"/>
      <c r="X80" s="516" t="s">
        <v>876</v>
      </c>
      <c r="Y80" s="542">
        <v>30002</v>
      </c>
      <c r="Z80" s="543">
        <f t="shared" ca="1" si="3"/>
        <v>43</v>
      </c>
      <c r="AA80" s="534" t="s">
        <v>1069</v>
      </c>
      <c r="AB80" s="516" t="s">
        <v>1070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1:39" ht="18" customHeight="1">
      <c r="C81" s="516">
        <v>60</v>
      </c>
      <c r="D81" s="516" t="s">
        <v>1071</v>
      </c>
      <c r="E81" s="516">
        <f t="shared" si="2"/>
        <v>59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50" t="s">
        <v>123</v>
      </c>
      <c r="W81" s="541"/>
      <c r="X81" s="516" t="s">
        <v>876</v>
      </c>
      <c r="Y81" s="542">
        <v>30562</v>
      </c>
      <c r="Z81" s="543">
        <f t="shared" ca="1" si="3"/>
        <v>42</v>
      </c>
      <c r="AA81" s="534" t="s">
        <v>1073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/>
      <c r="AH81" s="516"/>
      <c r="AI81" s="516"/>
      <c r="AJ81" s="516"/>
      <c r="AK81" s="516"/>
      <c r="AL81" s="544"/>
      <c r="AM81" s="544"/>
    </row>
    <row r="82" spans="1:39" ht="18" customHeight="1">
      <c r="C82" s="516">
        <v>61</v>
      </c>
      <c r="D82" s="516" t="s">
        <v>1074</v>
      </c>
      <c r="E82" s="516">
        <f t="shared" si="2"/>
        <v>60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1074</v>
      </c>
      <c r="L82" s="535" t="s">
        <v>1076</v>
      </c>
      <c r="M82" s="536" t="s">
        <v>786</v>
      </c>
      <c r="N82" s="537"/>
      <c r="O82" s="537"/>
      <c r="P82" s="548" t="s">
        <v>1077</v>
      </c>
      <c r="Q82" s="539"/>
      <c r="R82" s="516" t="s">
        <v>49</v>
      </c>
      <c r="S82" s="516" t="s">
        <v>49</v>
      </c>
      <c r="T82" s="516"/>
      <c r="U82" s="516" t="s">
        <v>874</v>
      </c>
      <c r="V82" s="548" t="s">
        <v>55</v>
      </c>
      <c r="W82" s="541" t="s">
        <v>1078</v>
      </c>
      <c r="X82" s="516" t="s">
        <v>876</v>
      </c>
      <c r="Y82" s="542">
        <v>20944</v>
      </c>
      <c r="Z82" s="543">
        <f t="shared" ca="1" si="3"/>
        <v>68</v>
      </c>
      <c r="AA82" s="534" t="s">
        <v>1079</v>
      </c>
      <c r="AB82" s="516" t="s">
        <v>1080</v>
      </c>
      <c r="AC82" s="516" t="s">
        <v>802</v>
      </c>
      <c r="AD82" s="516" t="s">
        <v>794</v>
      </c>
      <c r="AE82" s="534" t="s">
        <v>809</v>
      </c>
      <c r="AF82" s="534" t="s">
        <v>795</v>
      </c>
      <c r="AG82" s="534" t="s">
        <v>796</v>
      </c>
      <c r="AH82" s="516"/>
      <c r="AI82" s="516"/>
      <c r="AJ82" s="516"/>
      <c r="AK82" s="516"/>
      <c r="AL82" s="544"/>
      <c r="AM82" s="544"/>
    </row>
    <row r="83" spans="1:39" ht="18" customHeight="1">
      <c r="C83" s="516">
        <v>62</v>
      </c>
      <c r="D83" s="516" t="s">
        <v>1076</v>
      </c>
      <c r="E83" s="516">
        <f t="shared" si="2"/>
        <v>61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1074</v>
      </c>
      <c r="L83" s="535" t="s">
        <v>1076</v>
      </c>
      <c r="M83" s="536" t="s">
        <v>786</v>
      </c>
      <c r="N83" s="537"/>
      <c r="O83" s="537"/>
      <c r="P83" s="538" t="s">
        <v>1077</v>
      </c>
      <c r="Q83" s="539" t="s">
        <v>308</v>
      </c>
      <c r="R83" s="516" t="s">
        <v>62</v>
      </c>
      <c r="S83" s="516" t="s">
        <v>62</v>
      </c>
      <c r="T83" s="516"/>
      <c r="U83" s="516" t="s">
        <v>874</v>
      </c>
      <c r="V83" s="538" t="s">
        <v>66</v>
      </c>
      <c r="W83" s="541" t="s">
        <v>1081</v>
      </c>
      <c r="X83" s="516" t="s">
        <v>876</v>
      </c>
      <c r="Y83" s="542">
        <v>23254</v>
      </c>
      <c r="Z83" s="543">
        <f t="shared" ca="1" si="3"/>
        <v>62</v>
      </c>
      <c r="AA83" s="534" t="s">
        <v>1082</v>
      </c>
      <c r="AB83" s="516"/>
      <c r="AC83" s="516" t="s">
        <v>842</v>
      </c>
      <c r="AD83" s="516" t="s">
        <v>851</v>
      </c>
      <c r="AE83" s="534" t="s">
        <v>809</v>
      </c>
      <c r="AF83" s="534" t="s">
        <v>795</v>
      </c>
      <c r="AG83" s="534"/>
      <c r="AH83" s="516"/>
      <c r="AI83" s="516"/>
      <c r="AJ83" s="565" t="s">
        <v>853</v>
      </c>
      <c r="AK83" s="516" t="s">
        <v>1083</v>
      </c>
      <c r="AL83" s="544"/>
      <c r="AM83" s="544"/>
    </row>
    <row r="84" spans="1:39" ht="18" customHeight="1">
      <c r="C84" s="516">
        <v>63</v>
      </c>
      <c r="D84" s="516" t="s">
        <v>1084</v>
      </c>
      <c r="E84" s="516">
        <f t="shared" si="2"/>
        <v>62</v>
      </c>
      <c r="F84" s="534" t="s">
        <v>811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38" t="s">
        <v>1077</v>
      </c>
      <c r="Q84" s="539" t="s">
        <v>308</v>
      </c>
      <c r="R84" s="516"/>
      <c r="S84" s="516"/>
      <c r="T84" s="516"/>
      <c r="U84" s="516" t="s">
        <v>874</v>
      </c>
      <c r="V84" s="538" t="s">
        <v>79</v>
      </c>
      <c r="W84" s="541" t="s">
        <v>1085</v>
      </c>
      <c r="X84" s="516" t="s">
        <v>876</v>
      </c>
      <c r="Y84" s="542">
        <v>22122</v>
      </c>
      <c r="Z84" s="543">
        <f t="shared" ca="1" si="3"/>
        <v>65</v>
      </c>
      <c r="AA84" s="534" t="s">
        <v>1086</v>
      </c>
      <c r="AB84" s="516"/>
      <c r="AC84" s="516" t="s">
        <v>842</v>
      </c>
      <c r="AD84" s="516" t="s">
        <v>851</v>
      </c>
      <c r="AE84" s="534" t="s">
        <v>713</v>
      </c>
      <c r="AF84" s="566" t="s">
        <v>713</v>
      </c>
      <c r="AG84" s="534" t="s">
        <v>741</v>
      </c>
      <c r="AH84" s="516"/>
      <c r="AI84" s="516"/>
      <c r="AJ84" s="565" t="s">
        <v>1087</v>
      </c>
      <c r="AK84" s="516"/>
      <c r="AL84" s="544"/>
      <c r="AM84" s="544"/>
    </row>
    <row r="85" spans="1:39" ht="18" customHeight="1">
      <c r="C85" s="516">
        <v>64</v>
      </c>
      <c r="D85" s="516" t="s">
        <v>1088</v>
      </c>
      <c r="E85" s="516">
        <f t="shared" si="2"/>
        <v>63</v>
      </c>
      <c r="F85" s="534" t="s">
        <v>811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/>
      <c r="S85" s="516"/>
      <c r="T85" s="516"/>
      <c r="U85" s="516" t="s">
        <v>874</v>
      </c>
      <c r="V85" s="538" t="s">
        <v>89</v>
      </c>
      <c r="W85" s="541" t="s">
        <v>1089</v>
      </c>
      <c r="X85" s="516" t="s">
        <v>876</v>
      </c>
      <c r="Y85" s="542">
        <v>23214</v>
      </c>
      <c r="Z85" s="543">
        <f t="shared" ca="1" si="3"/>
        <v>62</v>
      </c>
      <c r="AA85" s="534" t="s">
        <v>1090</v>
      </c>
      <c r="AB85" s="516"/>
      <c r="AC85" s="516" t="s">
        <v>842</v>
      </c>
      <c r="AD85" s="516" t="s">
        <v>851</v>
      </c>
      <c r="AE85" s="534" t="s">
        <v>713</v>
      </c>
      <c r="AF85" s="566" t="s">
        <v>713</v>
      </c>
      <c r="AG85" s="534" t="s">
        <v>741</v>
      </c>
      <c r="AH85" s="516"/>
      <c r="AI85" s="516"/>
      <c r="AJ85" s="565" t="s">
        <v>1087</v>
      </c>
      <c r="AK85" s="516"/>
      <c r="AL85" s="544"/>
      <c r="AM85" s="544"/>
    </row>
    <row r="86" spans="1:39" ht="18" customHeight="1">
      <c r="C86" s="516">
        <v>65</v>
      </c>
      <c r="D86" s="516" t="s">
        <v>1091</v>
      </c>
      <c r="E86" s="516">
        <f t="shared" si="2"/>
        <v>64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59" t="s">
        <v>1077</v>
      </c>
      <c r="Q86" s="539" t="s">
        <v>308</v>
      </c>
      <c r="R86" s="516"/>
      <c r="S86" s="516"/>
      <c r="T86" s="516"/>
      <c r="U86" s="516" t="s">
        <v>874</v>
      </c>
      <c r="V86" s="559" t="s">
        <v>99</v>
      </c>
      <c r="W86" s="541" t="s">
        <v>1092</v>
      </c>
      <c r="X86" s="516" t="s">
        <v>876</v>
      </c>
      <c r="Y86" s="542">
        <v>24232</v>
      </c>
      <c r="Z86" s="543">
        <f t="shared" ca="1" si="3"/>
        <v>59</v>
      </c>
      <c r="AA86" s="534" t="s">
        <v>1093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1094</v>
      </c>
      <c r="AH86" s="516"/>
      <c r="AI86" s="516"/>
      <c r="AJ86" s="565" t="s">
        <v>1087</v>
      </c>
      <c r="AK86" s="516"/>
      <c r="AL86" s="544"/>
      <c r="AM86" s="544"/>
    </row>
    <row r="87" spans="1:39" ht="18" customHeight="1">
      <c r="C87" s="516">
        <v>66</v>
      </c>
      <c r="D87" s="516" t="s">
        <v>784</v>
      </c>
      <c r="E87" s="516">
        <f t="shared" si="2"/>
        <v>65</v>
      </c>
      <c r="F87" s="534" t="s">
        <v>782</v>
      </c>
      <c r="G87" s="534" t="s">
        <v>783</v>
      </c>
      <c r="H87" s="535" t="s">
        <v>784</v>
      </c>
      <c r="I87" s="535" t="s">
        <v>9</v>
      </c>
      <c r="J87" s="535" t="s">
        <v>784</v>
      </c>
      <c r="K87" s="535" t="s">
        <v>784</v>
      </c>
      <c r="L87" s="536" t="s">
        <v>786</v>
      </c>
      <c r="M87" s="536" t="s">
        <v>786</v>
      </c>
      <c r="N87" s="537"/>
      <c r="O87" s="537"/>
      <c r="P87" s="548" t="s">
        <v>787</v>
      </c>
      <c r="Q87" s="539"/>
      <c r="R87" s="516" t="s">
        <v>871</v>
      </c>
      <c r="S87" s="516" t="s">
        <v>10</v>
      </c>
      <c r="T87" s="516" t="s">
        <v>49</v>
      </c>
      <c r="U87" s="516" t="s">
        <v>788</v>
      </c>
      <c r="V87" s="548" t="s">
        <v>9</v>
      </c>
      <c r="W87" s="541" t="s">
        <v>1095</v>
      </c>
      <c r="X87" s="516" t="s">
        <v>876</v>
      </c>
      <c r="Y87" s="542">
        <v>31799</v>
      </c>
      <c r="Z87" s="543">
        <f t="shared" ca="1" si="3"/>
        <v>39</v>
      </c>
      <c r="AA87" s="534" t="s">
        <v>1096</v>
      </c>
      <c r="AB87" s="516" t="s">
        <v>1097</v>
      </c>
      <c r="AC87" s="516" t="s">
        <v>793</v>
      </c>
      <c r="AD87" s="516" t="s">
        <v>794</v>
      </c>
      <c r="AE87" s="534" t="s">
        <v>795</v>
      </c>
      <c r="AF87" s="534" t="s">
        <v>795</v>
      </c>
      <c r="AG87" s="534" t="s">
        <v>796</v>
      </c>
      <c r="AH87" s="516"/>
      <c r="AI87" s="516"/>
      <c r="AJ87" s="516"/>
      <c r="AK87" s="516"/>
      <c r="AL87" s="544"/>
      <c r="AM87" s="544"/>
    </row>
    <row r="88" spans="1:39" ht="18" customHeight="1">
      <c r="C88" s="516">
        <v>67</v>
      </c>
      <c r="D88" s="516" t="s">
        <v>1098</v>
      </c>
      <c r="E88" s="516">
        <f t="shared" si="2"/>
        <v>66</v>
      </c>
      <c r="F88" s="534" t="s">
        <v>782</v>
      </c>
      <c r="G88" s="534" t="s">
        <v>783</v>
      </c>
      <c r="H88" s="535" t="s">
        <v>784</v>
      </c>
      <c r="I88" s="535" t="s">
        <v>9</v>
      </c>
      <c r="J88" s="535" t="s">
        <v>784</v>
      </c>
      <c r="K88" s="535" t="s">
        <v>784</v>
      </c>
      <c r="L88" s="536" t="s">
        <v>786</v>
      </c>
      <c r="M88" s="536" t="s">
        <v>786</v>
      </c>
      <c r="N88" s="537"/>
      <c r="O88" s="537"/>
      <c r="P88" s="538" t="s">
        <v>787</v>
      </c>
      <c r="Q88" s="539"/>
      <c r="R88" s="516"/>
      <c r="S88" s="516"/>
      <c r="T88" s="516"/>
      <c r="U88" s="516" t="s">
        <v>788</v>
      </c>
      <c r="V88" s="538" t="s">
        <v>67</v>
      </c>
      <c r="W88" s="541" t="s">
        <v>1099</v>
      </c>
      <c r="X88" s="516" t="s">
        <v>876</v>
      </c>
      <c r="Y88" s="542">
        <v>33947</v>
      </c>
      <c r="Z88" s="543">
        <f t="shared" ca="1" si="3"/>
        <v>33</v>
      </c>
      <c r="AA88" s="534" t="s">
        <v>1100</v>
      </c>
      <c r="AB88" s="516" t="s">
        <v>1101</v>
      </c>
      <c r="AC88" s="516" t="s">
        <v>793</v>
      </c>
      <c r="AD88" s="516" t="s">
        <v>794</v>
      </c>
      <c r="AE88" s="534" t="s">
        <v>809</v>
      </c>
      <c r="AF88" s="534" t="s">
        <v>795</v>
      </c>
      <c r="AG88" s="534" t="s">
        <v>804</v>
      </c>
      <c r="AH88" s="516"/>
      <c r="AI88" s="516"/>
      <c r="AJ88" s="516"/>
      <c r="AK88" s="516"/>
      <c r="AL88" s="544"/>
      <c r="AM88" s="544"/>
    </row>
    <row r="89" spans="1:39" ht="18" customHeight="1">
      <c r="C89" s="516">
        <v>68</v>
      </c>
      <c r="D89" s="516" t="s">
        <v>1102</v>
      </c>
      <c r="E89" s="516">
        <f t="shared" si="2"/>
        <v>67</v>
      </c>
      <c r="F89" s="534" t="s">
        <v>782</v>
      </c>
      <c r="G89" s="534" t="s">
        <v>783</v>
      </c>
      <c r="H89" s="535" t="s">
        <v>784</v>
      </c>
      <c r="I89" s="535" t="s">
        <v>9</v>
      </c>
      <c r="J89" s="535" t="s">
        <v>784</v>
      </c>
      <c r="K89" s="535" t="s">
        <v>784</v>
      </c>
      <c r="L89" s="536" t="s">
        <v>786</v>
      </c>
      <c r="M89" s="536" t="s">
        <v>786</v>
      </c>
      <c r="N89" s="537"/>
      <c r="O89" s="537"/>
      <c r="P89" s="538" t="s">
        <v>787</v>
      </c>
      <c r="Q89" s="539"/>
      <c r="R89" s="516"/>
      <c r="S89" s="516"/>
      <c r="T89" s="516"/>
      <c r="U89" s="516" t="s">
        <v>788</v>
      </c>
      <c r="V89" s="538" t="s">
        <v>90</v>
      </c>
      <c r="W89" s="541" t="s">
        <v>1103</v>
      </c>
      <c r="X89" s="516" t="s">
        <v>876</v>
      </c>
      <c r="Y89" s="542">
        <v>33488</v>
      </c>
      <c r="Z89" s="543">
        <f t="shared" ca="1" si="3"/>
        <v>34</v>
      </c>
      <c r="AA89" s="534" t="s">
        <v>1104</v>
      </c>
      <c r="AB89" s="516" t="s">
        <v>1105</v>
      </c>
      <c r="AC89" s="516" t="s">
        <v>793</v>
      </c>
      <c r="AD89" s="516" t="s">
        <v>794</v>
      </c>
      <c r="AE89" s="534" t="s">
        <v>809</v>
      </c>
      <c r="AF89" s="534" t="s">
        <v>795</v>
      </c>
      <c r="AG89" s="534" t="s">
        <v>804</v>
      </c>
      <c r="AH89" s="516"/>
      <c r="AI89" s="516"/>
      <c r="AJ89" s="516"/>
      <c r="AK89" s="516"/>
      <c r="AL89" s="544"/>
      <c r="AM89" s="544"/>
    </row>
    <row r="90" spans="1:39" ht="18" customHeight="1">
      <c r="C90" s="516">
        <v>69</v>
      </c>
      <c r="D90" s="516" t="s">
        <v>1106</v>
      </c>
      <c r="E90" s="516">
        <f t="shared" si="2"/>
        <v>68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38" t="s">
        <v>787</v>
      </c>
      <c r="Q90" s="539"/>
      <c r="R90" s="516" t="s">
        <v>163</v>
      </c>
      <c r="S90" s="516" t="s">
        <v>500</v>
      </c>
      <c r="T90" s="516"/>
      <c r="U90" s="516" t="s">
        <v>788</v>
      </c>
      <c r="V90" s="538" t="s">
        <v>80</v>
      </c>
      <c r="W90" s="541" t="s">
        <v>1107</v>
      </c>
      <c r="X90" s="516" t="s">
        <v>876</v>
      </c>
      <c r="Y90" s="542">
        <v>34403</v>
      </c>
      <c r="Z90" s="543">
        <f t="shared" ca="1" si="3"/>
        <v>31</v>
      </c>
      <c r="AA90" s="534" t="s">
        <v>1108</v>
      </c>
      <c r="AB90" s="516" t="s">
        <v>1109</v>
      </c>
      <c r="AC90" s="516" t="s">
        <v>793</v>
      </c>
      <c r="AD90" s="516" t="s">
        <v>794</v>
      </c>
      <c r="AE90" s="534" t="s">
        <v>713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1:39" ht="18" customHeight="1">
      <c r="C91" s="516">
        <v>70</v>
      </c>
      <c r="D91" s="516" t="s">
        <v>1110</v>
      </c>
      <c r="E91" s="516">
        <f t="shared" si="2"/>
        <v>69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 t="s">
        <v>1018</v>
      </c>
      <c r="S91" s="516" t="s">
        <v>1111</v>
      </c>
      <c r="T91" s="516" t="s">
        <v>1036</v>
      </c>
      <c r="U91" s="516" t="s">
        <v>788</v>
      </c>
      <c r="V91" s="540" t="s">
        <v>34</v>
      </c>
      <c r="W91" s="541"/>
      <c r="X91" s="516" t="s">
        <v>790</v>
      </c>
      <c r="Y91" s="542">
        <v>33643</v>
      </c>
      <c r="Z91" s="543">
        <f t="shared" ca="1" si="3"/>
        <v>33</v>
      </c>
      <c r="AA91" s="534" t="s">
        <v>1038</v>
      </c>
      <c r="AB91" s="516"/>
      <c r="AC91" s="516" t="s">
        <v>793</v>
      </c>
      <c r="AD91" s="516" t="s">
        <v>794</v>
      </c>
      <c r="AE91" s="534" t="s">
        <v>795</v>
      </c>
      <c r="AF91" s="534" t="s">
        <v>795</v>
      </c>
      <c r="AG91" s="534" t="s">
        <v>796</v>
      </c>
      <c r="AH91" s="516"/>
      <c r="AI91" s="516"/>
      <c r="AJ91" s="516"/>
      <c r="AK91" s="516"/>
      <c r="AL91" s="544"/>
      <c r="AM91" s="544"/>
    </row>
    <row r="92" spans="1:39" ht="18" customHeight="1">
      <c r="A92" s="753" t="s">
        <v>1113</v>
      </c>
      <c r="B92" s="754"/>
      <c r="C92" s="516">
        <v>71</v>
      </c>
      <c r="D92" s="516" t="s">
        <v>1114</v>
      </c>
      <c r="E92" s="516">
        <f t="shared" si="2"/>
        <v>70</v>
      </c>
      <c r="F92" s="534"/>
      <c r="G92" s="534" t="s">
        <v>783</v>
      </c>
      <c r="H92" s="535" t="s">
        <v>1115</v>
      </c>
      <c r="I92" s="535" t="s">
        <v>9</v>
      </c>
      <c r="J92" s="535" t="s">
        <v>1115</v>
      </c>
      <c r="K92" s="535" t="s">
        <v>1115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40" t="s">
        <v>115</v>
      </c>
      <c r="W92" s="541"/>
      <c r="X92" s="516" t="s">
        <v>790</v>
      </c>
      <c r="Y92" s="542">
        <v>34445</v>
      </c>
      <c r="Z92" s="543">
        <f t="shared" ca="1" si="3"/>
        <v>31</v>
      </c>
      <c r="AA92" s="534"/>
      <c r="AB92" s="516" t="s">
        <v>1116</v>
      </c>
      <c r="AC92" s="516" t="s">
        <v>793</v>
      </c>
      <c r="AD92" s="516" t="s">
        <v>794</v>
      </c>
      <c r="AE92" s="534" t="s">
        <v>795</v>
      </c>
      <c r="AF92" s="534" t="s">
        <v>809</v>
      </c>
      <c r="AG92" s="534" t="s">
        <v>1117</v>
      </c>
      <c r="AH92" s="516"/>
      <c r="AI92" s="516"/>
      <c r="AJ92" s="516"/>
      <c r="AK92" s="516"/>
      <c r="AL92" s="544"/>
      <c r="AM92" s="544"/>
    </row>
    <row r="93" spans="1:39" ht="18" customHeight="1">
      <c r="C93" s="516">
        <v>72</v>
      </c>
      <c r="D93" s="516" t="s">
        <v>1118</v>
      </c>
      <c r="E93" s="516">
        <f t="shared" si="2"/>
        <v>70</v>
      </c>
      <c r="F93" s="534"/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59" t="s">
        <v>787</v>
      </c>
      <c r="Q93" s="539"/>
      <c r="R93" s="516" t="s">
        <v>49</v>
      </c>
      <c r="S93" s="516" t="s">
        <v>163</v>
      </c>
      <c r="T93" s="516" t="s">
        <v>49</v>
      </c>
      <c r="U93" s="516"/>
      <c r="V93" s="559" t="s">
        <v>28</v>
      </c>
      <c r="W93" s="541" t="s">
        <v>1119</v>
      </c>
      <c r="X93" s="516" t="s">
        <v>876</v>
      </c>
      <c r="Y93" s="542">
        <v>33065</v>
      </c>
      <c r="Z93" s="543">
        <f t="shared" ca="1" si="3"/>
        <v>35</v>
      </c>
      <c r="AA93" s="534" t="s">
        <v>1120</v>
      </c>
      <c r="AB93" s="516" t="s">
        <v>1121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 t="s">
        <v>872</v>
      </c>
      <c r="AI93" s="516"/>
      <c r="AJ93" s="516"/>
      <c r="AK93" s="516"/>
      <c r="AL93" s="544"/>
      <c r="AM93" s="544"/>
    </row>
    <row r="94" spans="1:39" ht="18" customHeight="1">
      <c r="C94" s="516">
        <v>73</v>
      </c>
      <c r="D94" s="516" t="s">
        <v>1122</v>
      </c>
      <c r="E94" s="516">
        <f t="shared" si="2"/>
        <v>71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1122</v>
      </c>
      <c r="L94" s="535" t="s">
        <v>1123</v>
      </c>
      <c r="M94" s="536" t="s">
        <v>786</v>
      </c>
      <c r="N94" s="537"/>
      <c r="O94" s="537"/>
      <c r="P94" s="548" t="s">
        <v>828</v>
      </c>
      <c r="Q94" s="539"/>
      <c r="R94" s="516" t="s">
        <v>871</v>
      </c>
      <c r="S94" s="516" t="s">
        <v>6</v>
      </c>
      <c r="T94" s="516" t="s">
        <v>49</v>
      </c>
      <c r="U94" s="516" t="s">
        <v>788</v>
      </c>
      <c r="V94" s="548" t="s">
        <v>7</v>
      </c>
      <c r="W94" s="541" t="s">
        <v>1124</v>
      </c>
      <c r="X94" s="516" t="s">
        <v>876</v>
      </c>
      <c r="Y94" s="542">
        <v>31978</v>
      </c>
      <c r="Z94" s="543">
        <f t="shared" ca="1" si="3"/>
        <v>38</v>
      </c>
      <c r="AA94" s="534" t="s">
        <v>1125</v>
      </c>
      <c r="AB94" s="516" t="s">
        <v>1126</v>
      </c>
      <c r="AC94" s="516" t="s">
        <v>793</v>
      </c>
      <c r="AD94" s="516" t="s">
        <v>794</v>
      </c>
      <c r="AE94" s="534" t="s">
        <v>795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1:39" ht="18" customHeight="1">
      <c r="C95" s="516">
        <v>74</v>
      </c>
      <c r="D95" s="516" t="s">
        <v>1123</v>
      </c>
      <c r="E95" s="516">
        <f t="shared" si="2"/>
        <v>72</v>
      </c>
      <c r="F95" s="534" t="s">
        <v>782</v>
      </c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1122</v>
      </c>
      <c r="L95" s="535" t="s">
        <v>1123</v>
      </c>
      <c r="M95" s="536" t="s">
        <v>786</v>
      </c>
      <c r="N95" s="537"/>
      <c r="O95" s="537"/>
      <c r="P95" s="538" t="s">
        <v>828</v>
      </c>
      <c r="Q95" s="539"/>
      <c r="R95" s="516" t="s">
        <v>62</v>
      </c>
      <c r="S95" s="516" t="s">
        <v>62</v>
      </c>
      <c r="T95" s="516"/>
      <c r="U95" s="516" t="s">
        <v>788</v>
      </c>
      <c r="V95" s="538" t="s">
        <v>68</v>
      </c>
      <c r="W95" s="541" t="s">
        <v>1127</v>
      </c>
      <c r="X95" s="516" t="s">
        <v>876</v>
      </c>
      <c r="Y95" s="542">
        <v>32578</v>
      </c>
      <c r="Z95" s="543">
        <f t="shared" ca="1" si="3"/>
        <v>36</v>
      </c>
      <c r="AA95" s="534" t="s">
        <v>1128</v>
      </c>
      <c r="AB95" s="516"/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/>
      <c r="AI95" s="516"/>
      <c r="AJ95" s="516"/>
      <c r="AK95" s="516"/>
      <c r="AL95" s="544"/>
      <c r="AM95" s="544"/>
    </row>
    <row r="96" spans="1:39" ht="18" customHeight="1">
      <c r="C96" s="516">
        <v>75</v>
      </c>
      <c r="D96" s="516" t="s">
        <v>1129</v>
      </c>
      <c r="E96" s="516">
        <f t="shared" si="2"/>
        <v>73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784</v>
      </c>
      <c r="L96" s="536" t="s">
        <v>786</v>
      </c>
      <c r="M96" s="536" t="s">
        <v>786</v>
      </c>
      <c r="N96" s="537"/>
      <c r="O96" s="537"/>
      <c r="P96" s="538" t="s">
        <v>787</v>
      </c>
      <c r="Q96" s="539"/>
      <c r="R96" s="516"/>
      <c r="S96" s="516"/>
      <c r="T96" s="516" t="s">
        <v>1130</v>
      </c>
      <c r="U96" s="516" t="s">
        <v>788</v>
      </c>
      <c r="V96" s="538" t="s">
        <v>81</v>
      </c>
      <c r="W96" s="541"/>
      <c r="X96" s="516" t="s">
        <v>876</v>
      </c>
      <c r="Y96" s="542">
        <v>34867</v>
      </c>
      <c r="Z96" s="543">
        <f t="shared" ca="1" si="3"/>
        <v>30</v>
      </c>
      <c r="AA96" s="534" t="s">
        <v>1132</v>
      </c>
      <c r="AB96" s="516" t="s">
        <v>1133</v>
      </c>
      <c r="AC96" s="516" t="s">
        <v>793</v>
      </c>
      <c r="AD96" s="516" t="s">
        <v>794</v>
      </c>
      <c r="AE96" s="534" t="s">
        <v>1134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76</v>
      </c>
      <c r="D97" s="516" t="s">
        <v>1135</v>
      </c>
      <c r="E97" s="516">
        <f t="shared" si="2"/>
        <v>74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1018</v>
      </c>
      <c r="S97" s="516"/>
      <c r="T97" s="516" t="s">
        <v>1036</v>
      </c>
      <c r="U97" s="516" t="s">
        <v>788</v>
      </c>
      <c r="V97" s="538" t="s">
        <v>20</v>
      </c>
      <c r="W97" s="541"/>
      <c r="X97" s="516" t="s">
        <v>790</v>
      </c>
      <c r="Y97" s="542">
        <v>33136</v>
      </c>
      <c r="Z97" s="543">
        <f t="shared" ca="1" si="3"/>
        <v>35</v>
      </c>
      <c r="AA97" s="534" t="s">
        <v>1137</v>
      </c>
      <c r="AB97" s="516" t="s">
        <v>1138</v>
      </c>
      <c r="AC97" s="516" t="s">
        <v>793</v>
      </c>
      <c r="AD97" s="516" t="s">
        <v>794</v>
      </c>
      <c r="AE97" s="534" t="s">
        <v>795</v>
      </c>
      <c r="AF97" s="534" t="s">
        <v>795</v>
      </c>
      <c r="AG97" s="534" t="s">
        <v>804</v>
      </c>
      <c r="AH97" s="516"/>
      <c r="AI97" s="516"/>
      <c r="AJ97" s="516"/>
      <c r="AK97" s="516"/>
      <c r="AL97" s="544"/>
      <c r="AM97" s="544"/>
    </row>
    <row r="98" spans="1:39" ht="18" customHeight="1">
      <c r="A98" s="755"/>
      <c r="B98" s="754"/>
      <c r="C98" s="516">
        <v>77</v>
      </c>
      <c r="D98" s="516" t="s">
        <v>1139</v>
      </c>
      <c r="E98" s="516">
        <f>SUBTOTAL(103,$U$21:U98)</f>
        <v>75</v>
      </c>
      <c r="F98" s="553" t="s">
        <v>782</v>
      </c>
      <c r="G98" s="516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5" t="s">
        <v>786</v>
      </c>
      <c r="N98" s="567"/>
      <c r="O98" s="567"/>
      <c r="P98" s="556" t="s">
        <v>828</v>
      </c>
      <c r="Q98" s="568"/>
      <c r="R98" s="554"/>
      <c r="S98" s="554"/>
      <c r="T98" s="516" t="s">
        <v>1036</v>
      </c>
      <c r="U98" s="555" t="s">
        <v>788</v>
      </c>
      <c r="V98" s="556" t="s">
        <v>100</v>
      </c>
      <c r="W98" s="554"/>
      <c r="X98" s="516" t="s">
        <v>876</v>
      </c>
      <c r="Y98" s="542">
        <v>36359</v>
      </c>
      <c r="Z98" s="543">
        <f t="shared" ca="1" si="3"/>
        <v>26</v>
      </c>
      <c r="AA98" s="516" t="s">
        <v>1141</v>
      </c>
      <c r="AB98" s="516" t="s">
        <v>1142</v>
      </c>
      <c r="AC98" s="516" t="s">
        <v>793</v>
      </c>
      <c r="AD98" s="516" t="s">
        <v>794</v>
      </c>
      <c r="AE98" s="516" t="s">
        <v>795</v>
      </c>
      <c r="AF98" s="516" t="s">
        <v>795</v>
      </c>
      <c r="AG98" s="516" t="s">
        <v>796</v>
      </c>
      <c r="AH98" s="554"/>
      <c r="AI98" s="554"/>
      <c r="AJ98" s="554"/>
      <c r="AK98" s="516" t="s">
        <v>1143</v>
      </c>
      <c r="AL98" s="554"/>
      <c r="AM98" s="554"/>
    </row>
    <row r="99" spans="1:39" ht="18" customHeight="1">
      <c r="C99" s="516">
        <v>78</v>
      </c>
      <c r="D99" s="516" t="s">
        <v>1144</v>
      </c>
      <c r="E99" s="516">
        <f t="shared" ref="E99:E254" si="4">SUBTOTAL(103,$U$21:U99)</f>
        <v>76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 t="s">
        <v>163</v>
      </c>
      <c r="S99" s="516" t="s">
        <v>1145</v>
      </c>
      <c r="T99" s="516" t="s">
        <v>49</v>
      </c>
      <c r="U99" s="516" t="s">
        <v>788</v>
      </c>
      <c r="V99" s="550" t="s">
        <v>107</v>
      </c>
      <c r="W99" s="541" t="s">
        <v>1146</v>
      </c>
      <c r="X99" s="516" t="s">
        <v>876</v>
      </c>
      <c r="Y99" s="542">
        <v>34746</v>
      </c>
      <c r="Z99" s="543">
        <f t="shared" ca="1" si="3"/>
        <v>30</v>
      </c>
      <c r="AA99" s="534" t="s">
        <v>1147</v>
      </c>
      <c r="AB99" s="516" t="s">
        <v>1148</v>
      </c>
      <c r="AC99" s="516" t="s">
        <v>793</v>
      </c>
      <c r="AD99" s="516" t="s">
        <v>794</v>
      </c>
      <c r="AE99" s="534" t="s">
        <v>815</v>
      </c>
      <c r="AF99" s="534" t="s">
        <v>795</v>
      </c>
      <c r="AG99" s="534" t="s">
        <v>796</v>
      </c>
      <c r="AH99" s="516"/>
      <c r="AI99" s="516"/>
      <c r="AJ99" s="516"/>
      <c r="AK99" s="516"/>
      <c r="AL99" s="544"/>
      <c r="AM99" s="544"/>
    </row>
    <row r="100" spans="1:39" ht="18" customHeight="1">
      <c r="C100" s="516">
        <v>79</v>
      </c>
      <c r="D100" s="516" t="s">
        <v>1149</v>
      </c>
      <c r="E100" s="516">
        <f t="shared" si="4"/>
        <v>77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/>
      <c r="S100" s="516"/>
      <c r="T100" s="516"/>
      <c r="U100" s="516" t="s">
        <v>788</v>
      </c>
      <c r="V100" s="549" t="s">
        <v>1150</v>
      </c>
      <c r="W100" s="541" t="s">
        <v>1151</v>
      </c>
      <c r="X100" s="516" t="s">
        <v>876</v>
      </c>
      <c r="Y100" s="542">
        <v>32025</v>
      </c>
      <c r="Z100" s="543">
        <f t="shared" ca="1" si="3"/>
        <v>38</v>
      </c>
      <c r="AA100" s="534" t="s">
        <v>1152</v>
      </c>
      <c r="AB100" s="551"/>
      <c r="AC100" s="516" t="s">
        <v>793</v>
      </c>
      <c r="AD100" s="552" t="s">
        <v>843</v>
      </c>
      <c r="AE100" s="534" t="s">
        <v>809</v>
      </c>
      <c r="AF100" s="534" t="s">
        <v>795</v>
      </c>
      <c r="AG100" s="534" t="s">
        <v>796</v>
      </c>
      <c r="AH100" s="516"/>
      <c r="AI100" s="516" t="s">
        <v>859</v>
      </c>
      <c r="AJ100" s="516"/>
      <c r="AK100" s="516" t="s">
        <v>860</v>
      </c>
      <c r="AL100" s="544"/>
      <c r="AM100" s="544"/>
    </row>
    <row r="101" spans="1:39" ht="18" customHeight="1">
      <c r="C101" s="516">
        <v>80</v>
      </c>
      <c r="D101" s="516" t="s">
        <v>1153</v>
      </c>
      <c r="E101" s="516">
        <f t="shared" si="4"/>
        <v>78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3"/>
        <v>23</v>
      </c>
      <c r="AA101" s="534" t="s">
        <v>1155</v>
      </c>
      <c r="AB101" s="551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C102" s="516">
        <v>81</v>
      </c>
      <c r="D102" s="516" t="s">
        <v>1156</v>
      </c>
      <c r="E102" s="516">
        <f t="shared" si="4"/>
        <v>79</v>
      </c>
      <c r="F102" s="534" t="s">
        <v>1157</v>
      </c>
      <c r="G102" s="534" t="s">
        <v>1158</v>
      </c>
      <c r="H102" s="535" t="s">
        <v>1156</v>
      </c>
      <c r="I102" s="535" t="s">
        <v>162</v>
      </c>
      <c r="J102" s="535" t="s">
        <v>1156</v>
      </c>
      <c r="K102" s="535" t="s">
        <v>1156</v>
      </c>
      <c r="L102" s="535" t="s">
        <v>1159</v>
      </c>
      <c r="M102" s="536" t="s">
        <v>786</v>
      </c>
      <c r="N102" s="537"/>
      <c r="O102" s="537"/>
      <c r="P102" s="548" t="s">
        <v>787</v>
      </c>
      <c r="Q102" s="539"/>
      <c r="R102" s="516" t="s">
        <v>982</v>
      </c>
      <c r="S102" s="516" t="s">
        <v>163</v>
      </c>
      <c r="T102" s="516" t="s">
        <v>49</v>
      </c>
      <c r="U102" s="516" t="s">
        <v>898</v>
      </c>
      <c r="V102" s="548" t="s">
        <v>162</v>
      </c>
      <c r="W102" s="541" t="s">
        <v>1160</v>
      </c>
      <c r="X102" s="516" t="s">
        <v>876</v>
      </c>
      <c r="Y102" s="542">
        <v>18512</v>
      </c>
      <c r="Z102" s="543">
        <f t="shared" ca="1" si="3"/>
        <v>75</v>
      </c>
      <c r="AA102" s="534" t="s">
        <v>1161</v>
      </c>
      <c r="AB102" s="516" t="s">
        <v>1162</v>
      </c>
      <c r="AC102" s="516" t="s">
        <v>802</v>
      </c>
      <c r="AD102" s="516" t="s">
        <v>794</v>
      </c>
      <c r="AE102" s="534" t="s">
        <v>713</v>
      </c>
      <c r="AF102" s="534" t="s">
        <v>1163</v>
      </c>
      <c r="AG102" s="534" t="s">
        <v>1164</v>
      </c>
      <c r="AH102" s="516"/>
      <c r="AI102" s="516"/>
      <c r="AJ102" s="516"/>
      <c r="AK102" s="516"/>
      <c r="AL102" s="544"/>
      <c r="AM102" s="544"/>
    </row>
    <row r="103" spans="1:39" ht="18" customHeight="1">
      <c r="C103" s="516">
        <v>82</v>
      </c>
      <c r="D103" s="516" t="s">
        <v>1159</v>
      </c>
      <c r="E103" s="516">
        <f t="shared" si="4"/>
        <v>80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38" t="s">
        <v>787</v>
      </c>
      <c r="Q103" s="539"/>
      <c r="R103" s="516" t="s">
        <v>49</v>
      </c>
      <c r="S103" s="516" t="s">
        <v>168</v>
      </c>
      <c r="T103" s="516" t="s">
        <v>62</v>
      </c>
      <c r="U103" s="516" t="s">
        <v>898</v>
      </c>
      <c r="V103" s="538" t="s">
        <v>181</v>
      </c>
      <c r="W103" s="541" t="s">
        <v>1165</v>
      </c>
      <c r="X103" s="516" t="s">
        <v>790</v>
      </c>
      <c r="Y103" s="542">
        <v>19232</v>
      </c>
      <c r="Z103" s="543">
        <f t="shared" ca="1" si="3"/>
        <v>73</v>
      </c>
      <c r="AA103" s="534" t="s">
        <v>1166</v>
      </c>
      <c r="AB103" s="516" t="s">
        <v>1167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83</v>
      </c>
      <c r="D104" s="516" t="s">
        <v>1168</v>
      </c>
      <c r="E104" s="516">
        <f t="shared" si="4"/>
        <v>81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/>
      <c r="U104" s="516" t="s">
        <v>898</v>
      </c>
      <c r="V104" s="538" t="s">
        <v>171</v>
      </c>
      <c r="W104" s="541" t="s">
        <v>1169</v>
      </c>
      <c r="X104" s="516" t="s">
        <v>876</v>
      </c>
      <c r="Y104" s="542">
        <v>19598</v>
      </c>
      <c r="Z104" s="543">
        <f t="shared" ca="1" si="3"/>
        <v>72</v>
      </c>
      <c r="AA104" s="534" t="s">
        <v>1170</v>
      </c>
      <c r="AB104" s="516" t="s">
        <v>1171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1172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84</v>
      </c>
      <c r="D105" s="516" t="s">
        <v>1173</v>
      </c>
      <c r="E105" s="516">
        <f t="shared" si="4"/>
        <v>82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799</v>
      </c>
      <c r="V105" s="538" t="s">
        <v>169</v>
      </c>
      <c r="W105" s="541" t="s">
        <v>1174</v>
      </c>
      <c r="X105" s="516" t="s">
        <v>790</v>
      </c>
      <c r="Y105" s="542">
        <v>31834</v>
      </c>
      <c r="Z105" s="543">
        <f t="shared" ca="1" si="3"/>
        <v>38</v>
      </c>
      <c r="AA105" s="534" t="s">
        <v>1175</v>
      </c>
      <c r="AB105" s="516" t="s">
        <v>1176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1177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85</v>
      </c>
      <c r="D106" s="516" t="s">
        <v>1178</v>
      </c>
      <c r="E106" s="516">
        <f t="shared" si="4"/>
        <v>83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163</v>
      </c>
      <c r="S106" s="516" t="s">
        <v>500</v>
      </c>
      <c r="T106" s="516"/>
      <c r="U106" s="516" t="s">
        <v>898</v>
      </c>
      <c r="V106" s="538" t="s">
        <v>243</v>
      </c>
      <c r="W106" s="541" t="s">
        <v>1179</v>
      </c>
      <c r="X106" s="516" t="s">
        <v>876</v>
      </c>
      <c r="Y106" s="542">
        <v>20283</v>
      </c>
      <c r="Z106" s="543">
        <f t="shared" ca="1" si="3"/>
        <v>70</v>
      </c>
      <c r="AA106" s="534" t="s">
        <v>1180</v>
      </c>
      <c r="AB106" s="516" t="s">
        <v>1181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1164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86</v>
      </c>
      <c r="D107" s="516" t="s">
        <v>1182</v>
      </c>
      <c r="E107" s="516">
        <f t="shared" si="4"/>
        <v>84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874</v>
      </c>
      <c r="V107" s="538" t="s">
        <v>260</v>
      </c>
      <c r="W107" s="541" t="s">
        <v>1183</v>
      </c>
      <c r="X107" s="516" t="s">
        <v>876</v>
      </c>
      <c r="Y107" s="542">
        <v>29437</v>
      </c>
      <c r="Z107" s="543">
        <f t="shared" ca="1" si="3"/>
        <v>45</v>
      </c>
      <c r="AA107" s="534" t="s">
        <v>1184</v>
      </c>
      <c r="AB107" s="516" t="s">
        <v>1185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1172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87</v>
      </c>
      <c r="D108" s="516" t="s">
        <v>1186</v>
      </c>
      <c r="E108" s="516">
        <f t="shared" si="4"/>
        <v>85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/>
      <c r="U108" s="516" t="s">
        <v>874</v>
      </c>
      <c r="V108" s="538" t="s">
        <v>275</v>
      </c>
      <c r="W108" s="541" t="s">
        <v>1187</v>
      </c>
      <c r="X108" s="516" t="s">
        <v>876</v>
      </c>
      <c r="Y108" s="542">
        <v>29090</v>
      </c>
      <c r="Z108" s="543">
        <f t="shared" ca="1" si="3"/>
        <v>46</v>
      </c>
      <c r="AA108" s="534" t="s">
        <v>1188</v>
      </c>
      <c r="AB108" s="516" t="s">
        <v>1189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88</v>
      </c>
      <c r="D109" s="516" t="s">
        <v>1190</v>
      </c>
      <c r="E109" s="516">
        <f t="shared" si="4"/>
        <v>86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286</v>
      </c>
      <c r="W109" s="541" t="s">
        <v>1191</v>
      </c>
      <c r="X109" s="516" t="s">
        <v>876</v>
      </c>
      <c r="Y109" s="542">
        <v>24204</v>
      </c>
      <c r="Z109" s="543">
        <f t="shared" ca="1" si="3"/>
        <v>59</v>
      </c>
      <c r="AA109" s="534" t="s">
        <v>1192</v>
      </c>
      <c r="AB109" s="516" t="s">
        <v>1193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1164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89</v>
      </c>
      <c r="D110" s="516" t="s">
        <v>1194</v>
      </c>
      <c r="E110" s="516">
        <f t="shared" si="4"/>
        <v>87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59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59" t="s">
        <v>294</v>
      </c>
      <c r="W110" s="541" t="s">
        <v>1195</v>
      </c>
      <c r="X110" s="516" t="s">
        <v>876</v>
      </c>
      <c r="Y110" s="542">
        <v>25307</v>
      </c>
      <c r="Z110" s="543">
        <f t="shared" ca="1" si="3"/>
        <v>56</v>
      </c>
      <c r="AA110" s="534" t="s">
        <v>1196</v>
      </c>
      <c r="AB110" s="516" t="s">
        <v>1197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90</v>
      </c>
      <c r="D111" s="516" t="s">
        <v>1198</v>
      </c>
      <c r="E111" s="516">
        <f t="shared" si="4"/>
        <v>88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1198</v>
      </c>
      <c r="L111" s="535" t="s">
        <v>1199</v>
      </c>
      <c r="M111" s="536"/>
      <c r="N111" s="537"/>
      <c r="O111" s="537"/>
      <c r="P111" s="548" t="s">
        <v>828</v>
      </c>
      <c r="Q111" s="539"/>
      <c r="R111" s="516" t="s">
        <v>49</v>
      </c>
      <c r="S111" s="516" t="s">
        <v>49</v>
      </c>
      <c r="T111" s="516"/>
      <c r="U111" s="516" t="s">
        <v>898</v>
      </c>
      <c r="V111" s="548" t="s">
        <v>164</v>
      </c>
      <c r="W111" s="541" t="s">
        <v>1200</v>
      </c>
      <c r="X111" s="516" t="s">
        <v>876</v>
      </c>
      <c r="Y111" s="542">
        <v>18745</v>
      </c>
      <c r="Z111" s="543">
        <f t="shared" ca="1" si="3"/>
        <v>74</v>
      </c>
      <c r="AA111" s="534" t="s">
        <v>1201</v>
      </c>
      <c r="AB111" s="516" t="s">
        <v>1202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91</v>
      </c>
      <c r="D112" s="516" t="s">
        <v>1199</v>
      </c>
      <c r="E112" s="516">
        <f t="shared" si="4"/>
        <v>89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38" t="s">
        <v>828</v>
      </c>
      <c r="Q112" s="539"/>
      <c r="R112" s="516" t="s">
        <v>62</v>
      </c>
      <c r="S112" s="516" t="s">
        <v>62</v>
      </c>
      <c r="T112" s="516"/>
      <c r="U112" s="516" t="s">
        <v>898</v>
      </c>
      <c r="V112" s="538" t="s">
        <v>183</v>
      </c>
      <c r="W112" s="541" t="s">
        <v>1203</v>
      </c>
      <c r="X112" s="516" t="s">
        <v>876</v>
      </c>
      <c r="Y112" s="542">
        <v>18004</v>
      </c>
      <c r="Z112" s="543">
        <f t="shared" ca="1" si="3"/>
        <v>76</v>
      </c>
      <c r="AA112" s="534" t="s">
        <v>1204</v>
      </c>
      <c r="AB112" s="516" t="s">
        <v>1205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92</v>
      </c>
      <c r="D113" s="516" t="s">
        <v>1206</v>
      </c>
      <c r="E113" s="516">
        <f t="shared" si="4"/>
        <v>90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/>
      <c r="S113" s="516"/>
      <c r="T113" s="516"/>
      <c r="U113" s="516" t="s">
        <v>898</v>
      </c>
      <c r="V113" s="538" t="s">
        <v>202</v>
      </c>
      <c r="W113" s="541" t="s">
        <v>1207</v>
      </c>
      <c r="X113" s="516" t="s">
        <v>876</v>
      </c>
      <c r="Y113" s="542">
        <v>19128</v>
      </c>
      <c r="Z113" s="543">
        <f t="shared" ca="1" si="3"/>
        <v>73</v>
      </c>
      <c r="AA113" s="534" t="s">
        <v>1208</v>
      </c>
      <c r="AB113" s="516" t="s">
        <v>1209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93</v>
      </c>
      <c r="D114" s="516" t="s">
        <v>1210</v>
      </c>
      <c r="E114" s="516">
        <f t="shared" si="4"/>
        <v>91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224</v>
      </c>
      <c r="W114" s="541" t="s">
        <v>1211</v>
      </c>
      <c r="X114" s="516" t="s">
        <v>876</v>
      </c>
      <c r="Y114" s="542">
        <v>18579</v>
      </c>
      <c r="Z114" s="543">
        <f t="shared" ca="1" si="3"/>
        <v>75</v>
      </c>
      <c r="AA114" s="534" t="s">
        <v>1212</v>
      </c>
      <c r="AB114" s="516" t="s">
        <v>1213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94</v>
      </c>
      <c r="D115" s="516" t="s">
        <v>1214</v>
      </c>
      <c r="E115" s="516">
        <f t="shared" si="4"/>
        <v>92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874</v>
      </c>
      <c r="V115" s="538" t="s">
        <v>244</v>
      </c>
      <c r="W115" s="541" t="s">
        <v>1215</v>
      </c>
      <c r="X115" s="516" t="s">
        <v>876</v>
      </c>
      <c r="Y115" s="542">
        <v>20739</v>
      </c>
      <c r="Z115" s="543">
        <f t="shared" ca="1" si="3"/>
        <v>69</v>
      </c>
      <c r="AA115" s="534" t="s">
        <v>1216</v>
      </c>
      <c r="AB115" s="516" t="s">
        <v>1217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95</v>
      </c>
      <c r="D116" s="516" t="s">
        <v>1218</v>
      </c>
      <c r="E116" s="516">
        <f t="shared" si="4"/>
        <v>93</v>
      </c>
      <c r="F116" s="534" t="s">
        <v>811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898</v>
      </c>
      <c r="V116" s="538" t="s">
        <v>1219</v>
      </c>
      <c r="W116" s="541" t="s">
        <v>1220</v>
      </c>
      <c r="X116" s="516" t="s">
        <v>876</v>
      </c>
      <c r="Y116" s="542">
        <v>17513</v>
      </c>
      <c r="Z116" s="543">
        <f t="shared" ca="1" si="3"/>
        <v>78</v>
      </c>
      <c r="AA116" s="534" t="s">
        <v>1221</v>
      </c>
      <c r="AB116" s="516" t="s">
        <v>1222</v>
      </c>
      <c r="AC116" s="516" t="s">
        <v>842</v>
      </c>
      <c r="AD116" s="516" t="s">
        <v>843</v>
      </c>
      <c r="AE116" s="534" t="s">
        <v>713</v>
      </c>
      <c r="AF116" s="534" t="s">
        <v>713</v>
      </c>
      <c r="AG116" s="534" t="s">
        <v>1223</v>
      </c>
      <c r="AH116" s="516"/>
      <c r="AI116" s="516"/>
      <c r="AJ116" s="569" t="s">
        <v>1224</v>
      </c>
      <c r="AK116" s="516" t="s">
        <v>2026</v>
      </c>
      <c r="AL116" s="544"/>
      <c r="AM116" s="544"/>
    </row>
    <row r="117" spans="3:39" ht="18" customHeight="1">
      <c r="C117" s="516">
        <v>96</v>
      </c>
      <c r="D117" s="516" t="s">
        <v>1225</v>
      </c>
      <c r="E117" s="516">
        <f t="shared" si="4"/>
        <v>94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59" t="s">
        <v>828</v>
      </c>
      <c r="Q117" s="539"/>
      <c r="R117" s="516"/>
      <c r="S117" s="516"/>
      <c r="T117" s="516"/>
      <c r="U117" s="516" t="s">
        <v>874</v>
      </c>
      <c r="V117" s="559" t="s">
        <v>276</v>
      </c>
      <c r="W117" s="541" t="s">
        <v>1226</v>
      </c>
      <c r="X117" s="516" t="s">
        <v>876</v>
      </c>
      <c r="Y117" s="542">
        <v>21846</v>
      </c>
      <c r="Z117" s="543">
        <f t="shared" ca="1" si="3"/>
        <v>66</v>
      </c>
      <c r="AA117" s="534" t="s">
        <v>1227</v>
      </c>
      <c r="AB117" s="516" t="s">
        <v>1228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1229</v>
      </c>
      <c r="AH117" s="516"/>
      <c r="AI117" s="516"/>
      <c r="AJ117" s="569" t="s">
        <v>1224</v>
      </c>
      <c r="AK117" s="516"/>
      <c r="AL117" s="544"/>
      <c r="AM117" s="544"/>
    </row>
    <row r="118" spans="3:39" ht="18" customHeight="1">
      <c r="C118" s="516">
        <v>97</v>
      </c>
      <c r="D118" s="516" t="s">
        <v>1230</v>
      </c>
      <c r="E118" s="516">
        <f t="shared" si="4"/>
        <v>95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1230</v>
      </c>
      <c r="L118" s="535" t="s">
        <v>1231</v>
      </c>
      <c r="M118" s="536"/>
      <c r="N118" s="537"/>
      <c r="O118" s="537"/>
      <c r="P118" s="548" t="s">
        <v>938</v>
      </c>
      <c r="Q118" s="539"/>
      <c r="R118" s="516" t="s">
        <v>49</v>
      </c>
      <c r="S118" s="516" t="s">
        <v>49</v>
      </c>
      <c r="T118" s="516"/>
      <c r="U118" s="516" t="s">
        <v>799</v>
      </c>
      <c r="V118" s="548" t="s">
        <v>165</v>
      </c>
      <c r="W118" s="541" t="s">
        <v>1232</v>
      </c>
      <c r="X118" s="516" t="s">
        <v>790</v>
      </c>
      <c r="Y118" s="542">
        <v>27259</v>
      </c>
      <c r="Z118" s="543">
        <f t="shared" ca="1" si="3"/>
        <v>51</v>
      </c>
      <c r="AA118" s="534" t="s">
        <v>1233</v>
      </c>
      <c r="AB118" s="516" t="s">
        <v>1234</v>
      </c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98</v>
      </c>
      <c r="D119" s="516" t="s">
        <v>1231</v>
      </c>
      <c r="E119" s="516">
        <f t="shared" si="4"/>
        <v>96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38" t="s">
        <v>938</v>
      </c>
      <c r="Q119" s="539"/>
      <c r="R119" s="516" t="s">
        <v>62</v>
      </c>
      <c r="S119" s="516" t="s">
        <v>62</v>
      </c>
      <c r="T119" s="516"/>
      <c r="U119" s="516" t="s">
        <v>788</v>
      </c>
      <c r="V119" s="538" t="s">
        <v>184</v>
      </c>
      <c r="W119" s="541" t="s">
        <v>1235</v>
      </c>
      <c r="X119" s="516" t="s">
        <v>790</v>
      </c>
      <c r="Y119" s="542">
        <v>34694</v>
      </c>
      <c r="Z119" s="543">
        <f t="shared" ca="1" si="3"/>
        <v>31</v>
      </c>
      <c r="AA119" s="534" t="s">
        <v>1236</v>
      </c>
      <c r="AB119" s="516" t="s">
        <v>1237</v>
      </c>
      <c r="AC119" s="516" t="s">
        <v>793</v>
      </c>
      <c r="AD119" s="516" t="s">
        <v>794</v>
      </c>
      <c r="AE119" s="534" t="s">
        <v>815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99</v>
      </c>
      <c r="D120" s="516" t="s">
        <v>1238</v>
      </c>
      <c r="E120" s="516">
        <f t="shared" si="4"/>
        <v>97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/>
      <c r="S120" s="516"/>
      <c r="T120" s="516"/>
      <c r="U120" s="516" t="s">
        <v>898</v>
      </c>
      <c r="V120" s="538" t="s">
        <v>203</v>
      </c>
      <c r="W120" s="541" t="s">
        <v>1239</v>
      </c>
      <c r="X120" s="516" t="s">
        <v>790</v>
      </c>
      <c r="Y120" s="542">
        <v>19028</v>
      </c>
      <c r="Z120" s="543">
        <f t="shared" ca="1" si="3"/>
        <v>73</v>
      </c>
      <c r="AA120" s="534" t="s">
        <v>1240</v>
      </c>
      <c r="AB120" s="516" t="s">
        <v>1241</v>
      </c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1164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100</v>
      </c>
      <c r="D121" s="516" t="s">
        <v>1242</v>
      </c>
      <c r="E121" s="516">
        <f t="shared" si="4"/>
        <v>98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799</v>
      </c>
      <c r="V121" s="538" t="s">
        <v>225</v>
      </c>
      <c r="W121" s="541" t="s">
        <v>1243</v>
      </c>
      <c r="X121" s="516" t="s">
        <v>790</v>
      </c>
      <c r="Y121" s="542">
        <v>28966</v>
      </c>
      <c r="Z121" s="543">
        <f t="shared" ca="1" si="3"/>
        <v>46</v>
      </c>
      <c r="AA121" s="534" t="s">
        <v>1244</v>
      </c>
      <c r="AB121" s="516" t="s">
        <v>1245</v>
      </c>
      <c r="AC121" s="516" t="s">
        <v>842</v>
      </c>
      <c r="AD121" s="516" t="s">
        <v>794</v>
      </c>
      <c r="AE121" s="534" t="s">
        <v>815</v>
      </c>
      <c r="AF121" s="534" t="s">
        <v>1163</v>
      </c>
      <c r="AG121" s="534" t="s">
        <v>1172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101</v>
      </c>
      <c r="D122" s="516" t="s">
        <v>1246</v>
      </c>
      <c r="E122" s="516">
        <f t="shared" si="4"/>
        <v>99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245</v>
      </c>
      <c r="W122" s="541" t="s">
        <v>1247</v>
      </c>
      <c r="X122" s="516" t="s">
        <v>790</v>
      </c>
      <c r="Y122" s="542">
        <v>30074</v>
      </c>
      <c r="Z122" s="543">
        <f t="shared" ca="1" si="3"/>
        <v>43</v>
      </c>
      <c r="AA122" s="534" t="s">
        <v>1248</v>
      </c>
      <c r="AB122" s="516" t="s">
        <v>1249</v>
      </c>
      <c r="AC122" s="516" t="s">
        <v>802</v>
      </c>
      <c r="AD122" s="516" t="s">
        <v>794</v>
      </c>
      <c r="AE122" s="534" t="s">
        <v>713</v>
      </c>
      <c r="AF122" s="534" t="s">
        <v>1163</v>
      </c>
      <c r="AG122" s="534" t="s">
        <v>1250</v>
      </c>
      <c r="AH122" s="516"/>
      <c r="AI122" s="516"/>
      <c r="AJ122" s="516" t="s">
        <v>867</v>
      </c>
      <c r="AK122" s="516"/>
      <c r="AL122" s="544"/>
      <c r="AM122" s="544"/>
    </row>
    <row r="123" spans="3:39" ht="18" customHeight="1">
      <c r="C123" s="516">
        <v>102</v>
      </c>
      <c r="D123" s="516" t="s">
        <v>1251</v>
      </c>
      <c r="E123" s="516">
        <f t="shared" si="4"/>
        <v>100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59" t="s">
        <v>938</v>
      </c>
      <c r="Q123" s="539"/>
      <c r="R123" s="516"/>
      <c r="S123" s="516"/>
      <c r="T123" s="516"/>
      <c r="U123" s="516" t="s">
        <v>799</v>
      </c>
      <c r="V123" s="559" t="s">
        <v>1252</v>
      </c>
      <c r="W123" s="541" t="s">
        <v>1253</v>
      </c>
      <c r="X123" s="516" t="s">
        <v>790</v>
      </c>
      <c r="Y123" s="542">
        <v>33779</v>
      </c>
      <c r="Z123" s="543">
        <f t="shared" ca="1" si="3"/>
        <v>33</v>
      </c>
      <c r="AA123" s="534" t="s">
        <v>1254</v>
      </c>
      <c r="AB123" s="516" t="s">
        <v>1255</v>
      </c>
      <c r="AC123" s="516" t="s">
        <v>842</v>
      </c>
      <c r="AD123" s="516" t="s">
        <v>851</v>
      </c>
      <c r="AE123" s="534" t="s">
        <v>1256</v>
      </c>
      <c r="AF123" s="534" t="s">
        <v>1256</v>
      </c>
      <c r="AG123" s="534" t="s">
        <v>1257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103</v>
      </c>
      <c r="D124" s="516" t="s">
        <v>1258</v>
      </c>
      <c r="E124" s="516">
        <f t="shared" si="4"/>
        <v>101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1258</v>
      </c>
      <c r="L124" s="535" t="s">
        <v>1259</v>
      </c>
      <c r="M124" s="570" t="s">
        <v>1260</v>
      </c>
      <c r="N124" s="537"/>
      <c r="O124" s="537"/>
      <c r="P124" s="548" t="s">
        <v>978</v>
      </c>
      <c r="Q124" s="539"/>
      <c r="R124" s="516" t="s">
        <v>49</v>
      </c>
      <c r="S124" s="516" t="s">
        <v>49</v>
      </c>
      <c r="T124" s="516"/>
      <c r="U124" s="516" t="s">
        <v>874</v>
      </c>
      <c r="V124" s="548" t="s">
        <v>166</v>
      </c>
      <c r="W124" s="541" t="s">
        <v>1261</v>
      </c>
      <c r="X124" s="516" t="s">
        <v>876</v>
      </c>
      <c r="Y124" s="542">
        <v>21384</v>
      </c>
      <c r="Z124" s="543">
        <f t="shared" ca="1" si="3"/>
        <v>67</v>
      </c>
      <c r="AA124" s="534" t="s">
        <v>1262</v>
      </c>
      <c r="AB124" s="516" t="s">
        <v>1263</v>
      </c>
      <c r="AC124" s="516" t="s">
        <v>802</v>
      </c>
      <c r="AD124" s="516" t="s">
        <v>794</v>
      </c>
      <c r="AE124" s="534" t="s">
        <v>713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104</v>
      </c>
      <c r="D125" s="516" t="s">
        <v>1259</v>
      </c>
      <c r="E125" s="516">
        <f t="shared" si="4"/>
        <v>102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38" t="s">
        <v>978</v>
      </c>
      <c r="Q125" s="539"/>
      <c r="R125" s="516" t="s">
        <v>62</v>
      </c>
      <c r="S125" s="516" t="s">
        <v>548</v>
      </c>
      <c r="T125" s="516"/>
      <c r="U125" s="516" t="s">
        <v>874</v>
      </c>
      <c r="V125" s="538" t="s">
        <v>185</v>
      </c>
      <c r="W125" s="541" t="s">
        <v>1264</v>
      </c>
      <c r="X125" s="516" t="s">
        <v>876</v>
      </c>
      <c r="Y125" s="542">
        <v>28476</v>
      </c>
      <c r="Z125" s="543">
        <f t="shared" ca="1" si="3"/>
        <v>48</v>
      </c>
      <c r="AA125" s="534" t="s">
        <v>1265</v>
      </c>
      <c r="AB125" s="516" t="s">
        <v>1266</v>
      </c>
      <c r="AC125" s="516" t="s">
        <v>802</v>
      </c>
      <c r="AD125" s="516" t="s">
        <v>794</v>
      </c>
      <c r="AE125" s="534" t="s">
        <v>815</v>
      </c>
      <c r="AF125" s="534" t="s">
        <v>1267</v>
      </c>
      <c r="AG125" s="534" t="s">
        <v>1268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105</v>
      </c>
      <c r="D126" s="516" t="s">
        <v>1274</v>
      </c>
      <c r="E126" s="516">
        <f t="shared" si="4"/>
        <v>103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/>
      <c r="S126" s="516"/>
      <c r="T126" s="516"/>
      <c r="U126" s="516" t="s">
        <v>898</v>
      </c>
      <c r="V126" s="538" t="s">
        <v>204</v>
      </c>
      <c r="W126" s="541" t="s">
        <v>1275</v>
      </c>
      <c r="X126" s="516" t="s">
        <v>876</v>
      </c>
      <c r="Y126" s="542">
        <v>18355</v>
      </c>
      <c r="Z126" s="543">
        <f t="shared" ca="1" si="3"/>
        <v>75</v>
      </c>
      <c r="AA126" s="534" t="s">
        <v>1276</v>
      </c>
      <c r="AB126" s="516" t="s">
        <v>1277</v>
      </c>
      <c r="AC126" s="516" t="s">
        <v>802</v>
      </c>
      <c r="AD126" s="516" t="s">
        <v>794</v>
      </c>
      <c r="AE126" s="534" t="s">
        <v>713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106</v>
      </c>
      <c r="D127" s="516" t="s">
        <v>1260</v>
      </c>
      <c r="E127" s="516">
        <f t="shared" si="4"/>
        <v>104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 t="s">
        <v>62</v>
      </c>
      <c r="S127" s="516" t="s">
        <v>62</v>
      </c>
      <c r="T127" s="516"/>
      <c r="U127" s="516" t="s">
        <v>874</v>
      </c>
      <c r="V127" s="538" t="s">
        <v>226</v>
      </c>
      <c r="W127" s="541" t="s">
        <v>1269</v>
      </c>
      <c r="X127" s="516" t="s">
        <v>876</v>
      </c>
      <c r="Y127" s="542">
        <v>28476</v>
      </c>
      <c r="Z127" s="543">
        <f t="shared" ca="1" si="3"/>
        <v>48</v>
      </c>
      <c r="AA127" s="534" t="s">
        <v>1270</v>
      </c>
      <c r="AB127" s="516" t="s">
        <v>1271</v>
      </c>
      <c r="AC127" s="516" t="s">
        <v>802</v>
      </c>
      <c r="AD127" s="516" t="s">
        <v>794</v>
      </c>
      <c r="AE127" s="534" t="s">
        <v>815</v>
      </c>
      <c r="AF127" s="534" t="s">
        <v>1272</v>
      </c>
      <c r="AG127" s="534" t="s">
        <v>1273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107</v>
      </c>
      <c r="D128" s="516" t="s">
        <v>1278</v>
      </c>
      <c r="E128" s="516">
        <f t="shared" si="4"/>
        <v>105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59" t="s">
        <v>978</v>
      </c>
      <c r="Q128" s="539"/>
      <c r="R128" s="516"/>
      <c r="S128" s="516"/>
      <c r="T128" s="516"/>
      <c r="U128" s="516" t="s">
        <v>788</v>
      </c>
      <c r="V128" s="559" t="s">
        <v>1279</v>
      </c>
      <c r="W128" s="541" t="s">
        <v>1280</v>
      </c>
      <c r="X128" s="516" t="s">
        <v>876</v>
      </c>
      <c r="Y128" s="542">
        <v>32287</v>
      </c>
      <c r="Z128" s="543">
        <f t="shared" ca="1" si="3"/>
        <v>37</v>
      </c>
      <c r="AA128" s="534" t="s">
        <v>1281</v>
      </c>
      <c r="AB128" s="571"/>
      <c r="AC128" s="516" t="s">
        <v>842</v>
      </c>
      <c r="AD128" s="516" t="s">
        <v>843</v>
      </c>
      <c r="AE128" s="534" t="s">
        <v>815</v>
      </c>
      <c r="AF128" s="534" t="s">
        <v>815</v>
      </c>
      <c r="AG128" s="534" t="s">
        <v>1282</v>
      </c>
      <c r="AH128" s="516"/>
      <c r="AI128" s="516" t="s">
        <v>1283</v>
      </c>
      <c r="AJ128" s="516"/>
      <c r="AK128" s="572" t="s">
        <v>1284</v>
      </c>
      <c r="AL128" s="544"/>
      <c r="AM128" s="544"/>
    </row>
    <row r="129" spans="3:39" ht="18" customHeight="1">
      <c r="C129" s="516">
        <v>108</v>
      </c>
      <c r="D129" s="516" t="s">
        <v>1156</v>
      </c>
      <c r="E129" s="516">
        <f t="shared" si="4"/>
        <v>105</v>
      </c>
      <c r="F129" s="534"/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/>
      <c r="L129" s="535"/>
      <c r="M129" s="536"/>
      <c r="N129" s="537"/>
      <c r="O129" s="537"/>
      <c r="P129" s="548" t="s">
        <v>1011</v>
      </c>
      <c r="Q129" s="539" t="s">
        <v>1308</v>
      </c>
      <c r="R129" s="516" t="s">
        <v>49</v>
      </c>
      <c r="S129" s="516" t="s">
        <v>163</v>
      </c>
      <c r="T129" s="516" t="s">
        <v>49</v>
      </c>
      <c r="U129" s="516"/>
      <c r="V129" s="548" t="s">
        <v>162</v>
      </c>
      <c r="W129" s="541" t="s">
        <v>1160</v>
      </c>
      <c r="X129" s="516" t="s">
        <v>876</v>
      </c>
      <c r="Y129" s="542">
        <v>18512</v>
      </c>
      <c r="Z129" s="543">
        <f t="shared" ca="1" si="3"/>
        <v>75</v>
      </c>
      <c r="AA129" s="534" t="s">
        <v>1161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1164</v>
      </c>
      <c r="AH129" s="516" t="s">
        <v>872</v>
      </c>
      <c r="AI129" s="516"/>
      <c r="AJ129" s="516"/>
      <c r="AK129" s="516"/>
      <c r="AL129" s="544"/>
      <c r="AM129" s="544"/>
    </row>
    <row r="130" spans="3:39" ht="18" customHeight="1">
      <c r="C130" s="516">
        <v>109</v>
      </c>
      <c r="D130" s="516" t="s">
        <v>1309</v>
      </c>
      <c r="E130" s="516">
        <f t="shared" si="4"/>
        <v>106</v>
      </c>
      <c r="F130" s="534" t="s">
        <v>1310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1156</v>
      </c>
      <c r="L130" s="535" t="s">
        <v>786</v>
      </c>
      <c r="M130" s="536"/>
      <c r="N130" s="537"/>
      <c r="O130" s="537"/>
      <c r="P130" s="538" t="s">
        <v>1011</v>
      </c>
      <c r="Q130" s="539" t="s">
        <v>308</v>
      </c>
      <c r="R130" s="516"/>
      <c r="S130" s="516"/>
      <c r="T130" s="516"/>
      <c r="U130" s="516" t="s">
        <v>874</v>
      </c>
      <c r="V130" s="538" t="s">
        <v>186</v>
      </c>
      <c r="W130" s="541" t="s">
        <v>1311</v>
      </c>
      <c r="X130" s="516" t="s">
        <v>876</v>
      </c>
      <c r="Y130" s="542">
        <v>22348</v>
      </c>
      <c r="Z130" s="543">
        <f t="shared" ca="1" si="3"/>
        <v>64</v>
      </c>
      <c r="AA130" s="534" t="s">
        <v>1312</v>
      </c>
      <c r="AB130" s="571"/>
      <c r="AC130" s="516" t="s">
        <v>842</v>
      </c>
      <c r="AD130" s="516" t="s">
        <v>843</v>
      </c>
      <c r="AE130" s="534" t="s">
        <v>713</v>
      </c>
      <c r="AF130" s="534" t="s">
        <v>713</v>
      </c>
      <c r="AG130" s="534" t="s">
        <v>1313</v>
      </c>
      <c r="AH130" s="516"/>
      <c r="AI130" s="516"/>
      <c r="AJ130" s="516" t="s">
        <v>971</v>
      </c>
      <c r="AK130" s="516"/>
      <c r="AL130" s="544"/>
      <c r="AM130" s="544"/>
    </row>
    <row r="131" spans="3:39" ht="18" customHeight="1">
      <c r="C131" s="516">
        <v>110</v>
      </c>
      <c r="D131" s="516" t="s">
        <v>1314</v>
      </c>
      <c r="E131" s="516">
        <f t="shared" si="4"/>
        <v>107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1315</v>
      </c>
      <c r="W131" s="541" t="s">
        <v>1316</v>
      </c>
      <c r="X131" s="516" t="s">
        <v>876</v>
      </c>
      <c r="Y131" s="542">
        <v>25612</v>
      </c>
      <c r="Z131" s="543">
        <f t="shared" ca="1" si="3"/>
        <v>55</v>
      </c>
      <c r="AA131" s="534" t="s">
        <v>1317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111</v>
      </c>
      <c r="D132" s="516" t="s">
        <v>1285</v>
      </c>
      <c r="E132" s="516">
        <f t="shared" si="4"/>
        <v>108</v>
      </c>
      <c r="F132" s="534" t="s">
        <v>981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59" t="s">
        <v>1011</v>
      </c>
      <c r="Q132" s="539" t="s">
        <v>308</v>
      </c>
      <c r="R132" s="516"/>
      <c r="S132" s="516"/>
      <c r="T132" s="516"/>
      <c r="U132" s="516" t="s">
        <v>874</v>
      </c>
      <c r="V132" s="559" t="s">
        <v>205</v>
      </c>
      <c r="W132" s="541" t="s">
        <v>1286</v>
      </c>
      <c r="X132" s="516" t="s">
        <v>876</v>
      </c>
      <c r="Y132" s="542">
        <v>27696</v>
      </c>
      <c r="Z132" s="543">
        <f t="shared" ca="1" si="3"/>
        <v>50</v>
      </c>
      <c r="AA132" s="534" t="s">
        <v>1287</v>
      </c>
      <c r="AB132" s="516" t="s">
        <v>1288</v>
      </c>
      <c r="AC132" s="516" t="s">
        <v>842</v>
      </c>
      <c r="AD132" s="516" t="s">
        <v>851</v>
      </c>
      <c r="AE132" s="534" t="s">
        <v>815</v>
      </c>
      <c r="AF132" s="534" t="s">
        <v>1289</v>
      </c>
      <c r="AG132" s="534" t="s">
        <v>1290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112</v>
      </c>
      <c r="D133" s="516" t="s">
        <v>1182</v>
      </c>
      <c r="E133" s="516">
        <f t="shared" si="4"/>
        <v>108</v>
      </c>
      <c r="F133" s="534"/>
      <c r="G133" s="534" t="s">
        <v>1318</v>
      </c>
      <c r="H133" s="535" t="s">
        <v>1156</v>
      </c>
      <c r="I133" s="535" t="s">
        <v>260</v>
      </c>
      <c r="J133" s="535" t="s">
        <v>1182</v>
      </c>
      <c r="K133" s="535" t="s">
        <v>1182</v>
      </c>
      <c r="L133" s="535" t="s">
        <v>1319</v>
      </c>
      <c r="M133" s="536" t="s">
        <v>1320</v>
      </c>
      <c r="N133" s="537"/>
      <c r="O133" s="537"/>
      <c r="P133" s="548" t="s">
        <v>787</v>
      </c>
      <c r="Q133" s="539"/>
      <c r="R133" s="516" t="s">
        <v>163</v>
      </c>
      <c r="S133" s="516" t="s">
        <v>500</v>
      </c>
      <c r="T133" s="516" t="s">
        <v>49</v>
      </c>
      <c r="U133" s="516"/>
      <c r="V133" s="548" t="s">
        <v>260</v>
      </c>
      <c r="W133" s="541" t="s">
        <v>1183</v>
      </c>
      <c r="X133" s="516" t="s">
        <v>876</v>
      </c>
      <c r="Y133" s="542">
        <v>29437</v>
      </c>
      <c r="Z133" s="543">
        <f t="shared" ca="1" si="3"/>
        <v>45</v>
      </c>
      <c r="AA133" s="534" t="s">
        <v>1184</v>
      </c>
      <c r="AB133" s="516"/>
      <c r="AC133" s="516" t="s">
        <v>802</v>
      </c>
      <c r="AD133" s="516" t="s">
        <v>794</v>
      </c>
      <c r="AE133" s="534" t="s">
        <v>713</v>
      </c>
      <c r="AF133" s="534" t="s">
        <v>1163</v>
      </c>
      <c r="AG133" s="534" t="s">
        <v>1172</v>
      </c>
      <c r="AH133" s="516" t="s">
        <v>872</v>
      </c>
      <c r="AI133" s="516"/>
      <c r="AJ133" s="516"/>
      <c r="AK133" s="516"/>
      <c r="AL133" s="544"/>
      <c r="AM133" s="544"/>
    </row>
    <row r="134" spans="3:39" ht="18" customHeight="1">
      <c r="C134" s="516">
        <v>113</v>
      </c>
      <c r="D134" s="516" t="s">
        <v>1319</v>
      </c>
      <c r="E134" s="516">
        <f t="shared" si="4"/>
        <v>109</v>
      </c>
      <c r="F134" s="534" t="s">
        <v>1157</v>
      </c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38" t="s">
        <v>787</v>
      </c>
      <c r="Q134" s="539"/>
      <c r="R134" s="516" t="s">
        <v>62</v>
      </c>
      <c r="S134" s="516" t="s">
        <v>548</v>
      </c>
      <c r="T134" s="516"/>
      <c r="U134" s="516" t="s">
        <v>788</v>
      </c>
      <c r="V134" s="538" t="s">
        <v>345</v>
      </c>
      <c r="W134" s="541" t="s">
        <v>1321</v>
      </c>
      <c r="X134" s="516" t="s">
        <v>876</v>
      </c>
      <c r="Y134" s="542">
        <v>33229</v>
      </c>
      <c r="Z134" s="543">
        <f t="shared" ca="1" si="3"/>
        <v>35</v>
      </c>
      <c r="AA134" s="534" t="s">
        <v>1322</v>
      </c>
      <c r="AB134" s="516" t="s">
        <v>1323</v>
      </c>
      <c r="AC134" s="516" t="s">
        <v>842</v>
      </c>
      <c r="AD134" s="516" t="s">
        <v>851</v>
      </c>
      <c r="AE134" s="534" t="s">
        <v>713</v>
      </c>
      <c r="AF134" s="534" t="s">
        <v>1163</v>
      </c>
      <c r="AG134" s="534" t="s">
        <v>1324</v>
      </c>
      <c r="AH134" s="516"/>
      <c r="AI134" s="516"/>
      <c r="AJ134" s="516" t="s">
        <v>867</v>
      </c>
      <c r="AK134" s="516"/>
      <c r="AL134" s="544"/>
      <c r="AM134" s="544"/>
    </row>
    <row r="135" spans="3:39" ht="18" customHeight="1">
      <c r="C135" s="516">
        <v>114</v>
      </c>
      <c r="D135" s="516" t="s">
        <v>1320</v>
      </c>
      <c r="E135" s="516">
        <f t="shared" si="4"/>
        <v>110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1325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874</v>
      </c>
      <c r="V135" s="538" t="s">
        <v>1326</v>
      </c>
      <c r="W135" s="541" t="s">
        <v>1327</v>
      </c>
      <c r="X135" s="516" t="s">
        <v>876</v>
      </c>
      <c r="Y135" s="542">
        <v>34252</v>
      </c>
      <c r="Z135" s="543">
        <f t="shared" ca="1" si="3"/>
        <v>32</v>
      </c>
      <c r="AA135" s="534" t="s">
        <v>1328</v>
      </c>
      <c r="AB135" s="516" t="s">
        <v>1329</v>
      </c>
      <c r="AC135" s="516" t="s">
        <v>842</v>
      </c>
      <c r="AD135" s="516" t="s">
        <v>851</v>
      </c>
      <c r="AE135" s="534" t="s">
        <v>713</v>
      </c>
      <c r="AF135" s="534" t="s">
        <v>713</v>
      </c>
      <c r="AG135" s="534" t="s">
        <v>1229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115</v>
      </c>
      <c r="D136" s="516" t="s">
        <v>1330</v>
      </c>
      <c r="E136" s="516">
        <f t="shared" si="4"/>
        <v>111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1182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/>
      <c r="S136" s="516"/>
      <c r="T136" s="516"/>
      <c r="U136" s="516" t="s">
        <v>874</v>
      </c>
      <c r="V136" s="538" t="s">
        <v>359</v>
      </c>
      <c r="W136" s="541" t="s">
        <v>1331</v>
      </c>
      <c r="X136" s="516" t="s">
        <v>876</v>
      </c>
      <c r="Y136" s="542">
        <v>30747</v>
      </c>
      <c r="Z136" s="543">
        <f t="shared" ca="1" si="3"/>
        <v>41</v>
      </c>
      <c r="AA136" s="534" t="s">
        <v>1332</v>
      </c>
      <c r="AB136" s="516" t="s">
        <v>1333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116</v>
      </c>
      <c r="D137" s="516" t="s">
        <v>1334</v>
      </c>
      <c r="E137" s="516">
        <f t="shared" si="4"/>
        <v>112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788</v>
      </c>
      <c r="V137" s="538" t="s">
        <v>372</v>
      </c>
      <c r="W137" s="541" t="s">
        <v>1335</v>
      </c>
      <c r="X137" s="516" t="s">
        <v>876</v>
      </c>
      <c r="Y137" s="542">
        <v>31903</v>
      </c>
      <c r="Z137" s="543">
        <f t="shared" ca="1" si="3"/>
        <v>38</v>
      </c>
      <c r="AA137" s="534" t="s">
        <v>1336</v>
      </c>
      <c r="AB137" s="516" t="s">
        <v>1337</v>
      </c>
      <c r="AC137" s="516" t="s">
        <v>842</v>
      </c>
      <c r="AD137" s="516" t="s">
        <v>851</v>
      </c>
      <c r="AE137" s="534" t="s">
        <v>1256</v>
      </c>
      <c r="AF137" s="534" t="s">
        <v>1256</v>
      </c>
      <c r="AG137" s="534" t="s">
        <v>1338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117</v>
      </c>
      <c r="D138" s="516" t="s">
        <v>1339</v>
      </c>
      <c r="E138" s="516">
        <f t="shared" si="4"/>
        <v>113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385</v>
      </c>
      <c r="W138" s="541" t="s">
        <v>1340</v>
      </c>
      <c r="X138" s="516" t="s">
        <v>876</v>
      </c>
      <c r="Y138" s="542">
        <v>31903</v>
      </c>
      <c r="Z138" s="543">
        <f t="shared" ca="1" si="3"/>
        <v>38</v>
      </c>
      <c r="AA138" s="534" t="s">
        <v>1341</v>
      </c>
      <c r="AB138" s="516" t="s">
        <v>1342</v>
      </c>
      <c r="AC138" s="516" t="s">
        <v>793</v>
      </c>
      <c r="AD138" s="516" t="s">
        <v>794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118</v>
      </c>
      <c r="D139" s="516" t="s">
        <v>1343</v>
      </c>
      <c r="E139" s="516">
        <f t="shared" si="4"/>
        <v>114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397</v>
      </c>
      <c r="W139" s="541" t="s">
        <v>1344</v>
      </c>
      <c r="X139" s="516" t="s">
        <v>876</v>
      </c>
      <c r="Y139" s="542">
        <v>38235</v>
      </c>
      <c r="Z139" s="543">
        <f t="shared" ca="1" si="3"/>
        <v>21</v>
      </c>
      <c r="AA139" s="534" t="s">
        <v>1345</v>
      </c>
      <c r="AB139" s="516" t="s">
        <v>1346</v>
      </c>
      <c r="AC139" s="516" t="s">
        <v>842</v>
      </c>
      <c r="AD139" s="516" t="s">
        <v>843</v>
      </c>
      <c r="AE139" s="534" t="s">
        <v>815</v>
      </c>
      <c r="AF139" s="534" t="s">
        <v>713</v>
      </c>
      <c r="AG139" s="534" t="s">
        <v>1347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119</v>
      </c>
      <c r="D140" s="516" t="s">
        <v>1348</v>
      </c>
      <c r="E140" s="516">
        <f t="shared" si="4"/>
        <v>115</v>
      </c>
      <c r="F140" s="534" t="s">
        <v>811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 t="s">
        <v>308</v>
      </c>
      <c r="R140" s="516"/>
      <c r="S140" s="516"/>
      <c r="T140" s="516"/>
      <c r="U140" s="516" t="s">
        <v>874</v>
      </c>
      <c r="V140" s="538" t="s">
        <v>409</v>
      </c>
      <c r="W140" s="541" t="s">
        <v>1349</v>
      </c>
      <c r="X140" s="516" t="s">
        <v>876</v>
      </c>
      <c r="Y140" s="542">
        <v>29402</v>
      </c>
      <c r="Z140" s="543">
        <f t="shared" ca="1" si="3"/>
        <v>45</v>
      </c>
      <c r="AA140" s="534" t="s">
        <v>1350</v>
      </c>
      <c r="AB140" s="516" t="s">
        <v>1351</v>
      </c>
      <c r="AC140" s="516" t="s">
        <v>842</v>
      </c>
      <c r="AD140" s="516" t="s">
        <v>851</v>
      </c>
      <c r="AE140" s="534" t="s">
        <v>713</v>
      </c>
      <c r="AF140" s="566" t="s">
        <v>713</v>
      </c>
      <c r="AG140" s="534" t="s">
        <v>1352</v>
      </c>
      <c r="AH140" s="516"/>
      <c r="AI140" s="516"/>
      <c r="AJ140" s="565"/>
      <c r="AK140" s="516"/>
      <c r="AL140" s="544"/>
      <c r="AM140" s="544"/>
    </row>
    <row r="141" spans="3:39" ht="18" customHeight="1">
      <c r="C141" s="516">
        <v>120</v>
      </c>
      <c r="D141" s="516" t="s">
        <v>1353</v>
      </c>
      <c r="E141" s="516">
        <f t="shared" si="4"/>
        <v>116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788</v>
      </c>
      <c r="V141" s="538" t="s">
        <v>416</v>
      </c>
      <c r="W141" s="541" t="s">
        <v>1354</v>
      </c>
      <c r="X141" s="516" t="s">
        <v>876</v>
      </c>
      <c r="Y141" s="542">
        <v>32595</v>
      </c>
      <c r="Z141" s="543">
        <f t="shared" ca="1" si="3"/>
        <v>36</v>
      </c>
      <c r="AA141" s="534" t="s">
        <v>1355</v>
      </c>
      <c r="AB141" s="516" t="s">
        <v>1356</v>
      </c>
      <c r="AC141" s="516" t="s">
        <v>842</v>
      </c>
      <c r="AD141" s="516" t="s">
        <v>843</v>
      </c>
      <c r="AE141" s="534" t="s">
        <v>942</v>
      </c>
      <c r="AF141" s="566" t="s">
        <v>713</v>
      </c>
      <c r="AG141" s="566" t="s">
        <v>1313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121</v>
      </c>
      <c r="D142" s="516" t="s">
        <v>1357</v>
      </c>
      <c r="E142" s="516">
        <f t="shared" si="4"/>
        <v>117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424</v>
      </c>
      <c r="W142" s="541" t="s">
        <v>1358</v>
      </c>
      <c r="X142" s="516" t="s">
        <v>876</v>
      </c>
      <c r="Y142" s="542">
        <v>36641</v>
      </c>
      <c r="Z142" s="543">
        <f t="shared" ca="1" si="3"/>
        <v>25</v>
      </c>
      <c r="AA142" s="534" t="s">
        <v>1359</v>
      </c>
      <c r="AB142" s="516" t="s">
        <v>1360</v>
      </c>
      <c r="AC142" s="516" t="s">
        <v>842</v>
      </c>
      <c r="AD142" s="516" t="s">
        <v>843</v>
      </c>
      <c r="AE142" s="534" t="s">
        <v>713</v>
      </c>
      <c r="AF142" s="566" t="s">
        <v>713</v>
      </c>
      <c r="AG142" s="534" t="s">
        <v>1361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122</v>
      </c>
      <c r="D143" s="516" t="s">
        <v>1362</v>
      </c>
      <c r="E143" s="516">
        <f t="shared" si="4"/>
        <v>118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430</v>
      </c>
      <c r="W143" s="541" t="s">
        <v>1363</v>
      </c>
      <c r="X143" s="516" t="s">
        <v>876</v>
      </c>
      <c r="Y143" s="542">
        <v>36882</v>
      </c>
      <c r="Z143" s="543">
        <f t="shared" ca="1" si="3"/>
        <v>25</v>
      </c>
      <c r="AA143" s="534" t="s">
        <v>1364</v>
      </c>
      <c r="AB143" s="516" t="s">
        <v>1365</v>
      </c>
      <c r="AC143" s="516" t="s">
        <v>842</v>
      </c>
      <c r="AD143" s="516" t="s">
        <v>843</v>
      </c>
      <c r="AE143" s="534" t="s">
        <v>236</v>
      </c>
      <c r="AF143" s="534" t="s">
        <v>1256</v>
      </c>
      <c r="AG143" s="574" t="s">
        <v>1338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123</v>
      </c>
      <c r="D144" s="516" t="s">
        <v>1366</v>
      </c>
      <c r="E144" s="516">
        <f t="shared" si="4"/>
        <v>119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874</v>
      </c>
      <c r="V144" s="538" t="s">
        <v>433</v>
      </c>
      <c r="W144" s="541" t="s">
        <v>1367</v>
      </c>
      <c r="X144" s="516" t="s">
        <v>876</v>
      </c>
      <c r="Y144" s="542">
        <v>30868</v>
      </c>
      <c r="Z144" s="543">
        <f t="shared" ca="1" si="3"/>
        <v>41</v>
      </c>
      <c r="AA144" s="534" t="s">
        <v>1368</v>
      </c>
      <c r="AB144" s="516" t="s">
        <v>1369</v>
      </c>
      <c r="AC144" s="516" t="s">
        <v>842</v>
      </c>
      <c r="AD144" s="516" t="s">
        <v>843</v>
      </c>
      <c r="AE144" s="534" t="s">
        <v>713</v>
      </c>
      <c r="AF144" s="534" t="s">
        <v>713</v>
      </c>
      <c r="AG144" s="534" t="s">
        <v>1229</v>
      </c>
      <c r="AH144" s="516"/>
      <c r="AI144" s="516"/>
      <c r="AJ144" s="569" t="s">
        <v>1224</v>
      </c>
      <c r="AK144" s="516"/>
      <c r="AL144" s="544"/>
      <c r="AM144" s="544"/>
    </row>
    <row r="145" spans="3:39" ht="18" customHeight="1">
      <c r="C145" s="516">
        <v>124</v>
      </c>
      <c r="D145" s="516" t="s">
        <v>1370</v>
      </c>
      <c r="E145" s="516">
        <f t="shared" si="4"/>
        <v>120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788</v>
      </c>
      <c r="V145" s="538" t="s">
        <v>435</v>
      </c>
      <c r="W145" s="541" t="s">
        <v>1371</v>
      </c>
      <c r="X145" s="516" t="s">
        <v>876</v>
      </c>
      <c r="Y145" s="542">
        <v>32006</v>
      </c>
      <c r="Z145" s="543">
        <f t="shared" ca="1" si="3"/>
        <v>38</v>
      </c>
      <c r="AA145" s="534" t="s">
        <v>1372</v>
      </c>
      <c r="AB145" s="516"/>
      <c r="AC145" s="516" t="s">
        <v>842</v>
      </c>
      <c r="AD145" s="516" t="s">
        <v>843</v>
      </c>
      <c r="AE145" s="534" t="s">
        <v>713</v>
      </c>
      <c r="AF145" s="534" t="s">
        <v>713</v>
      </c>
      <c r="AG145" s="534" t="s">
        <v>1373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125</v>
      </c>
      <c r="D146" s="516" t="s">
        <v>1374</v>
      </c>
      <c r="E146" s="516">
        <f t="shared" si="4"/>
        <v>121</v>
      </c>
      <c r="F146" s="534" t="s">
        <v>1157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/>
      <c r="R146" s="516"/>
      <c r="S146" s="516"/>
      <c r="T146" s="516"/>
      <c r="U146" s="516" t="s">
        <v>874</v>
      </c>
      <c r="V146" s="538" t="s">
        <v>1375</v>
      </c>
      <c r="W146" s="541" t="s">
        <v>1376</v>
      </c>
      <c r="X146" s="516" t="s">
        <v>876</v>
      </c>
      <c r="Y146" s="542">
        <v>34187</v>
      </c>
      <c r="Z146" s="543">
        <f t="shared" ca="1" si="3"/>
        <v>32</v>
      </c>
      <c r="AA146" s="534" t="s">
        <v>1377</v>
      </c>
      <c r="AB146" s="516" t="s">
        <v>1378</v>
      </c>
      <c r="AC146" s="516" t="s">
        <v>842</v>
      </c>
      <c r="AD146" s="516" t="s">
        <v>843</v>
      </c>
      <c r="AE146" s="534" t="s">
        <v>713</v>
      </c>
      <c r="AF146" s="534" t="s">
        <v>713</v>
      </c>
      <c r="AG146" s="534" t="s">
        <v>1177</v>
      </c>
      <c r="AH146" s="516"/>
      <c r="AI146" s="516" t="s">
        <v>1379</v>
      </c>
      <c r="AJ146" s="516" t="s">
        <v>867</v>
      </c>
      <c r="AK146" s="516"/>
      <c r="AL146" s="544"/>
      <c r="AM146" s="544"/>
    </row>
    <row r="147" spans="3:39" ht="18" customHeight="1">
      <c r="C147" s="516">
        <v>126</v>
      </c>
      <c r="D147" s="516" t="s">
        <v>1380</v>
      </c>
      <c r="E147" s="516">
        <f t="shared" si="4"/>
        <v>122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788</v>
      </c>
      <c r="V147" s="538" t="s">
        <v>1381</v>
      </c>
      <c r="W147" s="541" t="s">
        <v>1382</v>
      </c>
      <c r="X147" s="516" t="s">
        <v>876</v>
      </c>
      <c r="Y147" s="542">
        <v>37337</v>
      </c>
      <c r="Z147" s="543">
        <f t="shared" ca="1" si="3"/>
        <v>23</v>
      </c>
      <c r="AA147" s="534" t="s">
        <v>1383</v>
      </c>
      <c r="AB147" s="516" t="s">
        <v>1384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1385</v>
      </c>
      <c r="AH147" s="516"/>
      <c r="AI147" s="516" t="s">
        <v>1386</v>
      </c>
      <c r="AJ147" s="516" t="s">
        <v>867</v>
      </c>
      <c r="AK147" s="516"/>
      <c r="AL147" s="544"/>
      <c r="AM147" s="544"/>
    </row>
    <row r="148" spans="3:39" ht="18" customHeight="1">
      <c r="C148" s="516">
        <v>127</v>
      </c>
      <c r="D148" s="516" t="s">
        <v>1387</v>
      </c>
      <c r="E148" s="516">
        <f t="shared" si="4"/>
        <v>123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1325</v>
      </c>
      <c r="L148" s="535" t="s">
        <v>1319</v>
      </c>
      <c r="M148" s="536" t="s">
        <v>1320</v>
      </c>
      <c r="N148" s="537"/>
      <c r="O148" s="537"/>
      <c r="P148" s="559" t="s">
        <v>787</v>
      </c>
      <c r="Q148" s="539"/>
      <c r="R148" s="516"/>
      <c r="S148" s="516"/>
      <c r="T148" s="516"/>
      <c r="U148" s="516" t="s">
        <v>788</v>
      </c>
      <c r="V148" s="559" t="s">
        <v>1388</v>
      </c>
      <c r="W148" s="541" t="s">
        <v>1389</v>
      </c>
      <c r="X148" s="516" t="s">
        <v>876</v>
      </c>
      <c r="Y148" s="542">
        <v>35479</v>
      </c>
      <c r="Z148" s="543">
        <f t="shared" ca="1" si="3"/>
        <v>28</v>
      </c>
      <c r="AA148" s="534" t="s">
        <v>1390</v>
      </c>
      <c r="AB148" s="516"/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1391</v>
      </c>
      <c r="AH148" s="516"/>
      <c r="AI148" s="516" t="s">
        <v>1392</v>
      </c>
      <c r="AJ148" s="516" t="s">
        <v>867</v>
      </c>
      <c r="AK148" s="516"/>
      <c r="AL148" s="544"/>
      <c r="AM148" s="544"/>
    </row>
    <row r="149" spans="3:39" ht="18" customHeight="1">
      <c r="C149" s="516">
        <v>128</v>
      </c>
      <c r="D149" s="516" t="s">
        <v>1393</v>
      </c>
      <c r="E149" s="516">
        <f t="shared" si="4"/>
        <v>124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1393</v>
      </c>
      <c r="L149" s="535" t="s">
        <v>1394</v>
      </c>
      <c r="M149" s="570" t="s">
        <v>1395</v>
      </c>
      <c r="N149" s="537"/>
      <c r="O149" s="537"/>
      <c r="P149" s="548" t="s">
        <v>828</v>
      </c>
      <c r="Q149" s="539"/>
      <c r="R149" s="516" t="s">
        <v>49</v>
      </c>
      <c r="S149" s="516" t="s">
        <v>168</v>
      </c>
      <c r="T149" s="516"/>
      <c r="U149" s="516" t="s">
        <v>799</v>
      </c>
      <c r="V149" s="548" t="s">
        <v>1396</v>
      </c>
      <c r="W149" s="541" t="s">
        <v>1397</v>
      </c>
      <c r="X149" s="516" t="s">
        <v>790</v>
      </c>
      <c r="Y149" s="542">
        <v>32406</v>
      </c>
      <c r="Z149" s="543">
        <f t="shared" ca="1" si="3"/>
        <v>37</v>
      </c>
      <c r="AA149" s="534" t="s">
        <v>1398</v>
      </c>
      <c r="AB149" s="516" t="s">
        <v>1399</v>
      </c>
      <c r="AC149" s="516" t="s">
        <v>802</v>
      </c>
      <c r="AD149" s="516" t="s">
        <v>794</v>
      </c>
      <c r="AE149" s="534" t="s">
        <v>713</v>
      </c>
      <c r="AF149" s="534" t="s">
        <v>1400</v>
      </c>
      <c r="AG149" s="534" t="s">
        <v>1401</v>
      </c>
      <c r="AH149" s="516"/>
      <c r="AI149" s="516"/>
      <c r="AJ149" s="516" t="s">
        <v>903</v>
      </c>
      <c r="AK149" s="516"/>
      <c r="AL149" s="544"/>
      <c r="AM149" s="544"/>
    </row>
    <row r="150" spans="3:39" ht="18" customHeight="1">
      <c r="C150" s="516">
        <v>129</v>
      </c>
      <c r="D150" s="516" t="s">
        <v>1394</v>
      </c>
      <c r="E150" s="516">
        <f t="shared" si="4"/>
        <v>125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38" t="s">
        <v>828</v>
      </c>
      <c r="Q150" s="539"/>
      <c r="R150" s="516" t="s">
        <v>62</v>
      </c>
      <c r="S150" s="516" t="s">
        <v>548</v>
      </c>
      <c r="T150" s="516"/>
      <c r="U150" s="516" t="s">
        <v>799</v>
      </c>
      <c r="V150" s="538" t="s">
        <v>1402</v>
      </c>
      <c r="W150" s="541" t="s">
        <v>1403</v>
      </c>
      <c r="X150" s="516" t="s">
        <v>790</v>
      </c>
      <c r="Y150" s="542">
        <v>27898</v>
      </c>
      <c r="Z150" s="543">
        <f t="shared" ca="1" si="3"/>
        <v>49</v>
      </c>
      <c r="AA150" s="534" t="s">
        <v>1404</v>
      </c>
      <c r="AB150" s="516" t="s">
        <v>1405</v>
      </c>
      <c r="AC150" s="516" t="s">
        <v>842</v>
      </c>
      <c r="AD150" s="516" t="s">
        <v>851</v>
      </c>
      <c r="AE150" s="534" t="s">
        <v>713</v>
      </c>
      <c r="AF150" s="534" t="s">
        <v>713</v>
      </c>
      <c r="AG150" s="534" t="s">
        <v>1406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130</v>
      </c>
      <c r="D151" s="516" t="s">
        <v>1395</v>
      </c>
      <c r="E151" s="516">
        <f t="shared" si="4"/>
        <v>126</v>
      </c>
      <c r="F151" s="534" t="s">
        <v>811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49" t="s">
        <v>1407</v>
      </c>
      <c r="W151" s="541" t="s">
        <v>1408</v>
      </c>
      <c r="X151" s="516" t="s">
        <v>790</v>
      </c>
      <c r="Y151" s="542">
        <v>31125</v>
      </c>
      <c r="Z151" s="543">
        <f t="shared" ca="1" si="3"/>
        <v>40</v>
      </c>
      <c r="AA151" s="534" t="s">
        <v>1409</v>
      </c>
      <c r="AB151" s="516" t="s">
        <v>1410</v>
      </c>
      <c r="AC151" s="516" t="s">
        <v>842</v>
      </c>
      <c r="AD151" s="516" t="s">
        <v>843</v>
      </c>
      <c r="AE151" s="534" t="s">
        <v>1411</v>
      </c>
      <c r="AF151" s="534" t="s">
        <v>1411</v>
      </c>
      <c r="AG151" s="534" t="s">
        <v>1412</v>
      </c>
      <c r="AH151" s="516"/>
      <c r="AI151" s="516"/>
      <c r="AJ151" s="569" t="s">
        <v>1224</v>
      </c>
      <c r="AK151" s="516"/>
      <c r="AL151" s="544"/>
      <c r="AM151" s="544"/>
    </row>
    <row r="152" spans="3:39" ht="18" customHeight="1">
      <c r="C152" s="516">
        <v>131</v>
      </c>
      <c r="D152" s="516" t="s">
        <v>1413</v>
      </c>
      <c r="E152" s="516">
        <f t="shared" si="4"/>
        <v>127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/>
      <c r="S152" s="516"/>
      <c r="T152" s="516"/>
      <c r="U152" s="516" t="s">
        <v>799</v>
      </c>
      <c r="V152" s="538" t="s">
        <v>1414</v>
      </c>
      <c r="W152" s="541" t="s">
        <v>1415</v>
      </c>
      <c r="X152" s="516" t="s">
        <v>790</v>
      </c>
      <c r="Y152" s="542">
        <v>27770</v>
      </c>
      <c r="Z152" s="543">
        <f t="shared" ca="1" si="3"/>
        <v>50</v>
      </c>
      <c r="AA152" s="534" t="s">
        <v>1416</v>
      </c>
      <c r="AB152" s="516"/>
      <c r="AC152" s="516" t="s">
        <v>802</v>
      </c>
      <c r="AD152" s="516" t="s">
        <v>794</v>
      </c>
      <c r="AE152" s="534" t="s">
        <v>713</v>
      </c>
      <c r="AF152" s="534" t="s">
        <v>713</v>
      </c>
      <c r="AG152" s="534" t="s">
        <v>1417</v>
      </c>
      <c r="AH152" s="516"/>
      <c r="AI152" s="516"/>
      <c r="AJ152" s="516" t="s">
        <v>903</v>
      </c>
      <c r="AK152" s="516"/>
      <c r="AL152" s="544"/>
      <c r="AM152" s="544"/>
    </row>
    <row r="153" spans="3:39" ht="18" customHeight="1">
      <c r="C153" s="516">
        <v>132</v>
      </c>
      <c r="D153" s="516" t="s">
        <v>1418</v>
      </c>
      <c r="E153" s="516">
        <f t="shared" si="4"/>
        <v>128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1419</v>
      </c>
      <c r="W153" s="541" t="s">
        <v>1420</v>
      </c>
      <c r="X153" s="516" t="s">
        <v>790</v>
      </c>
      <c r="Y153" s="542">
        <v>31231</v>
      </c>
      <c r="Z153" s="543">
        <f t="shared" ca="1" si="3"/>
        <v>40</v>
      </c>
      <c r="AA153" s="534" t="s">
        <v>1421</v>
      </c>
      <c r="AB153" s="571"/>
      <c r="AC153" s="516" t="s">
        <v>842</v>
      </c>
      <c r="AD153" s="516" t="s">
        <v>794</v>
      </c>
      <c r="AE153" s="534" t="s">
        <v>713</v>
      </c>
      <c r="AF153" s="534" t="s">
        <v>236</v>
      </c>
      <c r="AG153" s="534" t="s">
        <v>1422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1423</v>
      </c>
      <c r="E154" s="516">
        <f t="shared" si="4"/>
        <v>129</v>
      </c>
      <c r="F154" s="534" t="s">
        <v>811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373</v>
      </c>
      <c r="W154" s="541" t="s">
        <v>1424</v>
      </c>
      <c r="X154" s="516" t="s">
        <v>790</v>
      </c>
      <c r="Y154" s="542">
        <v>24666</v>
      </c>
      <c r="Z154" s="543">
        <f t="shared" ca="1" si="3"/>
        <v>58</v>
      </c>
      <c r="AA154" s="534" t="s">
        <v>1425</v>
      </c>
      <c r="AB154" s="516" t="s">
        <v>1426</v>
      </c>
      <c r="AC154" s="516" t="s">
        <v>842</v>
      </c>
      <c r="AD154" s="516" t="s">
        <v>843</v>
      </c>
      <c r="AE154" s="534" t="s">
        <v>713</v>
      </c>
      <c r="AF154" s="534" t="s">
        <v>713</v>
      </c>
      <c r="AG154" s="534" t="s">
        <v>1427</v>
      </c>
      <c r="AH154" s="516"/>
      <c r="AI154" s="516"/>
      <c r="AJ154" s="569" t="s">
        <v>1224</v>
      </c>
      <c r="AK154" s="516"/>
      <c r="AL154" s="544"/>
      <c r="AM154" s="544"/>
    </row>
    <row r="155" spans="3:39" ht="18" customHeight="1">
      <c r="C155" s="516">
        <v>134</v>
      </c>
      <c r="D155" s="516" t="s">
        <v>1428</v>
      </c>
      <c r="E155" s="516">
        <f t="shared" si="4"/>
        <v>130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398</v>
      </c>
      <c r="W155" s="541" t="s">
        <v>1429</v>
      </c>
      <c r="X155" s="516" t="s">
        <v>790</v>
      </c>
      <c r="Y155" s="542">
        <v>26465</v>
      </c>
      <c r="Z155" s="543">
        <f t="shared" ca="1" si="3"/>
        <v>53</v>
      </c>
      <c r="AA155" s="534" t="s">
        <v>1430</v>
      </c>
      <c r="AB155" s="516"/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1431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1432</v>
      </c>
      <c r="E156" s="516">
        <f t="shared" si="4"/>
        <v>131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 t="s">
        <v>308</v>
      </c>
      <c r="R156" s="516"/>
      <c r="S156" s="516"/>
      <c r="T156" s="516"/>
      <c r="U156" s="516" t="s">
        <v>799</v>
      </c>
      <c r="V156" s="561" t="s">
        <v>410</v>
      </c>
      <c r="W156" s="541" t="s">
        <v>1433</v>
      </c>
      <c r="X156" s="516" t="s">
        <v>790</v>
      </c>
      <c r="Y156" s="542">
        <v>23557</v>
      </c>
      <c r="Z156" s="543">
        <f t="shared" ca="1" si="3"/>
        <v>61</v>
      </c>
      <c r="AA156" s="534" t="s">
        <v>1434</v>
      </c>
      <c r="AB156" s="516" t="s">
        <v>1435</v>
      </c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/>
      <c r="AH156" s="516"/>
      <c r="AI156" s="516"/>
      <c r="AJ156" s="575" t="s">
        <v>1438</v>
      </c>
      <c r="AK156" s="516"/>
      <c r="AL156" s="544"/>
      <c r="AM156" s="544"/>
    </row>
    <row r="157" spans="3:39" ht="18" customHeight="1">
      <c r="C157" s="516">
        <v>136</v>
      </c>
      <c r="D157" s="516" t="s">
        <v>1439</v>
      </c>
      <c r="E157" s="516">
        <f t="shared" si="4"/>
        <v>132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1439</v>
      </c>
      <c r="L157" s="535" t="s">
        <v>1440</v>
      </c>
      <c r="M157" s="536"/>
      <c r="N157" s="537"/>
      <c r="O157" s="537"/>
      <c r="P157" s="548" t="s">
        <v>938</v>
      </c>
      <c r="Q157" s="539"/>
      <c r="R157" s="516" t="s">
        <v>49</v>
      </c>
      <c r="S157" s="516" t="s">
        <v>168</v>
      </c>
      <c r="T157" s="516"/>
      <c r="U157" s="516" t="s">
        <v>874</v>
      </c>
      <c r="V157" s="548" t="s">
        <v>593</v>
      </c>
      <c r="W157" s="541" t="s">
        <v>1441</v>
      </c>
      <c r="X157" s="516" t="s">
        <v>876</v>
      </c>
      <c r="Y157" s="542">
        <v>23479</v>
      </c>
      <c r="Z157" s="543">
        <f t="shared" ca="1" si="3"/>
        <v>61</v>
      </c>
      <c r="AA157" s="534" t="s">
        <v>1442</v>
      </c>
      <c r="AB157" s="516" t="s">
        <v>1443</v>
      </c>
      <c r="AC157" s="516" t="s">
        <v>802</v>
      </c>
      <c r="AD157" s="516" t="s">
        <v>794</v>
      </c>
      <c r="AE157" s="534" t="s">
        <v>713</v>
      </c>
      <c r="AF157" s="534" t="s">
        <v>1163</v>
      </c>
      <c r="AG157" s="534" t="s">
        <v>1444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137</v>
      </c>
      <c r="D158" s="516" t="s">
        <v>1440</v>
      </c>
      <c r="E158" s="516">
        <f t="shared" si="4"/>
        <v>133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38" t="s">
        <v>938</v>
      </c>
      <c r="Q158" s="539"/>
      <c r="R158" s="516" t="s">
        <v>62</v>
      </c>
      <c r="S158" s="516" t="s">
        <v>548</v>
      </c>
      <c r="T158" s="516"/>
      <c r="U158" s="516" t="s">
        <v>898</v>
      </c>
      <c r="V158" s="538" t="s">
        <v>1445</v>
      </c>
      <c r="W158" s="541" t="s">
        <v>1446</v>
      </c>
      <c r="X158" s="516" t="s">
        <v>876</v>
      </c>
      <c r="Y158" s="542">
        <v>20169</v>
      </c>
      <c r="Z158" s="543">
        <f t="shared" ca="1" si="3"/>
        <v>70</v>
      </c>
      <c r="AA158" s="534" t="s">
        <v>1447</v>
      </c>
      <c r="AB158" s="516" t="s">
        <v>1448</v>
      </c>
      <c r="AC158" s="516" t="s">
        <v>802</v>
      </c>
      <c r="AD158" s="516" t="s">
        <v>794</v>
      </c>
      <c r="AE158" s="534" t="s">
        <v>713</v>
      </c>
      <c r="AF158" s="534" t="s">
        <v>713</v>
      </c>
      <c r="AG158" s="534" t="s">
        <v>1449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138</v>
      </c>
      <c r="D159" s="516" t="s">
        <v>1450</v>
      </c>
      <c r="E159" s="516">
        <f t="shared" si="4"/>
        <v>134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/>
      <c r="S159" s="516"/>
      <c r="T159" s="516"/>
      <c r="U159" s="516" t="s">
        <v>874</v>
      </c>
      <c r="V159" s="538" t="s">
        <v>1451</v>
      </c>
      <c r="W159" s="541" t="s">
        <v>1452</v>
      </c>
      <c r="X159" s="516" t="s">
        <v>876</v>
      </c>
      <c r="Y159" s="542">
        <v>28954</v>
      </c>
      <c r="Z159" s="543">
        <f t="shared" ca="1" si="3"/>
        <v>46</v>
      </c>
      <c r="AA159" s="534" t="s">
        <v>1453</v>
      </c>
      <c r="AB159" s="516" t="s">
        <v>1454</v>
      </c>
      <c r="AC159" s="516" t="s">
        <v>842</v>
      </c>
      <c r="AD159" s="516" t="s">
        <v>851</v>
      </c>
      <c r="AE159" s="534" t="s">
        <v>1256</v>
      </c>
      <c r="AF159" s="534" t="s">
        <v>1256</v>
      </c>
      <c r="AG159" s="534" t="s">
        <v>1455</v>
      </c>
      <c r="AH159" s="516"/>
      <c r="AI159" s="516" t="s">
        <v>1456</v>
      </c>
      <c r="AJ159" s="516" t="s">
        <v>903</v>
      </c>
      <c r="AK159" s="516" t="s">
        <v>860</v>
      </c>
      <c r="AL159" s="544"/>
      <c r="AM159" s="544"/>
    </row>
    <row r="160" spans="3:39" ht="18" customHeight="1">
      <c r="C160" s="516">
        <v>139</v>
      </c>
      <c r="D160" s="516" t="s">
        <v>1457</v>
      </c>
      <c r="E160" s="516">
        <f t="shared" si="4"/>
        <v>135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1458</v>
      </c>
      <c r="W160" s="541" t="s">
        <v>1459</v>
      </c>
      <c r="X160" s="516" t="s">
        <v>876</v>
      </c>
      <c r="Y160" s="542">
        <v>21997</v>
      </c>
      <c r="Z160" s="543">
        <f t="shared" ca="1" si="3"/>
        <v>65</v>
      </c>
      <c r="AA160" s="534" t="s">
        <v>1460</v>
      </c>
      <c r="AB160" s="516" t="s">
        <v>1461</v>
      </c>
      <c r="AC160" s="516" t="s">
        <v>802</v>
      </c>
      <c r="AD160" s="516" t="s">
        <v>794</v>
      </c>
      <c r="AE160" s="534" t="s">
        <v>713</v>
      </c>
      <c r="AF160" s="534" t="s">
        <v>713</v>
      </c>
      <c r="AG160" s="534" t="s">
        <v>1462</v>
      </c>
      <c r="AH160" s="516"/>
      <c r="AI160" s="516"/>
      <c r="AJ160" s="516" t="s">
        <v>903</v>
      </c>
      <c r="AK160" s="516"/>
      <c r="AL160" s="544"/>
      <c r="AM160" s="544"/>
    </row>
    <row r="161" spans="3:39" ht="18" customHeight="1">
      <c r="C161" s="516">
        <v>140</v>
      </c>
      <c r="D161" s="516" t="s">
        <v>1463</v>
      </c>
      <c r="E161" s="516">
        <f t="shared" si="4"/>
        <v>136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1464</v>
      </c>
      <c r="W161" s="541" t="s">
        <v>1465</v>
      </c>
      <c r="X161" s="516" t="s">
        <v>876</v>
      </c>
      <c r="Y161" s="542">
        <v>24432</v>
      </c>
      <c r="Z161" s="543">
        <f t="shared" ca="1" si="3"/>
        <v>59</v>
      </c>
      <c r="AA161" s="534" t="s">
        <v>1466</v>
      </c>
      <c r="AB161" s="516" t="s">
        <v>1467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1468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141</v>
      </c>
      <c r="D162" s="516" t="s">
        <v>1469</v>
      </c>
      <c r="E162" s="516">
        <f t="shared" si="4"/>
        <v>137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1470</v>
      </c>
      <c r="W162" s="541" t="s">
        <v>1471</v>
      </c>
      <c r="X162" s="516" t="s">
        <v>876</v>
      </c>
      <c r="Y162" s="542">
        <v>27473</v>
      </c>
      <c r="Z162" s="543">
        <f t="shared" ca="1" si="3"/>
        <v>50</v>
      </c>
      <c r="AA162" s="534" t="s">
        <v>1472</v>
      </c>
      <c r="AB162" s="516" t="s">
        <v>1473</v>
      </c>
      <c r="AC162" s="516" t="s">
        <v>842</v>
      </c>
      <c r="AD162" s="516" t="s">
        <v>851</v>
      </c>
      <c r="AE162" s="534" t="s">
        <v>713</v>
      </c>
      <c r="AF162" s="534" t="s">
        <v>713</v>
      </c>
      <c r="AG162" s="534" t="s">
        <v>1474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142</v>
      </c>
      <c r="D163" s="516" t="s">
        <v>1475</v>
      </c>
      <c r="E163" s="516">
        <f t="shared" si="4"/>
        <v>138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1476</v>
      </c>
      <c r="W163" s="541" t="s">
        <v>1477</v>
      </c>
      <c r="X163" s="516" t="s">
        <v>876</v>
      </c>
      <c r="Y163" s="542">
        <v>27920</v>
      </c>
      <c r="Z163" s="543">
        <f t="shared" ca="1" si="3"/>
        <v>49</v>
      </c>
      <c r="AA163" s="534" t="s">
        <v>1478</v>
      </c>
      <c r="AB163" s="516" t="s">
        <v>1479</v>
      </c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143</v>
      </c>
      <c r="D164" s="516" t="s">
        <v>1480</v>
      </c>
      <c r="E164" s="516">
        <f t="shared" si="4"/>
        <v>139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1481</v>
      </c>
      <c r="W164" s="541" t="s">
        <v>1482</v>
      </c>
      <c r="X164" s="516" t="s">
        <v>876</v>
      </c>
      <c r="Y164" s="542">
        <v>29363</v>
      </c>
      <c r="Z164" s="543">
        <f t="shared" ca="1" si="3"/>
        <v>45</v>
      </c>
      <c r="AA164" s="534" t="s">
        <v>1483</v>
      </c>
      <c r="AB164" s="516" t="s">
        <v>1484</v>
      </c>
      <c r="AC164" s="516" t="s">
        <v>842</v>
      </c>
      <c r="AD164" s="516" t="s">
        <v>851</v>
      </c>
      <c r="AE164" s="534" t="s">
        <v>713</v>
      </c>
      <c r="AF164" s="534" t="s">
        <v>713</v>
      </c>
      <c r="AG164" s="534" t="s">
        <v>1468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144</v>
      </c>
      <c r="D165" s="516" t="s">
        <v>1485</v>
      </c>
      <c r="E165" s="516">
        <f t="shared" si="4"/>
        <v>140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1486</v>
      </c>
      <c r="W165" s="541" t="s">
        <v>1487</v>
      </c>
      <c r="X165" s="516" t="s">
        <v>876</v>
      </c>
      <c r="Y165" s="542">
        <v>30023</v>
      </c>
      <c r="Z165" s="543">
        <f t="shared" ca="1" si="3"/>
        <v>43</v>
      </c>
      <c r="AA165" s="534" t="s">
        <v>1488</v>
      </c>
      <c r="AB165" s="516" t="s">
        <v>1489</v>
      </c>
      <c r="AC165" s="516" t="s">
        <v>842</v>
      </c>
      <c r="AD165" s="516" t="s">
        <v>851</v>
      </c>
      <c r="AE165" s="534" t="s">
        <v>1256</v>
      </c>
      <c r="AF165" s="534" t="s">
        <v>1256</v>
      </c>
      <c r="AG165" s="534" t="s">
        <v>1490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145</v>
      </c>
      <c r="D166" s="516" t="s">
        <v>1491</v>
      </c>
      <c r="E166" s="516">
        <f t="shared" si="4"/>
        <v>141</v>
      </c>
      <c r="F166" s="534" t="s">
        <v>811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59" t="s">
        <v>938</v>
      </c>
      <c r="Q166" s="539" t="s">
        <v>308</v>
      </c>
      <c r="R166" s="516"/>
      <c r="S166" s="516"/>
      <c r="T166" s="516"/>
      <c r="U166" s="516" t="s">
        <v>874</v>
      </c>
      <c r="V166" s="559" t="s">
        <v>1492</v>
      </c>
      <c r="W166" s="541" t="s">
        <v>1493</v>
      </c>
      <c r="X166" s="516" t="s">
        <v>876</v>
      </c>
      <c r="Y166" s="542">
        <v>27368</v>
      </c>
      <c r="Z166" s="543">
        <f t="shared" ca="1" si="3"/>
        <v>51</v>
      </c>
      <c r="AA166" s="534" t="s">
        <v>1494</v>
      </c>
      <c r="AB166" s="516" t="s">
        <v>1495</v>
      </c>
      <c r="AC166" s="516" t="s">
        <v>842</v>
      </c>
      <c r="AD166" s="516" t="s">
        <v>843</v>
      </c>
      <c r="AE166" s="534" t="s">
        <v>713</v>
      </c>
      <c r="AF166" s="534" t="s">
        <v>713</v>
      </c>
      <c r="AG166" s="566" t="s">
        <v>1313</v>
      </c>
      <c r="AH166" s="516"/>
      <c r="AI166" s="516" t="s">
        <v>1496</v>
      </c>
      <c r="AJ166" s="516" t="s">
        <v>1497</v>
      </c>
      <c r="AK166" s="516" t="s">
        <v>860</v>
      </c>
      <c r="AL166" s="544"/>
      <c r="AM166" s="544"/>
    </row>
    <row r="167" spans="3:39" ht="18" customHeight="1">
      <c r="C167" s="516">
        <v>146</v>
      </c>
      <c r="D167" s="516" t="s">
        <v>1118</v>
      </c>
      <c r="E167" s="516">
        <f t="shared" si="4"/>
        <v>142</v>
      </c>
      <c r="F167" s="534" t="s">
        <v>1310</v>
      </c>
      <c r="G167" s="534" t="s">
        <v>713</v>
      </c>
      <c r="H167" s="535" t="s">
        <v>1118</v>
      </c>
      <c r="I167" s="535" t="s">
        <v>28</v>
      </c>
      <c r="J167" s="535" t="s">
        <v>1118</v>
      </c>
      <c r="K167" s="535" t="s">
        <v>1118</v>
      </c>
      <c r="L167" s="535" t="s">
        <v>1498</v>
      </c>
      <c r="M167" s="536" t="s">
        <v>786</v>
      </c>
      <c r="N167" s="537"/>
      <c r="O167" s="537"/>
      <c r="P167" s="548" t="s">
        <v>787</v>
      </c>
      <c r="Q167" s="539"/>
      <c r="R167" s="516" t="s">
        <v>982</v>
      </c>
      <c r="S167" s="516" t="s">
        <v>163</v>
      </c>
      <c r="T167" s="516" t="s">
        <v>49</v>
      </c>
      <c r="U167" s="516" t="s">
        <v>788</v>
      </c>
      <c r="V167" s="548" t="s">
        <v>28</v>
      </c>
      <c r="W167" s="541" t="s">
        <v>1119</v>
      </c>
      <c r="X167" s="516" t="s">
        <v>876</v>
      </c>
      <c r="Y167" s="542">
        <v>33065</v>
      </c>
      <c r="Z167" s="543">
        <f t="shared" ca="1" si="3"/>
        <v>35</v>
      </c>
      <c r="AA167" s="534" t="s">
        <v>1120</v>
      </c>
      <c r="AB167" s="516" t="s">
        <v>1121</v>
      </c>
      <c r="AC167" s="516" t="s">
        <v>793</v>
      </c>
      <c r="AD167" s="516" t="s">
        <v>794</v>
      </c>
      <c r="AE167" s="534" t="s">
        <v>713</v>
      </c>
      <c r="AF167" s="534" t="s">
        <v>795</v>
      </c>
      <c r="AG167" s="534" t="s">
        <v>796</v>
      </c>
      <c r="AH167" s="516"/>
      <c r="AI167" s="516"/>
      <c r="AJ167" s="516"/>
      <c r="AK167" s="516"/>
      <c r="AL167" s="544"/>
      <c r="AM167" s="544"/>
    </row>
    <row r="168" spans="3:39" ht="18" customHeight="1">
      <c r="C168" s="516">
        <v>147</v>
      </c>
      <c r="D168" s="516" t="s">
        <v>1498</v>
      </c>
      <c r="E168" s="516">
        <f t="shared" si="4"/>
        <v>143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38" t="s">
        <v>787</v>
      </c>
      <c r="Q168" s="539"/>
      <c r="R168" s="516" t="s">
        <v>62</v>
      </c>
      <c r="S168" s="516" t="s">
        <v>62</v>
      </c>
      <c r="T168" s="516" t="s">
        <v>1499</v>
      </c>
      <c r="U168" s="516" t="s">
        <v>788</v>
      </c>
      <c r="V168" s="538" t="s">
        <v>1500</v>
      </c>
      <c r="W168" s="541" t="s">
        <v>1501</v>
      </c>
      <c r="X168" s="516" t="s">
        <v>876</v>
      </c>
      <c r="Y168" s="542">
        <v>37601</v>
      </c>
      <c r="Z168" s="543">
        <f t="shared" ca="1" si="3"/>
        <v>23</v>
      </c>
      <c r="AA168" s="534" t="s">
        <v>1502</v>
      </c>
      <c r="AB168" s="516" t="s">
        <v>1503</v>
      </c>
      <c r="AC168" s="516" t="s">
        <v>793</v>
      </c>
      <c r="AD168" s="516" t="s">
        <v>794</v>
      </c>
      <c r="AE168" s="534" t="s">
        <v>713</v>
      </c>
      <c r="AF168" s="534" t="s">
        <v>713</v>
      </c>
      <c r="AG168" s="534" t="s">
        <v>1504</v>
      </c>
      <c r="AH168" s="516"/>
      <c r="AI168" s="516"/>
      <c r="AJ168" s="516" t="s">
        <v>832</v>
      </c>
      <c r="AK168" s="516"/>
      <c r="AL168" s="544"/>
      <c r="AM168" s="544"/>
    </row>
    <row r="169" spans="3:39" ht="18" customHeight="1">
      <c r="C169" s="516">
        <v>148</v>
      </c>
      <c r="D169" s="516" t="s">
        <v>1505</v>
      </c>
      <c r="E169" s="516">
        <f t="shared" si="4"/>
        <v>144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/>
      <c r="S169" s="516"/>
      <c r="T169" s="516"/>
      <c r="U169" s="516" t="s">
        <v>788</v>
      </c>
      <c r="V169" s="538" t="s">
        <v>206</v>
      </c>
      <c r="W169" s="541" t="s">
        <v>1506</v>
      </c>
      <c r="X169" s="516" t="s">
        <v>876</v>
      </c>
      <c r="Y169" s="542">
        <v>37601</v>
      </c>
      <c r="Z169" s="543">
        <f t="shared" ca="1" si="3"/>
        <v>23</v>
      </c>
      <c r="AA169" s="534" t="s">
        <v>1507</v>
      </c>
      <c r="AB169" s="516" t="s">
        <v>1508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1509</v>
      </c>
      <c r="AH169" s="516"/>
      <c r="AI169" s="516"/>
      <c r="AJ169" s="516"/>
      <c r="AK169" s="516"/>
      <c r="AL169" s="544"/>
      <c r="AM169" s="544"/>
    </row>
    <row r="170" spans="3:39" ht="18" customHeight="1">
      <c r="C170" s="516">
        <v>149</v>
      </c>
      <c r="D170" s="516" t="s">
        <v>1510</v>
      </c>
      <c r="E170" s="516">
        <f t="shared" si="4"/>
        <v>145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 t="s">
        <v>163</v>
      </c>
      <c r="S170" s="516" t="s">
        <v>500</v>
      </c>
      <c r="T170" s="516" t="s">
        <v>49</v>
      </c>
      <c r="U170" s="516" t="s">
        <v>788</v>
      </c>
      <c r="V170" s="538" t="s">
        <v>322</v>
      </c>
      <c r="W170" s="541" t="s">
        <v>1511</v>
      </c>
      <c r="X170" s="516" t="s">
        <v>876</v>
      </c>
      <c r="Y170" s="542">
        <v>36694</v>
      </c>
      <c r="Z170" s="543">
        <f t="shared" ca="1" si="3"/>
        <v>25</v>
      </c>
      <c r="AA170" s="534" t="s">
        <v>1512</v>
      </c>
      <c r="AB170" s="516" t="s">
        <v>1513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1514</v>
      </c>
      <c r="AH170" s="516"/>
      <c r="AI170" s="516"/>
      <c r="AJ170" s="516" t="s">
        <v>832</v>
      </c>
      <c r="AK170" s="516"/>
      <c r="AL170" s="544"/>
      <c r="AM170" s="544"/>
    </row>
    <row r="171" spans="3:39" ht="18" customHeight="1">
      <c r="C171" s="516">
        <v>150</v>
      </c>
      <c r="D171" s="516" t="s">
        <v>1515</v>
      </c>
      <c r="E171" s="516">
        <f t="shared" si="4"/>
        <v>146</v>
      </c>
      <c r="F171" s="534" t="s">
        <v>1310</v>
      </c>
      <c r="G171" s="534" t="s">
        <v>713</v>
      </c>
      <c r="H171" s="535" t="s">
        <v>1106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59" t="s">
        <v>787</v>
      </c>
      <c r="Q171" s="539"/>
      <c r="R171" s="516" t="s">
        <v>49</v>
      </c>
      <c r="S171" s="516" t="s">
        <v>168</v>
      </c>
      <c r="T171" s="516"/>
      <c r="U171" s="516" t="s">
        <v>788</v>
      </c>
      <c r="V171" s="559" t="s">
        <v>246</v>
      </c>
      <c r="W171" s="541" t="s">
        <v>1516</v>
      </c>
      <c r="X171" s="516" t="s">
        <v>876</v>
      </c>
      <c r="Y171" s="542">
        <v>35604</v>
      </c>
      <c r="Z171" s="543">
        <f t="shared" ca="1" si="3"/>
        <v>28</v>
      </c>
      <c r="AA171" s="534" t="s">
        <v>1517</v>
      </c>
      <c r="AB171" s="516" t="s">
        <v>1518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1519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151</v>
      </c>
      <c r="D172" s="516" t="s">
        <v>1520</v>
      </c>
      <c r="E172" s="516">
        <f t="shared" si="4"/>
        <v>147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1173</v>
      </c>
      <c r="L172" s="535" t="s">
        <v>1520</v>
      </c>
      <c r="M172" s="597" t="s">
        <v>1521</v>
      </c>
      <c r="N172" s="537"/>
      <c r="O172" s="537"/>
      <c r="P172" s="538" t="s">
        <v>828</v>
      </c>
      <c r="Q172" s="539"/>
      <c r="R172" s="516" t="s">
        <v>62</v>
      </c>
      <c r="S172" s="516" t="s">
        <v>62</v>
      </c>
      <c r="T172" s="516"/>
      <c r="U172" s="516" t="s">
        <v>799</v>
      </c>
      <c r="V172" s="538" t="s">
        <v>167</v>
      </c>
      <c r="W172" s="541" t="s">
        <v>1522</v>
      </c>
      <c r="X172" s="516" t="s">
        <v>790</v>
      </c>
      <c r="Y172" s="542">
        <v>28283</v>
      </c>
      <c r="Z172" s="543">
        <f t="shared" ca="1" si="3"/>
        <v>48</v>
      </c>
      <c r="AA172" s="534" t="s">
        <v>1523</v>
      </c>
      <c r="AB172" s="516" t="s">
        <v>1524</v>
      </c>
      <c r="AC172" s="516" t="s">
        <v>802</v>
      </c>
      <c r="AD172" s="516" t="s">
        <v>794</v>
      </c>
      <c r="AE172" s="534" t="s">
        <v>713</v>
      </c>
      <c r="AF172" s="534" t="s">
        <v>713</v>
      </c>
      <c r="AG172" s="534" t="s">
        <v>1525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152</v>
      </c>
      <c r="D173" s="516" t="s">
        <v>1521</v>
      </c>
      <c r="E173" s="516">
        <f t="shared" si="4"/>
        <v>148</v>
      </c>
      <c r="F173" s="534" t="s">
        <v>811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 t="s">
        <v>308</v>
      </c>
      <c r="R173" s="516" t="s">
        <v>62</v>
      </c>
      <c r="S173" s="516" t="s">
        <v>548</v>
      </c>
      <c r="T173" s="516"/>
      <c r="U173" s="516" t="s">
        <v>799</v>
      </c>
      <c r="V173" s="538" t="s">
        <v>187</v>
      </c>
      <c r="W173" s="541" t="s">
        <v>1526</v>
      </c>
      <c r="X173" s="516" t="s">
        <v>790</v>
      </c>
      <c r="Y173" s="542">
        <v>30250</v>
      </c>
      <c r="Z173" s="543">
        <f t="shared" ca="1" si="3"/>
        <v>43</v>
      </c>
      <c r="AA173" s="534" t="s">
        <v>1527</v>
      </c>
      <c r="AB173" s="516" t="s">
        <v>1528</v>
      </c>
      <c r="AC173" s="516" t="s">
        <v>842</v>
      </c>
      <c r="AD173" s="516" t="s">
        <v>851</v>
      </c>
      <c r="AE173" s="534" t="s">
        <v>713</v>
      </c>
      <c r="AF173" s="566" t="s">
        <v>713</v>
      </c>
      <c r="AG173" s="534" t="s">
        <v>1529</v>
      </c>
      <c r="AH173" s="516"/>
      <c r="AI173" s="516"/>
      <c r="AJ173" s="565" t="s">
        <v>1087</v>
      </c>
      <c r="AK173" s="516"/>
      <c r="AL173" s="544"/>
      <c r="AM173" s="544"/>
    </row>
    <row r="174" spans="3:39" ht="18" customHeight="1">
      <c r="C174" s="516">
        <v>153</v>
      </c>
      <c r="D174" s="516" t="s">
        <v>1530</v>
      </c>
      <c r="E174" s="516">
        <f t="shared" si="4"/>
        <v>149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/>
      <c r="R174" s="516"/>
      <c r="S174" s="516"/>
      <c r="T174" s="516"/>
      <c r="U174" s="516" t="s">
        <v>799</v>
      </c>
      <c r="V174" s="538" t="s">
        <v>277</v>
      </c>
      <c r="W174" s="541" t="s">
        <v>1531</v>
      </c>
      <c r="X174" s="516" t="s">
        <v>790</v>
      </c>
      <c r="Y174" s="542">
        <v>33040</v>
      </c>
      <c r="Z174" s="543">
        <f t="shared" ca="1" si="3"/>
        <v>35</v>
      </c>
      <c r="AA174" s="534" t="s">
        <v>1532</v>
      </c>
      <c r="AB174" s="516" t="s">
        <v>1533</v>
      </c>
      <c r="AC174" s="516" t="s">
        <v>842</v>
      </c>
      <c r="AD174" s="516" t="s">
        <v>851</v>
      </c>
      <c r="AE174" s="534" t="s">
        <v>713</v>
      </c>
      <c r="AF174" s="534" t="s">
        <v>713</v>
      </c>
      <c r="AG174" s="534" t="s">
        <v>1534</v>
      </c>
      <c r="AH174" s="516"/>
      <c r="AI174" s="516"/>
      <c r="AJ174" s="516" t="s">
        <v>1535</v>
      </c>
      <c r="AK174" s="516"/>
      <c r="AL174" s="544"/>
      <c r="AM174" s="544"/>
    </row>
    <row r="175" spans="3:39" ht="18" customHeight="1">
      <c r="C175" s="516">
        <v>154</v>
      </c>
      <c r="D175" s="516" t="s">
        <v>1536</v>
      </c>
      <c r="E175" s="516">
        <f t="shared" si="4"/>
        <v>150</v>
      </c>
      <c r="F175" s="534" t="s">
        <v>811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 t="s">
        <v>308</v>
      </c>
      <c r="R175" s="516"/>
      <c r="S175" s="516"/>
      <c r="T175" s="516"/>
      <c r="U175" s="516" t="s">
        <v>799</v>
      </c>
      <c r="V175" s="538" t="s">
        <v>207</v>
      </c>
      <c r="W175" s="541" t="s">
        <v>1537</v>
      </c>
      <c r="X175" s="516" t="s">
        <v>790</v>
      </c>
      <c r="Y175" s="542">
        <v>28259</v>
      </c>
      <c r="Z175" s="543">
        <f t="shared" ca="1" si="3"/>
        <v>48</v>
      </c>
      <c r="AA175" s="534" t="s">
        <v>1538</v>
      </c>
      <c r="AB175" s="516" t="s">
        <v>1539</v>
      </c>
      <c r="AC175" s="516" t="s">
        <v>842</v>
      </c>
      <c r="AD175" s="516" t="s">
        <v>843</v>
      </c>
      <c r="AE175" s="534" t="s">
        <v>713</v>
      </c>
      <c r="AF175" s="566" t="s">
        <v>713</v>
      </c>
      <c r="AG175" s="534" t="s">
        <v>1229</v>
      </c>
      <c r="AH175" s="516"/>
      <c r="AI175" s="516"/>
      <c r="AJ175" s="565" t="s">
        <v>1087</v>
      </c>
      <c r="AK175" s="516"/>
      <c r="AL175" s="544"/>
      <c r="AM175" s="544"/>
    </row>
    <row r="176" spans="3:39" ht="18" customHeight="1">
      <c r="C176" s="516">
        <v>155</v>
      </c>
      <c r="D176" s="516" t="s">
        <v>1540</v>
      </c>
      <c r="E176" s="516">
        <f t="shared" si="4"/>
        <v>151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227</v>
      </c>
      <c r="W176" s="541" t="s">
        <v>1541</v>
      </c>
      <c r="X176" s="516" t="s">
        <v>790</v>
      </c>
      <c r="Y176" s="542">
        <v>29734</v>
      </c>
      <c r="Z176" s="543">
        <f t="shared" ca="1" si="3"/>
        <v>44</v>
      </c>
      <c r="AA176" s="534" t="s">
        <v>1542</v>
      </c>
      <c r="AB176" s="516" t="s">
        <v>1543</v>
      </c>
      <c r="AC176" s="516" t="s">
        <v>842</v>
      </c>
      <c r="AD176" s="516" t="s">
        <v>843</v>
      </c>
      <c r="AE176" s="534" t="s">
        <v>942</v>
      </c>
      <c r="AF176" s="566" t="s">
        <v>713</v>
      </c>
      <c r="AG176" s="566" t="s">
        <v>1313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156</v>
      </c>
      <c r="D177" s="516" t="s">
        <v>1544</v>
      </c>
      <c r="E177" s="516">
        <f t="shared" si="4"/>
        <v>152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247</v>
      </c>
      <c r="W177" s="541" t="s">
        <v>1545</v>
      </c>
      <c r="X177" s="516" t="s">
        <v>790</v>
      </c>
      <c r="Y177" s="542">
        <v>30020</v>
      </c>
      <c r="Z177" s="543">
        <f t="shared" ca="1" si="3"/>
        <v>43</v>
      </c>
      <c r="AA177" s="534" t="s">
        <v>1546</v>
      </c>
      <c r="AB177" s="516" t="s">
        <v>1547</v>
      </c>
      <c r="AC177" s="516" t="s">
        <v>842</v>
      </c>
      <c r="AD177" s="516" t="s">
        <v>843</v>
      </c>
      <c r="AE177" s="534" t="s">
        <v>713</v>
      </c>
      <c r="AF177" s="566" t="s">
        <v>713</v>
      </c>
      <c r="AG177" s="534" t="s">
        <v>1229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157</v>
      </c>
      <c r="D178" s="516" t="s">
        <v>1548</v>
      </c>
      <c r="E178" s="516">
        <f t="shared" si="4"/>
        <v>153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262</v>
      </c>
      <c r="W178" s="541" t="s">
        <v>1549</v>
      </c>
      <c r="X178" s="516" t="s">
        <v>790</v>
      </c>
      <c r="Y178" s="542">
        <v>34787</v>
      </c>
      <c r="Z178" s="543">
        <f t="shared" ca="1" si="3"/>
        <v>30</v>
      </c>
      <c r="AA178" s="534" t="s">
        <v>1550</v>
      </c>
      <c r="AB178" s="516" t="s">
        <v>1551</v>
      </c>
      <c r="AC178" s="516" t="s">
        <v>842</v>
      </c>
      <c r="AD178" s="516" t="s">
        <v>843</v>
      </c>
      <c r="AE178" s="534" t="s">
        <v>1256</v>
      </c>
      <c r="AF178" s="534" t="s">
        <v>1552</v>
      </c>
      <c r="AG178" s="534" t="s">
        <v>1553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158</v>
      </c>
      <c r="D179" s="516" t="s">
        <v>1554</v>
      </c>
      <c r="E179" s="516">
        <f t="shared" si="4"/>
        <v>154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1555</v>
      </c>
      <c r="W179" s="541" t="s">
        <v>1556</v>
      </c>
      <c r="X179" s="516" t="s">
        <v>790</v>
      </c>
      <c r="Y179" s="542">
        <v>29202</v>
      </c>
      <c r="Z179" s="543">
        <f t="shared" ca="1" si="3"/>
        <v>46</v>
      </c>
      <c r="AA179" s="534" t="s">
        <v>1557</v>
      </c>
      <c r="AB179" s="571"/>
      <c r="AC179" s="516" t="s">
        <v>842</v>
      </c>
      <c r="AD179" s="516" t="s">
        <v>843</v>
      </c>
      <c r="AE179" s="534" t="s">
        <v>713</v>
      </c>
      <c r="AF179" s="534" t="s">
        <v>713</v>
      </c>
      <c r="AG179" s="534" t="s">
        <v>1558</v>
      </c>
      <c r="AH179" s="516"/>
      <c r="AI179" s="516" t="s">
        <v>1559</v>
      </c>
      <c r="AJ179" s="516" t="s">
        <v>844</v>
      </c>
      <c r="AK179" s="576" t="s">
        <v>1560</v>
      </c>
      <c r="AL179" s="544"/>
      <c r="AM179" s="544"/>
    </row>
    <row r="180" spans="1:39" ht="18" customHeight="1">
      <c r="A180" s="173"/>
      <c r="B180" s="173"/>
      <c r="C180" s="516">
        <v>159</v>
      </c>
      <c r="D180" s="516" t="s">
        <v>1561</v>
      </c>
      <c r="E180" s="516">
        <f t="shared" si="4"/>
        <v>155</v>
      </c>
      <c r="F180" s="577" t="s">
        <v>1310</v>
      </c>
      <c r="G180" s="516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657" t="s">
        <v>1521</v>
      </c>
      <c r="N180" s="537"/>
      <c r="O180" s="567"/>
      <c r="P180" s="556" t="s">
        <v>828</v>
      </c>
      <c r="Q180" s="568"/>
      <c r="R180" s="554"/>
      <c r="S180" s="554"/>
      <c r="T180" s="554"/>
      <c r="U180" s="555" t="s">
        <v>788</v>
      </c>
      <c r="V180" s="556" t="s">
        <v>1562</v>
      </c>
      <c r="W180" s="557" t="s">
        <v>1563</v>
      </c>
      <c r="X180" s="516" t="s">
        <v>790</v>
      </c>
      <c r="Y180" s="542">
        <v>33672</v>
      </c>
      <c r="Z180" s="543">
        <f t="shared" ca="1" si="3"/>
        <v>33</v>
      </c>
      <c r="AA180" s="516" t="s">
        <v>1564</v>
      </c>
      <c r="AB180" s="578"/>
      <c r="AC180" s="516" t="s">
        <v>842</v>
      </c>
      <c r="AD180" s="516" t="s">
        <v>843</v>
      </c>
      <c r="AE180" s="516" t="s">
        <v>713</v>
      </c>
      <c r="AF180" s="516" t="s">
        <v>713</v>
      </c>
      <c r="AG180" s="516" t="s">
        <v>1294</v>
      </c>
      <c r="AH180" s="554"/>
      <c r="AI180" s="579" t="s">
        <v>1565</v>
      </c>
      <c r="AJ180" s="516" t="s">
        <v>844</v>
      </c>
      <c r="AK180" s="580" t="s">
        <v>1560</v>
      </c>
      <c r="AL180" s="554"/>
      <c r="AM180" s="554"/>
    </row>
    <row r="181" spans="1:39" ht="18" customHeight="1">
      <c r="A181" s="173"/>
      <c r="B181" s="173"/>
      <c r="C181" s="516">
        <v>160</v>
      </c>
      <c r="D181" s="581" t="s">
        <v>1566</v>
      </c>
      <c r="E181" s="516">
        <f t="shared" si="4"/>
        <v>156</v>
      </c>
      <c r="F181" s="581" t="s">
        <v>1310</v>
      </c>
      <c r="G181" s="581" t="s">
        <v>713</v>
      </c>
      <c r="H181" s="582" t="s">
        <v>1118</v>
      </c>
      <c r="I181" s="582" t="s">
        <v>28</v>
      </c>
      <c r="J181" s="582" t="s">
        <v>1118</v>
      </c>
      <c r="K181" s="582" t="s">
        <v>1173</v>
      </c>
      <c r="L181" s="582" t="s">
        <v>1520</v>
      </c>
      <c r="M181" s="658" t="s">
        <v>1521</v>
      </c>
      <c r="N181" s="537"/>
      <c r="O181" s="583"/>
      <c r="P181" s="584" t="s">
        <v>828</v>
      </c>
      <c r="Q181" s="585"/>
      <c r="R181" s="586"/>
      <c r="S181" s="586"/>
      <c r="T181" s="586"/>
      <c r="U181" s="581" t="s">
        <v>799</v>
      </c>
      <c r="V181" s="556" t="s">
        <v>1567</v>
      </c>
      <c r="W181" s="587" t="s">
        <v>1568</v>
      </c>
      <c r="X181" s="581" t="s">
        <v>790</v>
      </c>
      <c r="Y181" s="588">
        <v>30297</v>
      </c>
      <c r="Z181" s="589">
        <f t="shared" ca="1" si="3"/>
        <v>43</v>
      </c>
      <c r="AA181" s="581" t="s">
        <v>1569</v>
      </c>
      <c r="AB181" s="586"/>
      <c r="AC181" s="581" t="s">
        <v>842</v>
      </c>
      <c r="AD181" s="581" t="s">
        <v>843</v>
      </c>
      <c r="AE181" s="581" t="s">
        <v>713</v>
      </c>
      <c r="AF181" s="581" t="s">
        <v>713</v>
      </c>
      <c r="AG181" s="581" t="s">
        <v>1570</v>
      </c>
      <c r="AH181" s="590" t="s">
        <v>1571</v>
      </c>
      <c r="AI181" s="581" t="s">
        <v>1572</v>
      </c>
      <c r="AJ181" s="581" t="s">
        <v>1535</v>
      </c>
      <c r="AK181" s="581" t="s">
        <v>1573</v>
      </c>
      <c r="AL181" s="554"/>
      <c r="AM181" s="554"/>
    </row>
    <row r="182" spans="1:39" ht="18" customHeight="1">
      <c r="A182" s="173"/>
      <c r="B182" s="173"/>
      <c r="C182" s="516">
        <v>161</v>
      </c>
      <c r="D182" s="516" t="s">
        <v>1574</v>
      </c>
      <c r="E182" s="516">
        <f t="shared" si="4"/>
        <v>157</v>
      </c>
      <c r="F182" s="577" t="s">
        <v>1310</v>
      </c>
      <c r="G182" s="516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657" t="s">
        <v>1521</v>
      </c>
      <c r="N182" s="537"/>
      <c r="O182" s="567"/>
      <c r="P182" s="591" t="s">
        <v>828</v>
      </c>
      <c r="Q182" s="568"/>
      <c r="R182" s="554"/>
      <c r="S182" s="554"/>
      <c r="T182" s="554"/>
      <c r="U182" s="592" t="s">
        <v>799</v>
      </c>
      <c r="V182" s="591" t="s">
        <v>1575</v>
      </c>
      <c r="W182" s="557" t="s">
        <v>1576</v>
      </c>
      <c r="X182" s="516" t="s">
        <v>790</v>
      </c>
      <c r="Y182" s="542">
        <v>30831</v>
      </c>
      <c r="Z182" s="543">
        <f t="shared" ca="1" si="3"/>
        <v>41</v>
      </c>
      <c r="AA182" s="516" t="s">
        <v>1577</v>
      </c>
      <c r="AB182" s="554"/>
      <c r="AC182" s="516" t="s">
        <v>842</v>
      </c>
      <c r="AD182" s="516" t="s">
        <v>843</v>
      </c>
      <c r="AE182" s="516" t="s">
        <v>713</v>
      </c>
      <c r="AF182" s="516" t="s">
        <v>713</v>
      </c>
      <c r="AG182" s="516" t="s">
        <v>1177</v>
      </c>
      <c r="AH182" s="554"/>
      <c r="AI182" s="579" t="s">
        <v>1578</v>
      </c>
      <c r="AJ182" s="516" t="s">
        <v>1535</v>
      </c>
      <c r="AK182" s="516" t="s">
        <v>1560</v>
      </c>
      <c r="AL182" s="554"/>
      <c r="AM182" s="554"/>
    </row>
    <row r="183" spans="1:39" ht="18" customHeight="1">
      <c r="C183" s="516">
        <v>162</v>
      </c>
      <c r="D183" s="516" t="s">
        <v>1173</v>
      </c>
      <c r="E183" s="516">
        <f t="shared" si="4"/>
        <v>157</v>
      </c>
      <c r="F183" s="534"/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6" t="s">
        <v>1579</v>
      </c>
      <c r="M183" s="536"/>
      <c r="N183" s="537"/>
      <c r="O183" s="537"/>
      <c r="P183" s="548" t="s">
        <v>938</v>
      </c>
      <c r="Q183" s="539"/>
      <c r="R183" s="516" t="s">
        <v>49</v>
      </c>
      <c r="S183" s="516" t="s">
        <v>168</v>
      </c>
      <c r="T183" s="516"/>
      <c r="U183" s="516"/>
      <c r="V183" s="548" t="s">
        <v>169</v>
      </c>
      <c r="W183" s="541" t="s">
        <v>1174</v>
      </c>
      <c r="X183" s="516" t="s">
        <v>790</v>
      </c>
      <c r="Y183" s="542">
        <v>31834</v>
      </c>
      <c r="Z183" s="543">
        <f t="shared" ca="1" si="3"/>
        <v>38</v>
      </c>
      <c r="AA183" s="534" t="s">
        <v>1175</v>
      </c>
      <c r="AB183" s="516" t="s">
        <v>1176</v>
      </c>
      <c r="AC183" s="516" t="s">
        <v>802</v>
      </c>
      <c r="AD183" s="516" t="s">
        <v>794</v>
      </c>
      <c r="AE183" s="534" t="s">
        <v>713</v>
      </c>
      <c r="AF183" s="534" t="s">
        <v>1163</v>
      </c>
      <c r="AG183" s="534" t="s">
        <v>1177</v>
      </c>
      <c r="AH183" s="516" t="s">
        <v>872</v>
      </c>
      <c r="AI183" s="516"/>
      <c r="AJ183" s="516"/>
      <c r="AK183" s="516"/>
      <c r="AL183" s="544"/>
      <c r="AM183" s="544"/>
    </row>
    <row r="184" spans="1:39" ht="18" customHeight="1">
      <c r="C184" s="516">
        <v>163</v>
      </c>
      <c r="D184" s="516" t="s">
        <v>1579</v>
      </c>
      <c r="E184" s="516">
        <f t="shared" si="4"/>
        <v>158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38" t="s">
        <v>938</v>
      </c>
      <c r="Q184" s="539" t="s">
        <v>308</v>
      </c>
      <c r="R184" s="516" t="s">
        <v>62</v>
      </c>
      <c r="S184" s="516" t="s">
        <v>62</v>
      </c>
      <c r="T184" s="516"/>
      <c r="U184" s="516" t="s">
        <v>799</v>
      </c>
      <c r="V184" s="538" t="s">
        <v>188</v>
      </c>
      <c r="W184" s="541" t="s">
        <v>1580</v>
      </c>
      <c r="X184" s="516" t="s">
        <v>790</v>
      </c>
      <c r="Y184" s="542">
        <v>35647</v>
      </c>
      <c r="Z184" s="543">
        <f t="shared" ca="1" si="3"/>
        <v>28</v>
      </c>
      <c r="AA184" s="534" t="s">
        <v>1581</v>
      </c>
      <c r="AB184" s="516" t="s">
        <v>1582</v>
      </c>
      <c r="AC184" s="516" t="s">
        <v>842</v>
      </c>
      <c r="AD184" s="516" t="s">
        <v>843</v>
      </c>
      <c r="AE184" s="534" t="s">
        <v>713</v>
      </c>
      <c r="AF184" s="566" t="s">
        <v>713</v>
      </c>
      <c r="AG184" s="534" t="s">
        <v>1583</v>
      </c>
      <c r="AH184" s="516"/>
      <c r="AI184" s="516"/>
      <c r="AJ184" s="565" t="s">
        <v>1087</v>
      </c>
      <c r="AK184" s="516"/>
      <c r="AL184" s="544"/>
      <c r="AM184" s="544"/>
    </row>
    <row r="185" spans="1:39" ht="18" customHeight="1">
      <c r="C185" s="516">
        <v>164</v>
      </c>
      <c r="D185" s="516" t="s">
        <v>1584</v>
      </c>
      <c r="E185" s="516">
        <f t="shared" si="4"/>
        <v>159</v>
      </c>
      <c r="F185" s="534" t="s">
        <v>1310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/>
      <c r="R185" s="516"/>
      <c r="S185" s="516"/>
      <c r="T185" s="516"/>
      <c r="U185" s="516" t="s">
        <v>788</v>
      </c>
      <c r="V185" s="538" t="s">
        <v>1585</v>
      </c>
      <c r="W185" s="541" t="s">
        <v>1586</v>
      </c>
      <c r="X185" s="516" t="s">
        <v>790</v>
      </c>
      <c r="Y185" s="542">
        <v>37703</v>
      </c>
      <c r="Z185" s="543">
        <f t="shared" ca="1" si="3"/>
        <v>22</v>
      </c>
      <c r="AA185" s="534" t="s">
        <v>1587</v>
      </c>
      <c r="AB185" s="516" t="s">
        <v>1588</v>
      </c>
      <c r="AC185" s="516" t="s">
        <v>793</v>
      </c>
      <c r="AD185" s="516" t="s">
        <v>794</v>
      </c>
      <c r="AE185" s="534" t="s">
        <v>713</v>
      </c>
      <c r="AF185" s="534" t="s">
        <v>713</v>
      </c>
      <c r="AG185" s="534"/>
      <c r="AH185" s="516"/>
      <c r="AI185" s="516"/>
      <c r="AJ185" s="516" t="s">
        <v>844</v>
      </c>
      <c r="AK185" s="516"/>
      <c r="AL185" s="544"/>
      <c r="AM185" s="544"/>
    </row>
    <row r="186" spans="1:39" ht="18" customHeight="1">
      <c r="C186" s="516">
        <v>165</v>
      </c>
      <c r="D186" s="516" t="s">
        <v>1589</v>
      </c>
      <c r="E186" s="516">
        <f t="shared" si="4"/>
        <v>160</v>
      </c>
      <c r="F186" s="534" t="s">
        <v>1001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3"/>
        <v>35</v>
      </c>
      <c r="AA186" s="534" t="s">
        <v>1591</v>
      </c>
      <c r="AB186" s="516" t="s">
        <v>1592</v>
      </c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1:39" ht="18" customHeight="1">
      <c r="C187" s="516">
        <v>166</v>
      </c>
      <c r="D187" s="516" t="s">
        <v>1594</v>
      </c>
      <c r="E187" s="516">
        <f t="shared" si="4"/>
        <v>161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3"/>
        <v>22</v>
      </c>
      <c r="AA187" s="534" t="s">
        <v>1086</v>
      </c>
      <c r="AB187" s="516" t="s">
        <v>1596</v>
      </c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167</v>
      </c>
      <c r="D188" s="516" t="s">
        <v>1598</v>
      </c>
      <c r="E188" s="516">
        <f t="shared" si="4"/>
        <v>162</v>
      </c>
      <c r="F188" s="534" t="s">
        <v>1001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3"/>
        <v>38</v>
      </c>
      <c r="AA188" s="534" t="s">
        <v>1601</v>
      </c>
      <c r="AB188" s="516" t="s">
        <v>1602</v>
      </c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1:39" ht="18" customHeight="1">
      <c r="C189" s="516">
        <v>168</v>
      </c>
      <c r="D189" s="516" t="s">
        <v>1605</v>
      </c>
      <c r="E189" s="516">
        <f t="shared" si="4"/>
        <v>163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3"/>
        <v>22</v>
      </c>
      <c r="AA189" s="534" t="s">
        <v>1607</v>
      </c>
      <c r="AB189" s="516" t="s">
        <v>1608</v>
      </c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1:39" ht="18" customHeight="1">
      <c r="C190" s="516">
        <v>169</v>
      </c>
      <c r="D190" s="516" t="s">
        <v>1613</v>
      </c>
      <c r="E190" s="516">
        <f t="shared" si="4"/>
        <v>164</v>
      </c>
      <c r="F190" s="534" t="s">
        <v>1157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1613</v>
      </c>
      <c r="L190" s="535" t="s">
        <v>1614</v>
      </c>
      <c r="M190" s="536"/>
      <c r="N190" s="537"/>
      <c r="O190" s="537"/>
      <c r="P190" s="548" t="s">
        <v>978</v>
      </c>
      <c r="Q190" s="539"/>
      <c r="R190" s="516" t="s">
        <v>49</v>
      </c>
      <c r="S190" s="516" t="s">
        <v>168</v>
      </c>
      <c r="T190" s="516"/>
      <c r="U190" s="516" t="s">
        <v>874</v>
      </c>
      <c r="V190" s="548" t="s">
        <v>1615</v>
      </c>
      <c r="W190" s="541" t="s">
        <v>1616</v>
      </c>
      <c r="X190" s="516" t="s">
        <v>876</v>
      </c>
      <c r="Y190" s="542">
        <v>29411</v>
      </c>
      <c r="Z190" s="543">
        <f t="shared" ca="1" si="3"/>
        <v>45</v>
      </c>
      <c r="AA190" s="534" t="s">
        <v>1617</v>
      </c>
      <c r="AB190" s="516" t="s">
        <v>1618</v>
      </c>
      <c r="AC190" s="516" t="s">
        <v>802</v>
      </c>
      <c r="AD190" s="516" t="s">
        <v>794</v>
      </c>
      <c r="AE190" s="534" t="s">
        <v>713</v>
      </c>
      <c r="AF190" s="534" t="s">
        <v>1163</v>
      </c>
      <c r="AG190" s="534" t="s">
        <v>1172</v>
      </c>
      <c r="AH190" s="516"/>
      <c r="AI190" s="516"/>
      <c r="AJ190" s="516"/>
      <c r="AK190" s="516"/>
      <c r="AL190" s="544"/>
      <c r="AM190" s="544"/>
    </row>
    <row r="191" spans="1:39" ht="18" customHeight="1">
      <c r="C191" s="516">
        <v>170</v>
      </c>
      <c r="D191" s="516" t="s">
        <v>1614</v>
      </c>
      <c r="E191" s="516">
        <f t="shared" si="4"/>
        <v>165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38" t="s">
        <v>978</v>
      </c>
      <c r="Q191" s="539"/>
      <c r="R191" s="516" t="s">
        <v>62</v>
      </c>
      <c r="S191" s="516" t="s">
        <v>548</v>
      </c>
      <c r="T191" s="516"/>
      <c r="U191" s="516" t="s">
        <v>874</v>
      </c>
      <c r="V191" s="538" t="s">
        <v>1619</v>
      </c>
      <c r="W191" s="541" t="s">
        <v>1620</v>
      </c>
      <c r="X191" s="516" t="s">
        <v>876</v>
      </c>
      <c r="Y191" s="542">
        <v>29485</v>
      </c>
      <c r="Z191" s="543">
        <f t="shared" ca="1" si="3"/>
        <v>45</v>
      </c>
      <c r="AA191" s="594" t="s">
        <v>1621</v>
      </c>
      <c r="AB191" s="516" t="s">
        <v>1622</v>
      </c>
      <c r="AC191" s="516" t="s">
        <v>842</v>
      </c>
      <c r="AD191" s="516" t="s">
        <v>851</v>
      </c>
      <c r="AE191" s="534" t="s">
        <v>713</v>
      </c>
      <c r="AF191" s="534" t="s">
        <v>713</v>
      </c>
      <c r="AG191" s="534" t="s">
        <v>1229</v>
      </c>
      <c r="AH191" s="516"/>
      <c r="AI191" s="516"/>
      <c r="AJ191" s="516" t="s">
        <v>1535</v>
      </c>
      <c r="AK191" s="516"/>
      <c r="AL191" s="544"/>
      <c r="AM191" s="544"/>
    </row>
    <row r="192" spans="1:39" ht="18" customHeight="1">
      <c r="C192" s="516">
        <v>171</v>
      </c>
      <c r="D192" s="516" t="s">
        <v>1623</v>
      </c>
      <c r="E192" s="516">
        <f t="shared" si="4"/>
        <v>166</v>
      </c>
      <c r="F192" s="534" t="s">
        <v>1157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/>
      <c r="S192" s="516"/>
      <c r="T192" s="516"/>
      <c r="U192" s="516" t="s">
        <v>874</v>
      </c>
      <c r="V192" s="538" t="s">
        <v>1624</v>
      </c>
      <c r="W192" s="541" t="s">
        <v>1625</v>
      </c>
      <c r="X192" s="516" t="s">
        <v>876</v>
      </c>
      <c r="Y192" s="542">
        <v>28450</v>
      </c>
      <c r="Z192" s="543">
        <f t="shared" ca="1" si="3"/>
        <v>48</v>
      </c>
      <c r="AA192" s="534" t="s">
        <v>1626</v>
      </c>
      <c r="AB192" s="516" t="s">
        <v>1627</v>
      </c>
      <c r="AC192" s="516" t="s">
        <v>842</v>
      </c>
      <c r="AD192" s="516" t="s">
        <v>851</v>
      </c>
      <c r="AE192" s="534" t="s">
        <v>713</v>
      </c>
      <c r="AF192" s="534" t="s">
        <v>1163</v>
      </c>
      <c r="AG192" s="534" t="s">
        <v>1172</v>
      </c>
      <c r="AH192" s="516"/>
      <c r="AI192" s="516"/>
      <c r="AJ192" s="516" t="s">
        <v>832</v>
      </c>
      <c r="AK192" s="516"/>
      <c r="AL192" s="544"/>
      <c r="AM192" s="544"/>
    </row>
    <row r="193" spans="1:39" ht="18" customHeight="1">
      <c r="C193" s="516">
        <v>172</v>
      </c>
      <c r="D193" s="516" t="s">
        <v>1628</v>
      </c>
      <c r="E193" s="516">
        <f t="shared" si="4"/>
        <v>167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1629</v>
      </c>
      <c r="W193" s="541" t="s">
        <v>1630</v>
      </c>
      <c r="X193" s="516" t="s">
        <v>876</v>
      </c>
      <c r="Y193" s="542">
        <v>31343</v>
      </c>
      <c r="Z193" s="543">
        <f t="shared" ca="1" si="3"/>
        <v>40</v>
      </c>
      <c r="AA193" s="534" t="s">
        <v>1631</v>
      </c>
      <c r="AB193" s="516" t="s">
        <v>1632</v>
      </c>
      <c r="AC193" s="516" t="s">
        <v>842</v>
      </c>
      <c r="AD193" s="516" t="s">
        <v>851</v>
      </c>
      <c r="AE193" s="534" t="s">
        <v>713</v>
      </c>
      <c r="AF193" s="534" t="s">
        <v>713</v>
      </c>
      <c r="AG193" s="534"/>
      <c r="AH193" s="516"/>
      <c r="AI193" s="516"/>
      <c r="AJ193" s="516" t="s">
        <v>844</v>
      </c>
      <c r="AK193" s="516"/>
      <c r="AL193" s="544"/>
      <c r="AM193" s="544"/>
    </row>
    <row r="194" spans="1:39" ht="18" customHeight="1">
      <c r="C194" s="516">
        <v>173</v>
      </c>
      <c r="D194" s="516" t="s">
        <v>1634</v>
      </c>
      <c r="E194" s="516">
        <f t="shared" si="4"/>
        <v>168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95" t="s">
        <v>1635</v>
      </c>
      <c r="U194" s="516" t="s">
        <v>874</v>
      </c>
      <c r="V194" s="538" t="s">
        <v>1636</v>
      </c>
      <c r="W194" s="541" t="s">
        <v>1637</v>
      </c>
      <c r="X194" s="516" t="s">
        <v>876</v>
      </c>
      <c r="Y194" s="542">
        <v>31414</v>
      </c>
      <c r="Z194" s="543">
        <f t="shared" ca="1" si="3"/>
        <v>40</v>
      </c>
      <c r="AA194" s="534" t="s">
        <v>1638</v>
      </c>
      <c r="AB194" s="516" t="s">
        <v>1639</v>
      </c>
      <c r="AC194" s="516" t="s">
        <v>802</v>
      </c>
      <c r="AD194" s="516" t="s">
        <v>794</v>
      </c>
      <c r="AE194" s="534" t="s">
        <v>713</v>
      </c>
      <c r="AF194" s="534" t="s">
        <v>713</v>
      </c>
      <c r="AG194" s="534" t="s">
        <v>1640</v>
      </c>
      <c r="AH194" s="516"/>
      <c r="AI194" s="516"/>
      <c r="AJ194" s="516" t="s">
        <v>832</v>
      </c>
      <c r="AK194" s="516"/>
      <c r="AL194" s="544"/>
      <c r="AM194" s="544"/>
    </row>
    <row r="195" spans="1:39" ht="18" customHeight="1">
      <c r="C195" s="516">
        <v>174</v>
      </c>
      <c r="D195" s="516" t="s">
        <v>1641</v>
      </c>
      <c r="E195" s="516">
        <f t="shared" si="4"/>
        <v>169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16"/>
      <c r="U195" s="516" t="s">
        <v>874</v>
      </c>
      <c r="V195" s="538" t="s">
        <v>1642</v>
      </c>
      <c r="W195" s="541" t="s">
        <v>1643</v>
      </c>
      <c r="X195" s="516" t="s">
        <v>876</v>
      </c>
      <c r="Y195" s="542">
        <v>33133</v>
      </c>
      <c r="Z195" s="543">
        <f t="shared" ca="1" si="3"/>
        <v>35</v>
      </c>
      <c r="AA195" s="534" t="s">
        <v>1644</v>
      </c>
      <c r="AB195" s="516" t="s">
        <v>1645</v>
      </c>
      <c r="AC195" s="516" t="s">
        <v>842</v>
      </c>
      <c r="AD195" s="516" t="s">
        <v>794</v>
      </c>
      <c r="AE195" s="534" t="s">
        <v>713</v>
      </c>
      <c r="AF195" s="534" t="s">
        <v>713</v>
      </c>
      <c r="AG195" s="534" t="s">
        <v>1646</v>
      </c>
      <c r="AH195" s="516"/>
      <c r="AI195" s="516"/>
      <c r="AJ195" s="516" t="s">
        <v>844</v>
      </c>
      <c r="AK195" s="516"/>
      <c r="AL195" s="544"/>
      <c r="AM195" s="544"/>
    </row>
    <row r="196" spans="1:39" ht="18" customHeight="1">
      <c r="C196" s="516">
        <v>175</v>
      </c>
      <c r="D196" s="516" t="s">
        <v>1647</v>
      </c>
      <c r="E196" s="516">
        <f t="shared" si="4"/>
        <v>170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1647</v>
      </c>
      <c r="L196" s="535" t="s">
        <v>1648</v>
      </c>
      <c r="M196" s="629" t="s">
        <v>1649</v>
      </c>
      <c r="N196" s="629" t="s">
        <v>1650</v>
      </c>
      <c r="O196" s="537"/>
      <c r="P196" s="548" t="s">
        <v>1011</v>
      </c>
      <c r="Q196" s="539"/>
      <c r="R196" s="516" t="s">
        <v>49</v>
      </c>
      <c r="S196" s="516" t="s">
        <v>168</v>
      </c>
      <c r="T196" s="516"/>
      <c r="U196" s="516" t="s">
        <v>874</v>
      </c>
      <c r="V196" s="548" t="s">
        <v>1651</v>
      </c>
      <c r="W196" s="541" t="s">
        <v>1652</v>
      </c>
      <c r="X196" s="516" t="s">
        <v>876</v>
      </c>
      <c r="Y196" s="542">
        <v>31138</v>
      </c>
      <c r="Z196" s="543">
        <f t="shared" ca="1" si="3"/>
        <v>40</v>
      </c>
      <c r="AA196" s="594" t="s">
        <v>1653</v>
      </c>
      <c r="AB196" s="516" t="s">
        <v>1654</v>
      </c>
      <c r="AC196" s="516" t="s">
        <v>802</v>
      </c>
      <c r="AD196" s="516" t="s">
        <v>794</v>
      </c>
      <c r="AE196" s="534" t="s">
        <v>713</v>
      </c>
      <c r="AF196" s="534" t="s">
        <v>713</v>
      </c>
      <c r="AG196" s="534" t="s">
        <v>1223</v>
      </c>
      <c r="AH196" s="516"/>
      <c r="AI196" s="516"/>
      <c r="AJ196" s="516" t="s">
        <v>1535</v>
      </c>
      <c r="AK196" s="516"/>
      <c r="AL196" s="544"/>
      <c r="AM196" s="544"/>
    </row>
    <row r="197" spans="1:39" ht="18" customHeight="1">
      <c r="C197" s="516">
        <v>176</v>
      </c>
      <c r="D197" s="516" t="s">
        <v>1649</v>
      </c>
      <c r="E197" s="516">
        <f t="shared" si="4"/>
        <v>171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38" t="s">
        <v>1011</v>
      </c>
      <c r="Q197" s="539"/>
      <c r="R197" s="516" t="s">
        <v>62</v>
      </c>
      <c r="S197" s="516" t="s">
        <v>548</v>
      </c>
      <c r="T197" s="516"/>
      <c r="U197" s="516" t="s">
        <v>874</v>
      </c>
      <c r="V197" s="538" t="s">
        <v>209</v>
      </c>
      <c r="W197" s="541" t="s">
        <v>1655</v>
      </c>
      <c r="X197" s="516" t="s">
        <v>876</v>
      </c>
      <c r="Y197" s="542">
        <v>20588</v>
      </c>
      <c r="Z197" s="543">
        <f t="shared" ca="1" si="3"/>
        <v>69</v>
      </c>
      <c r="AA197" s="594" t="s">
        <v>1656</v>
      </c>
      <c r="AB197" s="516" t="s">
        <v>1657</v>
      </c>
      <c r="AC197" s="516" t="s">
        <v>842</v>
      </c>
      <c r="AD197" s="516" t="s">
        <v>843</v>
      </c>
      <c r="AE197" s="534" t="s">
        <v>713</v>
      </c>
      <c r="AF197" s="534" t="s">
        <v>713</v>
      </c>
      <c r="AG197" s="534" t="s">
        <v>1658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177</v>
      </c>
      <c r="D198" s="516" t="s">
        <v>1650</v>
      </c>
      <c r="E198" s="516">
        <f t="shared" si="4"/>
        <v>172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1659</v>
      </c>
      <c r="W198" s="541" t="s">
        <v>1660</v>
      </c>
      <c r="X198" s="516" t="s">
        <v>876</v>
      </c>
      <c r="Y198" s="542">
        <v>28649</v>
      </c>
      <c r="Z198" s="543">
        <f t="shared" ca="1" si="3"/>
        <v>47</v>
      </c>
      <c r="AA198" s="594" t="s">
        <v>1661</v>
      </c>
      <c r="AB198" s="516" t="s">
        <v>1662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 t="s">
        <v>1663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178</v>
      </c>
      <c r="D199" s="516" t="s">
        <v>1664</v>
      </c>
      <c r="E199" s="516">
        <f t="shared" si="4"/>
        <v>173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1665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49</v>
      </c>
      <c r="S199" s="516" t="s">
        <v>168</v>
      </c>
      <c r="T199" s="516"/>
      <c r="U199" s="516" t="s">
        <v>874</v>
      </c>
      <c r="V199" s="538" t="s">
        <v>323</v>
      </c>
      <c r="W199" s="541" t="s">
        <v>4210</v>
      </c>
      <c r="X199" s="516" t="s">
        <v>876</v>
      </c>
      <c r="Y199" s="542">
        <v>30593</v>
      </c>
      <c r="Z199" s="543">
        <f t="shared" ca="1" si="3"/>
        <v>42</v>
      </c>
      <c r="AA199" s="534" t="s">
        <v>1666</v>
      </c>
      <c r="AB199" s="516" t="s">
        <v>1667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1:39" ht="18" customHeight="1">
      <c r="C200" s="516">
        <v>179</v>
      </c>
      <c r="D200" s="516" t="s">
        <v>1668</v>
      </c>
      <c r="E200" s="516">
        <f t="shared" si="4"/>
        <v>174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1648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288</v>
      </c>
      <c r="W200" s="541" t="s">
        <v>1669</v>
      </c>
      <c r="X200" s="516" t="s">
        <v>876</v>
      </c>
      <c r="Y200" s="542">
        <v>22549</v>
      </c>
      <c r="Z200" s="543">
        <f t="shared" ca="1" si="3"/>
        <v>64</v>
      </c>
      <c r="AA200" s="594" t="s">
        <v>1670</v>
      </c>
      <c r="AB200" s="516" t="s">
        <v>1671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 t="s">
        <v>1672</v>
      </c>
      <c r="AH200" s="516"/>
      <c r="AI200" s="516"/>
      <c r="AJ200" s="516" t="s">
        <v>1535</v>
      </c>
      <c r="AK200" s="516"/>
      <c r="AL200" s="544"/>
      <c r="AM200" s="544"/>
    </row>
    <row r="201" spans="1:39" ht="18" customHeight="1">
      <c r="C201" s="516">
        <v>180</v>
      </c>
      <c r="D201" s="516" t="s">
        <v>1673</v>
      </c>
      <c r="E201" s="516">
        <f t="shared" si="4"/>
        <v>175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/>
      <c r="S201" s="516"/>
      <c r="T201" s="516"/>
      <c r="U201" s="516" t="s">
        <v>874</v>
      </c>
      <c r="V201" s="538" t="s">
        <v>1674</v>
      </c>
      <c r="W201" s="541" t="s">
        <v>1675</v>
      </c>
      <c r="X201" s="516" t="s">
        <v>876</v>
      </c>
      <c r="Y201" s="542">
        <v>26557</v>
      </c>
      <c r="Z201" s="543">
        <f t="shared" ca="1" si="3"/>
        <v>53</v>
      </c>
      <c r="AA201" s="594" t="s">
        <v>1676</v>
      </c>
      <c r="AB201" s="516" t="s">
        <v>1677</v>
      </c>
      <c r="AC201" s="516" t="s">
        <v>842</v>
      </c>
      <c r="AD201" s="516" t="s">
        <v>851</v>
      </c>
      <c r="AE201" s="534" t="s">
        <v>713</v>
      </c>
      <c r="AF201" s="534" t="s">
        <v>713</v>
      </c>
      <c r="AG201" s="534" t="s">
        <v>1678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A202" s="173"/>
      <c r="B202" s="173"/>
      <c r="C202" s="516">
        <v>181</v>
      </c>
      <c r="D202" s="516" t="s">
        <v>1679</v>
      </c>
      <c r="E202" s="516">
        <f t="shared" si="4"/>
        <v>176</v>
      </c>
      <c r="F202" s="577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68"/>
      <c r="R202" s="516" t="s">
        <v>49</v>
      </c>
      <c r="S202" s="516" t="s">
        <v>168</v>
      </c>
      <c r="T202" s="516"/>
      <c r="U202" s="596" t="s">
        <v>874</v>
      </c>
      <c r="V202" s="556" t="s">
        <v>278</v>
      </c>
      <c r="W202" s="557" t="s">
        <v>1680</v>
      </c>
      <c r="X202" s="516" t="s">
        <v>876</v>
      </c>
      <c r="Y202" s="542">
        <v>28944</v>
      </c>
      <c r="Z202" s="543">
        <f t="shared" ca="1" si="3"/>
        <v>46</v>
      </c>
      <c r="AA202" s="516" t="s">
        <v>1681</v>
      </c>
      <c r="AB202" s="516" t="s">
        <v>1682</v>
      </c>
      <c r="AC202" s="516" t="s">
        <v>802</v>
      </c>
      <c r="AD202" s="516" t="s">
        <v>794</v>
      </c>
      <c r="AE202" s="516" t="s">
        <v>236</v>
      </c>
      <c r="AF202" s="516" t="s">
        <v>236</v>
      </c>
      <c r="AG202" s="516" t="s">
        <v>1683</v>
      </c>
      <c r="AH202" s="554"/>
      <c r="AI202" s="554"/>
      <c r="AJ202" s="516" t="s">
        <v>867</v>
      </c>
      <c r="AK202" s="554"/>
      <c r="AL202" s="554"/>
      <c r="AM202" s="554"/>
    </row>
    <row r="203" spans="1:39" ht="18" customHeight="1">
      <c r="C203" s="516">
        <v>182</v>
      </c>
      <c r="D203" s="516" t="s">
        <v>1684</v>
      </c>
      <c r="E203" s="516">
        <f t="shared" si="4"/>
        <v>177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40" t="s">
        <v>1011</v>
      </c>
      <c r="Q203" s="539"/>
      <c r="R203" s="516"/>
      <c r="S203" s="516"/>
      <c r="T203" s="516"/>
      <c r="U203" s="516" t="s">
        <v>874</v>
      </c>
      <c r="V203" s="559" t="s">
        <v>1685</v>
      </c>
      <c r="W203" s="541" t="s">
        <v>1686</v>
      </c>
      <c r="X203" s="516" t="s">
        <v>876</v>
      </c>
      <c r="Y203" s="542">
        <v>30235</v>
      </c>
      <c r="Z203" s="543">
        <f t="shared" ca="1" si="3"/>
        <v>43</v>
      </c>
      <c r="AA203" s="534" t="s">
        <v>1687</v>
      </c>
      <c r="AB203" s="571"/>
      <c r="AC203" s="516" t="s">
        <v>842</v>
      </c>
      <c r="AD203" s="516" t="s">
        <v>851</v>
      </c>
      <c r="AE203" s="534" t="s">
        <v>713</v>
      </c>
      <c r="AF203" s="534" t="s">
        <v>713</v>
      </c>
      <c r="AG203" s="534" t="s">
        <v>1688</v>
      </c>
      <c r="AH203" s="516"/>
      <c r="AI203" s="516"/>
      <c r="AJ203" s="516"/>
      <c r="AK203" s="516"/>
      <c r="AL203" s="544"/>
      <c r="AM203" s="544"/>
    </row>
    <row r="204" spans="1:39" ht="18" customHeight="1">
      <c r="C204" s="516">
        <v>183</v>
      </c>
      <c r="D204" s="516" t="s">
        <v>1665</v>
      </c>
      <c r="E204" s="516">
        <f t="shared" si="4"/>
        <v>178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1665</v>
      </c>
      <c r="L204" s="535" t="s">
        <v>1648</v>
      </c>
      <c r="M204" s="536"/>
      <c r="N204" s="536"/>
      <c r="O204" s="536"/>
      <c r="P204" s="548" t="s">
        <v>1041</v>
      </c>
      <c r="Q204" s="539"/>
      <c r="R204" s="516" t="s">
        <v>62</v>
      </c>
      <c r="S204" s="516" t="s">
        <v>62</v>
      </c>
      <c r="T204" s="516"/>
      <c r="U204" s="516" t="s">
        <v>874</v>
      </c>
      <c r="V204" s="538" t="s">
        <v>1689</v>
      </c>
      <c r="W204" s="541" t="s">
        <v>1690</v>
      </c>
      <c r="X204" s="516" t="s">
        <v>876</v>
      </c>
      <c r="Y204" s="542">
        <v>29346</v>
      </c>
      <c r="Z204" s="543">
        <f t="shared" ca="1" si="3"/>
        <v>45</v>
      </c>
      <c r="AA204" s="534" t="s">
        <v>1691</v>
      </c>
      <c r="AB204" s="516" t="s">
        <v>1692</v>
      </c>
      <c r="AC204" s="516" t="s">
        <v>802</v>
      </c>
      <c r="AD204" s="516" t="s">
        <v>794</v>
      </c>
      <c r="AE204" s="534" t="s">
        <v>713</v>
      </c>
      <c r="AF204" s="534" t="s">
        <v>713</v>
      </c>
      <c r="AG204" s="534"/>
      <c r="AH204" s="516"/>
      <c r="AI204" s="516"/>
      <c r="AJ204" s="516" t="s">
        <v>844</v>
      </c>
      <c r="AK204" s="516"/>
      <c r="AL204" s="544"/>
      <c r="AM204" s="544"/>
    </row>
    <row r="205" spans="1:39" ht="18" customHeight="1">
      <c r="C205" s="516">
        <v>184</v>
      </c>
      <c r="D205" s="516" t="s">
        <v>1648</v>
      </c>
      <c r="E205" s="516">
        <f t="shared" si="4"/>
        <v>179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3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1693</v>
      </c>
      <c r="W205" s="541" t="s">
        <v>1694</v>
      </c>
      <c r="X205" s="516" t="s">
        <v>876</v>
      </c>
      <c r="Y205" s="542">
        <v>31817</v>
      </c>
      <c r="Z205" s="543">
        <f t="shared" ca="1" si="3"/>
        <v>38</v>
      </c>
      <c r="AA205" s="534" t="s">
        <v>1695</v>
      </c>
      <c r="AB205" s="516" t="s">
        <v>1696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1697</v>
      </c>
      <c r="AH205" s="516"/>
      <c r="AI205" s="516"/>
      <c r="AJ205" s="516" t="s">
        <v>1535</v>
      </c>
      <c r="AK205" s="516"/>
      <c r="AL205" s="544"/>
      <c r="AM205" s="544"/>
    </row>
    <row r="206" spans="1:39" ht="18" customHeight="1">
      <c r="C206" s="516">
        <v>185</v>
      </c>
      <c r="D206" s="516" t="s">
        <v>1698</v>
      </c>
      <c r="E206" s="516">
        <f t="shared" si="4"/>
        <v>180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/>
      <c r="S206" s="516"/>
      <c r="T206" s="595" t="s">
        <v>1635</v>
      </c>
      <c r="U206" s="516" t="s">
        <v>874</v>
      </c>
      <c r="V206" s="538" t="s">
        <v>1699</v>
      </c>
      <c r="W206" s="541" t="s">
        <v>1700</v>
      </c>
      <c r="X206" s="516" t="s">
        <v>876</v>
      </c>
      <c r="Y206" s="542">
        <v>23081</v>
      </c>
      <c r="Z206" s="543">
        <f t="shared" ca="1" si="3"/>
        <v>62</v>
      </c>
      <c r="AA206" s="534" t="s">
        <v>1701</v>
      </c>
      <c r="AB206" s="516" t="s">
        <v>1702</v>
      </c>
      <c r="AC206" s="516" t="s">
        <v>842</v>
      </c>
      <c r="AD206" s="516" t="s">
        <v>851</v>
      </c>
      <c r="AE206" s="534" t="s">
        <v>713</v>
      </c>
      <c r="AF206" s="534" t="s">
        <v>713</v>
      </c>
      <c r="AG206" s="534"/>
      <c r="AH206" s="516"/>
      <c r="AI206" s="516"/>
      <c r="AJ206" s="516" t="s">
        <v>844</v>
      </c>
      <c r="AK206" s="516"/>
      <c r="AL206" s="544"/>
      <c r="AM206" s="544"/>
    </row>
    <row r="207" spans="1:39" ht="18" customHeight="1">
      <c r="C207" s="516">
        <v>186</v>
      </c>
      <c r="D207" s="516" t="s">
        <v>1703</v>
      </c>
      <c r="E207" s="516">
        <f t="shared" si="4"/>
        <v>181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7"/>
      <c r="O207" s="537"/>
      <c r="P207" s="559" t="s">
        <v>1041</v>
      </c>
      <c r="Q207" s="539"/>
      <c r="R207" s="516"/>
      <c r="S207" s="516"/>
      <c r="T207" s="516"/>
      <c r="U207" s="516" t="s">
        <v>874</v>
      </c>
      <c r="V207" s="538" t="s">
        <v>1704</v>
      </c>
      <c r="W207" s="541" t="s">
        <v>1705</v>
      </c>
      <c r="X207" s="516" t="s">
        <v>876</v>
      </c>
      <c r="Y207" s="542">
        <v>28228</v>
      </c>
      <c r="Z207" s="543">
        <f t="shared" ca="1" si="3"/>
        <v>48</v>
      </c>
      <c r="AA207" s="534" t="s">
        <v>1706</v>
      </c>
      <c r="AB207" s="516" t="s">
        <v>1707</v>
      </c>
      <c r="AC207" s="516" t="s">
        <v>802</v>
      </c>
      <c r="AD207" s="516" t="s">
        <v>794</v>
      </c>
      <c r="AE207" s="534" t="s">
        <v>713</v>
      </c>
      <c r="AF207" s="534" t="s">
        <v>713</v>
      </c>
      <c r="AG207" s="534" t="s">
        <v>1708</v>
      </c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187</v>
      </c>
      <c r="D208" s="516" t="s">
        <v>1168</v>
      </c>
      <c r="E208" s="516">
        <f t="shared" si="4"/>
        <v>181</v>
      </c>
      <c r="F208" s="534"/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1168</v>
      </c>
      <c r="L208" s="536" t="s">
        <v>1709</v>
      </c>
      <c r="M208" s="597" t="s">
        <v>1710</v>
      </c>
      <c r="N208" s="597"/>
      <c r="O208" s="537"/>
      <c r="P208" s="550" t="s">
        <v>1077</v>
      </c>
      <c r="Q208" s="539"/>
      <c r="R208" s="516" t="s">
        <v>49</v>
      </c>
      <c r="S208" s="516" t="s">
        <v>168</v>
      </c>
      <c r="T208" s="516"/>
      <c r="U208" s="516"/>
      <c r="V208" s="548" t="s">
        <v>171</v>
      </c>
      <c r="W208" s="541" t="s">
        <v>1169</v>
      </c>
      <c r="X208" s="516" t="s">
        <v>876</v>
      </c>
      <c r="Y208" s="542">
        <v>19598</v>
      </c>
      <c r="Z208" s="543">
        <f t="shared" ca="1" si="3"/>
        <v>72</v>
      </c>
      <c r="AA208" s="534" t="s">
        <v>1170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1163</v>
      </c>
      <c r="AG208" s="534" t="s">
        <v>1172</v>
      </c>
      <c r="AH208" s="516" t="s">
        <v>872</v>
      </c>
      <c r="AI208" s="516"/>
      <c r="AJ208" s="516"/>
      <c r="AK208" s="516"/>
      <c r="AL208" s="544"/>
      <c r="AM208" s="544"/>
    </row>
    <row r="209" spans="1:39" ht="18" customHeight="1">
      <c r="C209" s="516">
        <v>188</v>
      </c>
      <c r="D209" s="516" t="s">
        <v>1710</v>
      </c>
      <c r="E209" s="516">
        <f t="shared" si="4"/>
        <v>182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37"/>
      <c r="O209" s="537"/>
      <c r="P209" s="538" t="s">
        <v>1077</v>
      </c>
      <c r="Q209" s="539"/>
      <c r="R209" s="516" t="s">
        <v>62</v>
      </c>
      <c r="S209" s="516" t="s">
        <v>548</v>
      </c>
      <c r="T209" s="516"/>
      <c r="U209" s="516" t="s">
        <v>898</v>
      </c>
      <c r="V209" s="549" t="s">
        <v>190</v>
      </c>
      <c r="W209" s="541" t="s">
        <v>1711</v>
      </c>
      <c r="X209" s="516" t="s">
        <v>876</v>
      </c>
      <c r="Y209" s="542">
        <v>20242</v>
      </c>
      <c r="Z209" s="543">
        <f t="shared" ca="1" si="3"/>
        <v>70</v>
      </c>
      <c r="AA209" s="534" t="s">
        <v>1712</v>
      </c>
      <c r="AB209" s="516" t="s">
        <v>1713</v>
      </c>
      <c r="AC209" s="516" t="s">
        <v>842</v>
      </c>
      <c r="AD209" s="516" t="s">
        <v>843</v>
      </c>
      <c r="AE209" s="534" t="s">
        <v>713</v>
      </c>
      <c r="AF209" s="534" t="s">
        <v>713</v>
      </c>
      <c r="AG209" s="534" t="s">
        <v>1313</v>
      </c>
      <c r="AH209" s="516"/>
      <c r="AI209" s="516"/>
      <c r="AJ209" s="516" t="s">
        <v>971</v>
      </c>
      <c r="AK209" s="516"/>
      <c r="AL209" s="544"/>
      <c r="AM209" s="544"/>
    </row>
    <row r="210" spans="1:39" ht="18" customHeight="1">
      <c r="A210" s="173"/>
      <c r="B210" s="173"/>
      <c r="C210" s="516">
        <v>189</v>
      </c>
      <c r="D210" s="516" t="s">
        <v>1709</v>
      </c>
      <c r="E210" s="516">
        <f t="shared" si="4"/>
        <v>183</v>
      </c>
      <c r="F210" s="577" t="s">
        <v>1310</v>
      </c>
      <c r="G210" s="516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67"/>
      <c r="O210" s="567"/>
      <c r="P210" s="538" t="s">
        <v>1077</v>
      </c>
      <c r="Q210" s="568"/>
      <c r="R210" s="516" t="s">
        <v>62</v>
      </c>
      <c r="S210" s="516" t="s">
        <v>548</v>
      </c>
      <c r="T210" s="554"/>
      <c r="U210" s="596" t="s">
        <v>874</v>
      </c>
      <c r="V210" s="556" t="s">
        <v>1714</v>
      </c>
      <c r="W210" s="557" t="s">
        <v>1715</v>
      </c>
      <c r="X210" s="516" t="s">
        <v>876</v>
      </c>
      <c r="Y210" s="542">
        <v>23999</v>
      </c>
      <c r="Z210" s="543">
        <f t="shared" ca="1" si="3"/>
        <v>60</v>
      </c>
      <c r="AA210" s="516" t="s">
        <v>1716</v>
      </c>
      <c r="AB210" s="516" t="s">
        <v>1717</v>
      </c>
      <c r="AC210" s="516" t="s">
        <v>842</v>
      </c>
      <c r="AD210" s="516" t="s">
        <v>843</v>
      </c>
      <c r="AE210" s="516" t="s">
        <v>713</v>
      </c>
      <c r="AF210" s="516" t="s">
        <v>713</v>
      </c>
      <c r="AG210" s="516" t="s">
        <v>1718</v>
      </c>
      <c r="AH210" s="554"/>
      <c r="AI210" s="554"/>
      <c r="AJ210" s="516" t="s">
        <v>971</v>
      </c>
      <c r="AK210" s="554"/>
      <c r="AL210" s="554"/>
      <c r="AM210" s="554"/>
    </row>
    <row r="211" spans="1:39" ht="18" customHeight="1">
      <c r="A211" s="173"/>
      <c r="B211" s="173"/>
      <c r="C211" s="516">
        <v>190</v>
      </c>
      <c r="D211" s="516" t="s">
        <v>1719</v>
      </c>
      <c r="E211" s="516">
        <f t="shared" si="4"/>
        <v>184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657" t="s">
        <v>1710</v>
      </c>
      <c r="N211" s="567"/>
      <c r="O211" s="567"/>
      <c r="P211" s="538" t="s">
        <v>1077</v>
      </c>
      <c r="Q211" s="568"/>
      <c r="R211" s="554"/>
      <c r="S211" s="554"/>
      <c r="T211" s="554"/>
      <c r="U211" s="604" t="s">
        <v>898</v>
      </c>
      <c r="V211" s="556" t="s">
        <v>229</v>
      </c>
      <c r="W211" s="557" t="s">
        <v>1720</v>
      </c>
      <c r="X211" s="516" t="s">
        <v>876</v>
      </c>
      <c r="Y211" s="542">
        <v>15134</v>
      </c>
      <c r="Z211" s="543">
        <f t="shared" ca="1" si="3"/>
        <v>84</v>
      </c>
      <c r="AA211" s="516" t="s">
        <v>1721</v>
      </c>
      <c r="AB211" s="600"/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 t="s">
        <v>1571</v>
      </c>
      <c r="AI211" s="554" t="s">
        <v>1722</v>
      </c>
      <c r="AJ211" s="516" t="s">
        <v>971</v>
      </c>
      <c r="AK211" s="554" t="s">
        <v>1723</v>
      </c>
      <c r="AL211" s="554"/>
      <c r="AM211" s="554"/>
    </row>
    <row r="212" spans="1:39" ht="18" customHeight="1">
      <c r="C212" s="516">
        <v>191</v>
      </c>
      <c r="D212" s="516" t="s">
        <v>1724</v>
      </c>
      <c r="E212" s="516">
        <f t="shared" si="4"/>
        <v>185</v>
      </c>
      <c r="F212" s="534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597" t="s">
        <v>1710</v>
      </c>
      <c r="N212" s="537"/>
      <c r="O212" s="537"/>
      <c r="P212" s="538" t="s">
        <v>1077</v>
      </c>
      <c r="Q212" s="568"/>
      <c r="R212" s="554"/>
      <c r="S212" s="554"/>
      <c r="T212" s="516" t="s">
        <v>1725</v>
      </c>
      <c r="U212" s="516" t="s">
        <v>898</v>
      </c>
      <c r="V212" s="550" t="s">
        <v>249</v>
      </c>
      <c r="W212" s="541" t="s">
        <v>1726</v>
      </c>
      <c r="X212" s="516" t="s">
        <v>876</v>
      </c>
      <c r="Y212" s="542">
        <v>18593</v>
      </c>
      <c r="Z212" s="543">
        <f t="shared" ca="1" si="3"/>
        <v>75</v>
      </c>
      <c r="AA212" s="534" t="s">
        <v>1727</v>
      </c>
      <c r="AB212" s="516" t="s">
        <v>1728</v>
      </c>
      <c r="AC212" s="516" t="s">
        <v>842</v>
      </c>
      <c r="AD212" s="516" t="s">
        <v>843</v>
      </c>
      <c r="AE212" s="534" t="s">
        <v>713</v>
      </c>
      <c r="AF212" s="534" t="s">
        <v>713</v>
      </c>
      <c r="AG212" s="534" t="s">
        <v>1729</v>
      </c>
      <c r="AH212" s="516"/>
      <c r="AI212" s="516"/>
      <c r="AJ212" s="516" t="s">
        <v>971</v>
      </c>
      <c r="AK212" s="516"/>
      <c r="AL212" s="544"/>
      <c r="AM212" s="544"/>
    </row>
    <row r="213" spans="1:39" ht="18" customHeight="1">
      <c r="C213" s="516">
        <v>192</v>
      </c>
      <c r="D213" s="516" t="s">
        <v>1730</v>
      </c>
      <c r="E213" s="516">
        <f t="shared" si="4"/>
        <v>186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39"/>
      <c r="R213" s="516"/>
      <c r="S213" s="516"/>
      <c r="T213" s="516"/>
      <c r="U213" s="516" t="s">
        <v>898</v>
      </c>
      <c r="V213" s="538" t="s">
        <v>1731</v>
      </c>
      <c r="W213" s="541" t="s">
        <v>1732</v>
      </c>
      <c r="X213" s="516" t="s">
        <v>876</v>
      </c>
      <c r="Y213" s="542">
        <v>20092</v>
      </c>
      <c r="Z213" s="543">
        <f t="shared" ca="1" si="3"/>
        <v>71</v>
      </c>
      <c r="AA213" s="534" t="s">
        <v>1733</v>
      </c>
      <c r="AB213" s="516" t="s">
        <v>1734</v>
      </c>
      <c r="AC213" s="516" t="s">
        <v>842</v>
      </c>
      <c r="AD213" s="516" t="s">
        <v>843</v>
      </c>
      <c r="AE213" s="534" t="s">
        <v>1735</v>
      </c>
      <c r="AF213" s="534" t="s">
        <v>1735</v>
      </c>
      <c r="AG213" s="534" t="s">
        <v>1736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193</v>
      </c>
      <c r="D214" s="516" t="s">
        <v>1737</v>
      </c>
      <c r="E214" s="516">
        <f t="shared" si="4"/>
        <v>187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40" t="s">
        <v>1077</v>
      </c>
      <c r="Q214" s="539"/>
      <c r="R214" s="516"/>
      <c r="S214" s="516"/>
      <c r="T214" s="516"/>
      <c r="U214" s="516" t="s">
        <v>874</v>
      </c>
      <c r="V214" s="540" t="s">
        <v>1738</v>
      </c>
      <c r="W214" s="541" t="s">
        <v>1739</v>
      </c>
      <c r="X214" s="516" t="s">
        <v>876</v>
      </c>
      <c r="Y214" s="542">
        <v>22389</v>
      </c>
      <c r="Z214" s="543">
        <f t="shared" ca="1" si="3"/>
        <v>64</v>
      </c>
      <c r="AA214" s="534" t="s">
        <v>1740</v>
      </c>
      <c r="AB214" s="516" t="s">
        <v>1741</v>
      </c>
      <c r="AC214" s="516" t="s">
        <v>842</v>
      </c>
      <c r="AD214" s="516" t="s">
        <v>843</v>
      </c>
      <c r="AE214" s="534" t="s">
        <v>713</v>
      </c>
      <c r="AF214" s="534" t="s">
        <v>713</v>
      </c>
      <c r="AG214" s="534" t="s">
        <v>1742</v>
      </c>
      <c r="AH214" s="516"/>
      <c r="AI214" s="516"/>
      <c r="AJ214" s="516" t="s">
        <v>832</v>
      </c>
      <c r="AK214" s="516"/>
      <c r="AL214" s="544"/>
      <c r="AM214" s="544"/>
    </row>
    <row r="215" spans="1:39" ht="18" customHeight="1">
      <c r="A215" s="173"/>
      <c r="B215" s="173"/>
      <c r="C215" s="516">
        <v>194</v>
      </c>
      <c r="D215" s="516" t="s">
        <v>1752</v>
      </c>
      <c r="E215" s="516">
        <f t="shared" si="4"/>
        <v>188</v>
      </c>
      <c r="F215" s="577" t="s">
        <v>1310</v>
      </c>
      <c r="G215" s="516" t="s">
        <v>713</v>
      </c>
      <c r="H215" s="535" t="s">
        <v>1118</v>
      </c>
      <c r="I215" s="535" t="s">
        <v>28</v>
      </c>
      <c r="J215" s="535" t="s">
        <v>1118</v>
      </c>
      <c r="K215" s="535" t="s">
        <v>1752</v>
      </c>
      <c r="L215" s="535" t="s">
        <v>1753</v>
      </c>
      <c r="M215" s="537" t="s">
        <v>1754</v>
      </c>
      <c r="N215" s="537"/>
      <c r="O215" s="567"/>
      <c r="P215" s="601" t="s">
        <v>1755</v>
      </c>
      <c r="Q215" s="539"/>
      <c r="R215" s="516" t="s">
        <v>62</v>
      </c>
      <c r="S215" s="516" t="s">
        <v>548</v>
      </c>
      <c r="T215" s="554"/>
      <c r="U215" s="598" t="s">
        <v>874</v>
      </c>
      <c r="V215" s="601" t="s">
        <v>1756</v>
      </c>
      <c r="W215" s="599" t="s">
        <v>1757</v>
      </c>
      <c r="X215" s="516" t="s">
        <v>876</v>
      </c>
      <c r="Y215" s="542">
        <v>34534</v>
      </c>
      <c r="Z215" s="543">
        <f t="shared" ca="1" si="3"/>
        <v>31</v>
      </c>
      <c r="AA215" s="516" t="s">
        <v>1758</v>
      </c>
      <c r="AB215" s="516" t="s">
        <v>1759</v>
      </c>
      <c r="AC215" s="516" t="s">
        <v>842</v>
      </c>
      <c r="AD215" s="516" t="s">
        <v>843</v>
      </c>
      <c r="AE215" s="516" t="s">
        <v>1256</v>
      </c>
      <c r="AF215" s="516" t="s">
        <v>1552</v>
      </c>
      <c r="AG215" s="516" t="s">
        <v>1760</v>
      </c>
      <c r="AH215" s="554"/>
      <c r="AI215" s="554"/>
      <c r="AJ215" s="516" t="s">
        <v>971</v>
      </c>
      <c r="AK215" s="554"/>
      <c r="AL215" s="554"/>
      <c r="AM215" s="554"/>
    </row>
    <row r="216" spans="1:39" ht="18" customHeight="1">
      <c r="C216" s="516">
        <v>195</v>
      </c>
      <c r="D216" s="516" t="s">
        <v>1753</v>
      </c>
      <c r="E216" s="516">
        <f t="shared" si="4"/>
        <v>189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37"/>
      <c r="P216" s="556" t="s">
        <v>1755</v>
      </c>
      <c r="Q216" s="539"/>
      <c r="R216" s="516" t="s">
        <v>62</v>
      </c>
      <c r="S216" s="516" t="s">
        <v>548</v>
      </c>
      <c r="T216" s="516"/>
      <c r="U216" s="562" t="s">
        <v>874</v>
      </c>
      <c r="V216" s="538" t="s">
        <v>1761</v>
      </c>
      <c r="W216" s="560" t="s">
        <v>1762</v>
      </c>
      <c r="X216" s="516" t="s">
        <v>876</v>
      </c>
      <c r="Y216" s="542">
        <v>32534</v>
      </c>
      <c r="Z216" s="543">
        <f t="shared" ca="1" si="3"/>
        <v>37</v>
      </c>
      <c r="AA216" s="534" t="s">
        <v>1763</v>
      </c>
      <c r="AB216" s="516" t="s">
        <v>1764</v>
      </c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1229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196</v>
      </c>
      <c r="D217" s="516" t="s">
        <v>1754</v>
      </c>
      <c r="E217" s="516">
        <f t="shared" si="4"/>
        <v>190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788</v>
      </c>
      <c r="V217" s="538" t="s">
        <v>1765</v>
      </c>
      <c r="W217" s="560" t="s">
        <v>1766</v>
      </c>
      <c r="X217" s="516" t="s">
        <v>876</v>
      </c>
      <c r="Y217" s="542">
        <v>35142</v>
      </c>
      <c r="Z217" s="543">
        <f t="shared" ca="1" si="3"/>
        <v>29</v>
      </c>
      <c r="AA217" s="534"/>
      <c r="AB217" s="516" t="s">
        <v>1767</v>
      </c>
      <c r="AC217" s="516" t="s">
        <v>842</v>
      </c>
      <c r="AD217" s="516" t="s">
        <v>843</v>
      </c>
      <c r="AE217" s="534" t="s">
        <v>713</v>
      </c>
      <c r="AF217" s="534" t="s">
        <v>1768</v>
      </c>
      <c r="AG217" s="534" t="s">
        <v>1769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197</v>
      </c>
      <c r="D218" s="516" t="s">
        <v>1770</v>
      </c>
      <c r="E218" s="516">
        <f t="shared" si="4"/>
        <v>191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/>
      <c r="S218" s="516"/>
      <c r="T218" s="516"/>
      <c r="U218" s="562" t="s">
        <v>874</v>
      </c>
      <c r="V218" s="549" t="s">
        <v>1771</v>
      </c>
      <c r="W218" s="560" t="s">
        <v>1772</v>
      </c>
      <c r="X218" s="516" t="s">
        <v>876</v>
      </c>
      <c r="Y218" s="542">
        <v>37018</v>
      </c>
      <c r="Z218" s="543">
        <f t="shared" ca="1" si="3"/>
        <v>24</v>
      </c>
      <c r="AA218" s="594" t="s">
        <v>1773</v>
      </c>
      <c r="AB218" s="516" t="s">
        <v>1774</v>
      </c>
      <c r="AC218" s="516" t="s">
        <v>842</v>
      </c>
      <c r="AD218" s="516" t="s">
        <v>851</v>
      </c>
      <c r="AE218" s="534" t="s">
        <v>713</v>
      </c>
      <c r="AF218" s="534" t="s">
        <v>713</v>
      </c>
      <c r="AG218" s="534" t="s">
        <v>1504</v>
      </c>
      <c r="AH218" s="516"/>
      <c r="AI218" s="516"/>
      <c r="AJ218" s="516" t="s">
        <v>1535</v>
      </c>
      <c r="AK218" s="516"/>
      <c r="AL218" s="544"/>
      <c r="AM218" s="544"/>
    </row>
    <row r="219" spans="1:39" ht="18" customHeight="1">
      <c r="C219" s="516">
        <v>198</v>
      </c>
      <c r="D219" s="516" t="s">
        <v>1775</v>
      </c>
      <c r="E219" s="516">
        <f t="shared" si="4"/>
        <v>192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50" t="s">
        <v>1776</v>
      </c>
      <c r="W219" s="560" t="s">
        <v>1777</v>
      </c>
      <c r="X219" s="516" t="s">
        <v>876</v>
      </c>
      <c r="Y219" s="542">
        <v>31403</v>
      </c>
      <c r="Z219" s="543">
        <f t="shared" ca="1" si="3"/>
        <v>40</v>
      </c>
      <c r="AA219" s="534" t="s">
        <v>1778</v>
      </c>
      <c r="AB219" s="516" t="s">
        <v>1779</v>
      </c>
      <c r="AC219" s="516" t="s">
        <v>842</v>
      </c>
      <c r="AD219" s="516" t="s">
        <v>843</v>
      </c>
      <c r="AE219" s="534" t="s">
        <v>1780</v>
      </c>
      <c r="AF219" s="534" t="s">
        <v>713</v>
      </c>
      <c r="AG219" s="534" t="s">
        <v>1781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199</v>
      </c>
      <c r="D220" s="516" t="s">
        <v>1782</v>
      </c>
      <c r="E220" s="516">
        <f t="shared" si="4"/>
        <v>193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38" t="s">
        <v>1783</v>
      </c>
      <c r="W220" s="560" t="s">
        <v>1784</v>
      </c>
      <c r="X220" s="516" t="s">
        <v>876</v>
      </c>
      <c r="Y220" s="542">
        <v>35901</v>
      </c>
      <c r="Z220" s="543">
        <f t="shared" ca="1" si="3"/>
        <v>27</v>
      </c>
      <c r="AA220" s="534" t="s">
        <v>1785</v>
      </c>
      <c r="AB220" s="516"/>
      <c r="AC220" s="516" t="s">
        <v>842</v>
      </c>
      <c r="AD220" s="516" t="s">
        <v>843</v>
      </c>
      <c r="AE220" s="534" t="s">
        <v>713</v>
      </c>
      <c r="AF220" s="534" t="s">
        <v>1400</v>
      </c>
      <c r="AG220" s="534" t="s">
        <v>1786</v>
      </c>
      <c r="AH220" s="516"/>
      <c r="AI220" s="516" t="s">
        <v>1787</v>
      </c>
      <c r="AJ220" s="516" t="s">
        <v>971</v>
      </c>
      <c r="AK220" s="516" t="s">
        <v>860</v>
      </c>
      <c r="AL220" s="544"/>
      <c r="AM220" s="544"/>
    </row>
    <row r="221" spans="1:39" ht="18" customHeight="1">
      <c r="C221" s="516">
        <v>200</v>
      </c>
      <c r="D221" s="516" t="s">
        <v>1788</v>
      </c>
      <c r="E221" s="516">
        <f t="shared" si="4"/>
        <v>194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16" t="s">
        <v>788</v>
      </c>
      <c r="V221" s="538" t="s">
        <v>289</v>
      </c>
      <c r="W221" s="541" t="s">
        <v>1789</v>
      </c>
      <c r="X221" s="516" t="s">
        <v>876</v>
      </c>
      <c r="Y221" s="542">
        <v>34094</v>
      </c>
      <c r="Z221" s="543">
        <f t="shared" ca="1" si="3"/>
        <v>32</v>
      </c>
      <c r="AA221" s="594" t="s">
        <v>1790</v>
      </c>
      <c r="AB221" s="516"/>
      <c r="AC221" s="516" t="s">
        <v>793</v>
      </c>
      <c r="AD221" s="516" t="s">
        <v>794</v>
      </c>
      <c r="AE221" s="534" t="s">
        <v>713</v>
      </c>
      <c r="AF221" s="534" t="s">
        <v>713</v>
      </c>
      <c r="AG221" s="534" t="s">
        <v>1313</v>
      </c>
      <c r="AH221" s="516"/>
      <c r="AI221" s="516"/>
      <c r="AJ221" s="516"/>
      <c r="AK221" s="516"/>
      <c r="AL221" s="544"/>
      <c r="AM221" s="544"/>
    </row>
    <row r="222" spans="1:39" ht="18" customHeight="1">
      <c r="C222" s="516">
        <v>201</v>
      </c>
      <c r="D222" s="516" t="s">
        <v>1791</v>
      </c>
      <c r="E222" s="516">
        <f t="shared" si="4"/>
        <v>195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9" t="s">
        <v>1755</v>
      </c>
      <c r="Q222" s="539"/>
      <c r="R222" s="516"/>
      <c r="S222" s="516"/>
      <c r="T222" s="516"/>
      <c r="U222" s="562" t="s">
        <v>788</v>
      </c>
      <c r="V222" s="559" t="s">
        <v>1792</v>
      </c>
      <c r="W222" s="560" t="s">
        <v>1793</v>
      </c>
      <c r="X222" s="516" t="s">
        <v>876</v>
      </c>
      <c r="Y222" s="542">
        <v>31881</v>
      </c>
      <c r="Z222" s="543">
        <f t="shared" ca="1" si="3"/>
        <v>38</v>
      </c>
      <c r="AA222" s="534" t="s">
        <v>1794</v>
      </c>
      <c r="AB222" s="516" t="s">
        <v>1795</v>
      </c>
      <c r="AC222" s="516" t="s">
        <v>842</v>
      </c>
      <c r="AD222" s="516" t="s">
        <v>843</v>
      </c>
      <c r="AE222" s="534" t="s">
        <v>1796</v>
      </c>
      <c r="AF222" s="534" t="s">
        <v>1797</v>
      </c>
      <c r="AG222" s="534" t="s">
        <v>1798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202</v>
      </c>
      <c r="D223" s="516" t="s">
        <v>1118</v>
      </c>
      <c r="E223" s="516">
        <f t="shared" si="4"/>
        <v>195</v>
      </c>
      <c r="F223" s="534"/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1118</v>
      </c>
      <c r="L223" s="535" t="s">
        <v>786</v>
      </c>
      <c r="M223" s="536" t="s">
        <v>786</v>
      </c>
      <c r="N223" s="537"/>
      <c r="O223" s="537"/>
      <c r="P223" s="550" t="s">
        <v>1799</v>
      </c>
      <c r="Q223" s="539"/>
      <c r="R223" s="516"/>
      <c r="S223" s="516"/>
      <c r="T223" s="516"/>
      <c r="U223" s="516"/>
      <c r="V223" s="548" t="s">
        <v>28</v>
      </c>
      <c r="W223" s="541" t="s">
        <v>1119</v>
      </c>
      <c r="X223" s="516" t="s">
        <v>876</v>
      </c>
      <c r="Y223" s="542">
        <v>33065</v>
      </c>
      <c r="Z223" s="543">
        <f t="shared" ca="1" si="3"/>
        <v>35</v>
      </c>
      <c r="AA223" s="534" t="s">
        <v>1120</v>
      </c>
      <c r="AB223" s="516"/>
      <c r="AC223" s="516" t="s">
        <v>793</v>
      </c>
      <c r="AD223" s="516" t="s">
        <v>794</v>
      </c>
      <c r="AE223" s="534" t="s">
        <v>809</v>
      </c>
      <c r="AF223" s="534" t="s">
        <v>795</v>
      </c>
      <c r="AG223" s="534" t="s">
        <v>804</v>
      </c>
      <c r="AH223" s="516" t="s">
        <v>872</v>
      </c>
      <c r="AI223" s="516"/>
      <c r="AJ223" s="516"/>
      <c r="AK223" s="516"/>
      <c r="AL223" s="544"/>
      <c r="AM223" s="544"/>
    </row>
    <row r="224" spans="1:39" ht="18" customHeight="1">
      <c r="C224" s="516">
        <v>203</v>
      </c>
      <c r="D224" s="516" t="s">
        <v>1800</v>
      </c>
      <c r="E224" s="516">
        <f t="shared" si="4"/>
        <v>196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38" t="s">
        <v>1799</v>
      </c>
      <c r="Q224" s="539"/>
      <c r="R224" s="516"/>
      <c r="S224" s="516"/>
      <c r="T224" s="516"/>
      <c r="U224" s="516" t="s">
        <v>874</v>
      </c>
      <c r="V224" s="538" t="s">
        <v>1801</v>
      </c>
      <c r="W224" s="541" t="s">
        <v>1802</v>
      </c>
      <c r="X224" s="516" t="s">
        <v>876</v>
      </c>
      <c r="Y224" s="542">
        <v>32134</v>
      </c>
      <c r="Z224" s="543">
        <f t="shared" ca="1" si="3"/>
        <v>38</v>
      </c>
      <c r="AA224" s="534" t="s">
        <v>1803</v>
      </c>
      <c r="AB224" s="571"/>
      <c r="AC224" s="516" t="s">
        <v>842</v>
      </c>
      <c r="AD224" s="516" t="s">
        <v>843</v>
      </c>
      <c r="AE224" s="534" t="s">
        <v>713</v>
      </c>
      <c r="AF224" s="534" t="s">
        <v>713</v>
      </c>
      <c r="AG224" s="534"/>
      <c r="AH224" s="516"/>
      <c r="AI224" s="516" t="s">
        <v>1804</v>
      </c>
      <c r="AJ224" s="516" t="s">
        <v>844</v>
      </c>
      <c r="AK224" s="516" t="s">
        <v>1805</v>
      </c>
      <c r="AL224" s="544"/>
      <c r="AM224" s="544"/>
    </row>
    <row r="225" spans="3:39" ht="18" customHeight="1">
      <c r="C225" s="516">
        <v>204</v>
      </c>
      <c r="D225" s="516" t="s">
        <v>1806</v>
      </c>
      <c r="E225" s="516">
        <f t="shared" si="4"/>
        <v>197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1807</v>
      </c>
      <c r="W225" s="541" t="s">
        <v>1808</v>
      </c>
      <c r="X225" s="516" t="s">
        <v>876</v>
      </c>
      <c r="Y225" s="542">
        <v>33526</v>
      </c>
      <c r="Z225" s="543">
        <f t="shared" ca="1" si="3"/>
        <v>34</v>
      </c>
      <c r="AA225" s="534" t="s">
        <v>1809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 t="s">
        <v>1313</v>
      </c>
      <c r="AH225" s="516"/>
      <c r="AI225" s="516" t="s">
        <v>1810</v>
      </c>
      <c r="AJ225" s="516" t="s">
        <v>971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1811</v>
      </c>
      <c r="E226" s="516">
        <f t="shared" si="4"/>
        <v>198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788</v>
      </c>
      <c r="V226" s="538" t="s">
        <v>1812</v>
      </c>
      <c r="W226" s="541" t="s">
        <v>1813</v>
      </c>
      <c r="X226" s="516" t="s">
        <v>876</v>
      </c>
      <c r="Y226" s="542">
        <v>35919</v>
      </c>
      <c r="Z226" s="543">
        <f t="shared" ca="1" si="3"/>
        <v>27</v>
      </c>
      <c r="AA226" s="534" t="s">
        <v>1814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1229</v>
      </c>
      <c r="AH226" s="516"/>
      <c r="AI226" s="516" t="s">
        <v>1815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1816</v>
      </c>
      <c r="E227" s="516">
        <f t="shared" si="4"/>
        <v>199</v>
      </c>
      <c r="F227" s="534" t="s">
        <v>811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874</v>
      </c>
      <c r="V227" s="538" t="s">
        <v>1817</v>
      </c>
      <c r="W227" s="541" t="s">
        <v>1818</v>
      </c>
      <c r="X227" s="516" t="s">
        <v>876</v>
      </c>
      <c r="Y227" s="542">
        <v>33182</v>
      </c>
      <c r="Z227" s="543">
        <f t="shared" ca="1" si="3"/>
        <v>35</v>
      </c>
      <c r="AA227" s="534" t="s">
        <v>1819</v>
      </c>
      <c r="AB227" s="571"/>
      <c r="AC227" s="516" t="s">
        <v>842</v>
      </c>
      <c r="AD227" s="516" t="s">
        <v>843</v>
      </c>
      <c r="AE227" s="534" t="s">
        <v>1256</v>
      </c>
      <c r="AF227" s="534" t="s">
        <v>1256</v>
      </c>
      <c r="AG227" s="534" t="s">
        <v>1820</v>
      </c>
      <c r="AH227" s="516"/>
      <c r="AI227" s="516" t="s">
        <v>866</v>
      </c>
      <c r="AJ227" s="516" t="s">
        <v>903</v>
      </c>
      <c r="AK227" s="516"/>
      <c r="AL227" s="544"/>
      <c r="AM227" s="544"/>
    </row>
    <row r="228" spans="3:39" ht="18" customHeight="1">
      <c r="C228" s="516">
        <v>207</v>
      </c>
      <c r="D228" s="516" t="s">
        <v>1821</v>
      </c>
      <c r="E228" s="516">
        <f t="shared" si="4"/>
        <v>200</v>
      </c>
      <c r="F228" s="534" t="s">
        <v>1822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788</v>
      </c>
      <c r="V228" s="538" t="s">
        <v>1823</v>
      </c>
      <c r="W228" s="541" t="s">
        <v>1824</v>
      </c>
      <c r="X228" s="516" t="s">
        <v>876</v>
      </c>
      <c r="Y228" s="542">
        <v>36632</v>
      </c>
      <c r="Z228" s="543">
        <f t="shared" ca="1" si="3"/>
        <v>25</v>
      </c>
      <c r="AA228" s="534" t="s">
        <v>1825</v>
      </c>
      <c r="AB228" s="571"/>
      <c r="AC228" s="516" t="s">
        <v>842</v>
      </c>
      <c r="AD228" s="516" t="s">
        <v>843</v>
      </c>
      <c r="AE228" s="534" t="s">
        <v>809</v>
      </c>
      <c r="AF228" s="534" t="s">
        <v>809</v>
      </c>
      <c r="AG228" s="534" t="s">
        <v>1826</v>
      </c>
      <c r="AH228" s="516"/>
      <c r="AI228" s="516" t="s">
        <v>1827</v>
      </c>
      <c r="AJ228" s="516" t="s">
        <v>903</v>
      </c>
      <c r="AK228" s="516" t="s">
        <v>1805</v>
      </c>
      <c r="AL228" s="544"/>
      <c r="AM228" s="544"/>
    </row>
    <row r="229" spans="3:39" ht="18" customHeight="1">
      <c r="C229" s="516">
        <v>208</v>
      </c>
      <c r="D229" s="516" t="s">
        <v>1828</v>
      </c>
      <c r="E229" s="516">
        <f t="shared" si="4"/>
        <v>201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59" t="s">
        <v>1799</v>
      </c>
      <c r="Q229" s="539"/>
      <c r="R229" s="516"/>
      <c r="S229" s="516"/>
      <c r="T229" s="516"/>
      <c r="U229" s="516" t="s">
        <v>874</v>
      </c>
      <c r="V229" s="559" t="s">
        <v>1829</v>
      </c>
      <c r="W229" s="541" t="s">
        <v>1830</v>
      </c>
      <c r="X229" s="516" t="s">
        <v>876</v>
      </c>
      <c r="Y229" s="542">
        <v>32089</v>
      </c>
      <c r="Z229" s="543">
        <f t="shared" ca="1" si="3"/>
        <v>38</v>
      </c>
      <c r="AA229" s="594" t="s">
        <v>1831</v>
      </c>
      <c r="AB229" s="571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1832</v>
      </c>
      <c r="AH229" s="516"/>
      <c r="AI229" s="516" t="s">
        <v>1804</v>
      </c>
      <c r="AJ229" s="516" t="s">
        <v>1535</v>
      </c>
      <c r="AK229" s="572" t="s">
        <v>1833</v>
      </c>
      <c r="AL229" s="544"/>
      <c r="AM229" s="544"/>
    </row>
    <row r="230" spans="3:39" ht="18" customHeight="1">
      <c r="C230" s="516">
        <v>209</v>
      </c>
      <c r="D230" s="516" t="s">
        <v>1510</v>
      </c>
      <c r="E230" s="516">
        <f t="shared" si="4"/>
        <v>201</v>
      </c>
      <c r="F230" s="534"/>
      <c r="G230" s="534" t="s">
        <v>1834</v>
      </c>
      <c r="H230" s="535" t="s">
        <v>1118</v>
      </c>
      <c r="I230" s="535" t="s">
        <v>322</v>
      </c>
      <c r="J230" s="535" t="s">
        <v>1510</v>
      </c>
      <c r="K230" s="535" t="s">
        <v>1510</v>
      </c>
      <c r="L230" s="536" t="s">
        <v>1835</v>
      </c>
      <c r="M230" s="659" t="s">
        <v>1836</v>
      </c>
      <c r="N230" s="537"/>
      <c r="O230" s="537"/>
      <c r="P230" s="548" t="s">
        <v>787</v>
      </c>
      <c r="Q230" s="539"/>
      <c r="R230" s="516" t="s">
        <v>163</v>
      </c>
      <c r="S230" s="516" t="s">
        <v>500</v>
      </c>
      <c r="T230" s="516"/>
      <c r="U230" s="516"/>
      <c r="V230" s="548" t="s">
        <v>322</v>
      </c>
      <c r="W230" s="541" t="s">
        <v>1511</v>
      </c>
      <c r="X230" s="516" t="s">
        <v>876</v>
      </c>
      <c r="Y230" s="542">
        <v>36694</v>
      </c>
      <c r="Z230" s="543">
        <f t="shared" ca="1" si="3"/>
        <v>25</v>
      </c>
      <c r="AA230" s="534" t="s">
        <v>1512</v>
      </c>
      <c r="AB230" s="516"/>
      <c r="AC230" s="516" t="s">
        <v>793</v>
      </c>
      <c r="AD230" s="516" t="s">
        <v>794</v>
      </c>
      <c r="AE230" s="534" t="s">
        <v>713</v>
      </c>
      <c r="AF230" s="534" t="s">
        <v>713</v>
      </c>
      <c r="AG230" s="534" t="s">
        <v>1514</v>
      </c>
      <c r="AH230" s="516" t="s">
        <v>872</v>
      </c>
      <c r="AI230" s="516"/>
      <c r="AJ230" s="516"/>
      <c r="AK230" s="516"/>
      <c r="AL230" s="544"/>
      <c r="AM230" s="544"/>
    </row>
    <row r="231" spans="3:39" ht="18" customHeight="1">
      <c r="C231" s="516">
        <v>210</v>
      </c>
      <c r="D231" s="516" t="s">
        <v>1835</v>
      </c>
      <c r="E231" s="516">
        <f t="shared" si="4"/>
        <v>202</v>
      </c>
      <c r="F231" s="534" t="s">
        <v>811</v>
      </c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659" t="s">
        <v>1836</v>
      </c>
      <c r="N231" s="537"/>
      <c r="O231" s="537"/>
      <c r="P231" s="538" t="s">
        <v>787</v>
      </c>
      <c r="Q231" s="539" t="s">
        <v>308</v>
      </c>
      <c r="R231" s="516" t="s">
        <v>62</v>
      </c>
      <c r="S231" s="516" t="s">
        <v>548</v>
      </c>
      <c r="T231" s="516"/>
      <c r="U231" s="516" t="s">
        <v>788</v>
      </c>
      <c r="V231" s="538" t="s">
        <v>331</v>
      </c>
      <c r="W231" s="541" t="s">
        <v>1837</v>
      </c>
      <c r="X231" s="516" t="s">
        <v>876</v>
      </c>
      <c r="Y231" s="542">
        <v>38170</v>
      </c>
      <c r="Z231" s="543">
        <f t="shared" ca="1" si="3"/>
        <v>21</v>
      </c>
      <c r="AA231" s="534" t="s">
        <v>1838</v>
      </c>
      <c r="AB231" s="516" t="s">
        <v>1839</v>
      </c>
      <c r="AC231" s="516" t="s">
        <v>842</v>
      </c>
      <c r="AD231" s="516" t="s">
        <v>843</v>
      </c>
      <c r="AE231" s="534" t="s">
        <v>713</v>
      </c>
      <c r="AF231" s="534" t="s">
        <v>713</v>
      </c>
      <c r="AG231" s="534" t="s">
        <v>1597</v>
      </c>
      <c r="AH231" s="516"/>
      <c r="AI231" s="516" t="s">
        <v>1840</v>
      </c>
      <c r="AJ231" s="516" t="s">
        <v>1497</v>
      </c>
      <c r="AK231" s="516"/>
      <c r="AL231" s="544"/>
      <c r="AM231" s="544"/>
    </row>
    <row r="232" spans="3:39" ht="18" customHeight="1">
      <c r="C232" s="516">
        <v>211</v>
      </c>
      <c r="D232" s="516" t="s">
        <v>1836</v>
      </c>
      <c r="E232" s="516">
        <f t="shared" si="4"/>
        <v>203</v>
      </c>
      <c r="F232" s="534" t="s">
        <v>1841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659" t="s">
        <v>1836</v>
      </c>
      <c r="N232" s="537"/>
      <c r="O232" s="537"/>
      <c r="P232" s="538" t="s">
        <v>787</v>
      </c>
      <c r="Q232" s="539"/>
      <c r="R232" s="516" t="s">
        <v>62</v>
      </c>
      <c r="S232" s="516" t="s">
        <v>548</v>
      </c>
      <c r="T232" s="516"/>
      <c r="U232" s="516" t="s">
        <v>788</v>
      </c>
      <c r="V232" s="538" t="s">
        <v>1842</v>
      </c>
      <c r="W232" s="541" t="s">
        <v>1843</v>
      </c>
      <c r="X232" s="516" t="s">
        <v>790</v>
      </c>
      <c r="Y232" s="542">
        <v>35551</v>
      </c>
      <c r="Z232" s="543">
        <f t="shared" ca="1" si="3"/>
        <v>28</v>
      </c>
      <c r="AA232" s="534" t="s">
        <v>1844</v>
      </c>
      <c r="AB232" s="516" t="s">
        <v>1845</v>
      </c>
      <c r="AC232" s="516" t="s">
        <v>842</v>
      </c>
      <c r="AD232" s="516" t="s">
        <v>851</v>
      </c>
      <c r="AE232" s="534" t="s">
        <v>236</v>
      </c>
      <c r="AF232" s="534" t="s">
        <v>236</v>
      </c>
      <c r="AG232" s="534" t="s">
        <v>1846</v>
      </c>
      <c r="AH232" s="516"/>
      <c r="AI232" s="516"/>
      <c r="AJ232" s="516" t="s">
        <v>971</v>
      </c>
      <c r="AK232" s="516"/>
      <c r="AL232" s="544"/>
      <c r="AM232" s="544"/>
    </row>
    <row r="233" spans="3:39" ht="18" customHeight="1">
      <c r="C233" s="516">
        <v>212</v>
      </c>
      <c r="D233" s="516" t="s">
        <v>1847</v>
      </c>
      <c r="E233" s="516">
        <f t="shared" si="4"/>
        <v>204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659" t="s">
        <v>1836</v>
      </c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360</v>
      </c>
      <c r="W233" s="541" t="s">
        <v>1848</v>
      </c>
      <c r="X233" s="516" t="s">
        <v>876</v>
      </c>
      <c r="Y233" s="542">
        <v>36437</v>
      </c>
      <c r="Z233" s="543">
        <f t="shared" ca="1" si="3"/>
        <v>26</v>
      </c>
      <c r="AA233" s="534" t="s">
        <v>1849</v>
      </c>
      <c r="AB233" s="516" t="s">
        <v>1850</v>
      </c>
      <c r="AC233" s="516" t="s">
        <v>842</v>
      </c>
      <c r="AD233" s="516" t="s">
        <v>851</v>
      </c>
      <c r="AE233" s="534" t="s">
        <v>1256</v>
      </c>
      <c r="AF233" s="534" t="s">
        <v>1256</v>
      </c>
      <c r="AG233" s="534" t="s">
        <v>1851</v>
      </c>
      <c r="AH233" s="516"/>
      <c r="AI233" s="516"/>
      <c r="AJ233" s="516" t="s">
        <v>1852</v>
      </c>
      <c r="AK233" s="516"/>
      <c r="AL233" s="544"/>
      <c r="AM233" s="544"/>
    </row>
    <row r="234" spans="3:39" ht="18" customHeight="1">
      <c r="C234" s="516">
        <v>213</v>
      </c>
      <c r="D234" s="516" t="s">
        <v>1853</v>
      </c>
      <c r="E234" s="516">
        <f t="shared" si="4"/>
        <v>205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659" t="s">
        <v>1836</v>
      </c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374</v>
      </c>
      <c r="W234" s="541" t="s">
        <v>1854</v>
      </c>
      <c r="X234" s="516" t="s">
        <v>876</v>
      </c>
      <c r="Y234" s="542">
        <v>36516</v>
      </c>
      <c r="Z234" s="543">
        <f t="shared" ca="1" si="3"/>
        <v>26</v>
      </c>
      <c r="AA234" s="534" t="s">
        <v>1855</v>
      </c>
      <c r="AB234" s="516" t="s">
        <v>1856</v>
      </c>
      <c r="AC234" s="516" t="s">
        <v>842</v>
      </c>
      <c r="AD234" s="516" t="s">
        <v>843</v>
      </c>
      <c r="AE234" s="534" t="s">
        <v>1256</v>
      </c>
      <c r="AF234" s="534" t="s">
        <v>1256</v>
      </c>
      <c r="AG234" s="534" t="s">
        <v>1338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1857</v>
      </c>
      <c r="E235" s="516">
        <f t="shared" si="4"/>
        <v>206</v>
      </c>
      <c r="F235" s="534" t="s">
        <v>1822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659" t="s">
        <v>1836</v>
      </c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387</v>
      </c>
      <c r="W235" s="541" t="s">
        <v>1858</v>
      </c>
      <c r="X235" s="516" t="s">
        <v>790</v>
      </c>
      <c r="Y235" s="542">
        <v>33468</v>
      </c>
      <c r="Z235" s="543">
        <f t="shared" ca="1" si="3"/>
        <v>34</v>
      </c>
      <c r="AA235" s="534" t="s">
        <v>1859</v>
      </c>
      <c r="AB235" s="516" t="s">
        <v>1860</v>
      </c>
      <c r="AC235" s="516" t="s">
        <v>842</v>
      </c>
      <c r="AD235" s="516" t="s">
        <v>843</v>
      </c>
      <c r="AE235" s="534" t="s">
        <v>942</v>
      </c>
      <c r="AF235" s="534" t="s">
        <v>1861</v>
      </c>
      <c r="AG235" s="534" t="s">
        <v>1862</v>
      </c>
      <c r="AH235" s="516"/>
      <c r="AI235" s="516"/>
      <c r="AJ235" s="516" t="s">
        <v>1852</v>
      </c>
      <c r="AK235" s="516" t="s">
        <v>1863</v>
      </c>
      <c r="AL235" s="544"/>
      <c r="AM235" s="544"/>
    </row>
    <row r="236" spans="3:39" ht="18" customHeight="1">
      <c r="C236" s="516">
        <v>215</v>
      </c>
      <c r="D236" s="516" t="s">
        <v>1864</v>
      </c>
      <c r="E236" s="516">
        <f t="shared" si="4"/>
        <v>207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659" t="s">
        <v>1836</v>
      </c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399</v>
      </c>
      <c r="W236" s="541" t="s">
        <v>1865</v>
      </c>
      <c r="X236" s="516" t="s">
        <v>876</v>
      </c>
      <c r="Y236" s="542">
        <v>38335</v>
      </c>
      <c r="Z236" s="543">
        <f t="shared" ca="1" si="3"/>
        <v>21</v>
      </c>
      <c r="AA236" s="534" t="s">
        <v>1866</v>
      </c>
      <c r="AB236" s="516" t="s">
        <v>1867</v>
      </c>
      <c r="AC236" s="516" t="s">
        <v>842</v>
      </c>
      <c r="AD236" s="516" t="s">
        <v>843</v>
      </c>
      <c r="AE236" s="534" t="s">
        <v>1868</v>
      </c>
      <c r="AF236" s="534" t="s">
        <v>713</v>
      </c>
      <c r="AG236" s="534" t="s">
        <v>1869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1870</v>
      </c>
      <c r="E237" s="516">
        <f t="shared" si="4"/>
        <v>208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659" t="s">
        <v>1836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605" t="s">
        <v>1871</v>
      </c>
      <c r="W237" s="541" t="s">
        <v>1872</v>
      </c>
      <c r="X237" s="516" t="s">
        <v>876</v>
      </c>
      <c r="Y237" s="542">
        <v>37110</v>
      </c>
      <c r="Z237" s="543">
        <f t="shared" ca="1" si="3"/>
        <v>24</v>
      </c>
      <c r="AA237" s="534" t="s">
        <v>1873</v>
      </c>
      <c r="AB237" s="516" t="s">
        <v>1874</v>
      </c>
      <c r="AC237" s="516" t="s">
        <v>842</v>
      </c>
      <c r="AD237" s="516" t="s">
        <v>843</v>
      </c>
      <c r="AE237" s="534" t="s">
        <v>1256</v>
      </c>
      <c r="AF237" s="534" t="s">
        <v>1256</v>
      </c>
      <c r="AG237" s="534" t="s">
        <v>1875</v>
      </c>
      <c r="AH237" s="516"/>
      <c r="AI237" s="516"/>
      <c r="AJ237" s="575" t="s">
        <v>1438</v>
      </c>
      <c r="AK237" s="516"/>
      <c r="AL237" s="544"/>
      <c r="AM237" s="544"/>
    </row>
    <row r="238" spans="3:39" ht="18" customHeight="1">
      <c r="C238" s="516">
        <v>217</v>
      </c>
      <c r="D238" s="516" t="s">
        <v>1515</v>
      </c>
      <c r="E238" s="516">
        <f t="shared" si="4"/>
        <v>208</v>
      </c>
      <c r="F238" s="534"/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1515</v>
      </c>
      <c r="L238" s="535" t="s">
        <v>1883</v>
      </c>
      <c r="M238" s="570" t="s">
        <v>1884</v>
      </c>
      <c r="N238" s="537"/>
      <c r="O238" s="537"/>
      <c r="P238" s="548" t="s">
        <v>828</v>
      </c>
      <c r="Q238" s="539"/>
      <c r="R238" s="516" t="s">
        <v>49</v>
      </c>
      <c r="S238" s="516" t="s">
        <v>168</v>
      </c>
      <c r="T238" s="516"/>
      <c r="U238" s="516"/>
      <c r="V238" s="548" t="s">
        <v>246</v>
      </c>
      <c r="W238" s="541" t="s">
        <v>1516</v>
      </c>
      <c r="X238" s="516" t="s">
        <v>876</v>
      </c>
      <c r="Y238" s="542">
        <v>35604</v>
      </c>
      <c r="Z238" s="543">
        <f t="shared" ca="1" si="3"/>
        <v>28</v>
      </c>
      <c r="AA238" s="534" t="s">
        <v>1517</v>
      </c>
      <c r="AB238" s="516"/>
      <c r="AC238" s="516" t="s">
        <v>793</v>
      </c>
      <c r="AD238" s="516" t="s">
        <v>794</v>
      </c>
      <c r="AE238" s="534" t="s">
        <v>713</v>
      </c>
      <c r="AF238" s="534" t="s">
        <v>713</v>
      </c>
      <c r="AG238" s="534" t="s">
        <v>1514</v>
      </c>
      <c r="AH238" s="516" t="s">
        <v>872</v>
      </c>
      <c r="AI238" s="516"/>
      <c r="AJ238" s="516"/>
      <c r="AK238" s="516"/>
      <c r="AL238" s="544"/>
      <c r="AM238" s="544"/>
    </row>
    <row r="239" spans="3:39" ht="18" customHeight="1">
      <c r="C239" s="516">
        <v>218</v>
      </c>
      <c r="D239" s="516" t="s">
        <v>1883</v>
      </c>
      <c r="E239" s="516">
        <f t="shared" si="4"/>
        <v>209</v>
      </c>
      <c r="F239" s="534" t="s">
        <v>1310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38" t="s">
        <v>828</v>
      </c>
      <c r="Q239" s="539"/>
      <c r="R239" s="516"/>
      <c r="S239" s="516" t="s">
        <v>1885</v>
      </c>
      <c r="T239" s="516"/>
      <c r="U239" s="516" t="s">
        <v>1886</v>
      </c>
      <c r="V239" s="538" t="s">
        <v>1887</v>
      </c>
      <c r="W239" s="541" t="s">
        <v>1888</v>
      </c>
      <c r="X239" s="516" t="s">
        <v>876</v>
      </c>
      <c r="Y239" s="542">
        <v>39593</v>
      </c>
      <c r="Z239" s="543">
        <f t="shared" ca="1" si="3"/>
        <v>17</v>
      </c>
      <c r="AA239" s="534" t="s">
        <v>1889</v>
      </c>
      <c r="AB239" s="516" t="s">
        <v>1890</v>
      </c>
      <c r="AC239" s="516" t="s">
        <v>842</v>
      </c>
      <c r="AD239" s="516" t="s">
        <v>794</v>
      </c>
      <c r="AE239" s="534" t="s">
        <v>1256</v>
      </c>
      <c r="AF239" s="534" t="s">
        <v>1256</v>
      </c>
      <c r="AG239" s="534"/>
      <c r="AH239" s="516"/>
      <c r="AI239" s="516"/>
      <c r="AJ239" s="516" t="s">
        <v>903</v>
      </c>
      <c r="AK239" s="516"/>
      <c r="AL239" s="544"/>
      <c r="AM239" s="544"/>
    </row>
    <row r="240" spans="3:39" ht="18" customHeight="1">
      <c r="C240" s="516">
        <v>219</v>
      </c>
      <c r="D240" s="516" t="s">
        <v>1884</v>
      </c>
      <c r="E240" s="516">
        <f t="shared" si="4"/>
        <v>210</v>
      </c>
      <c r="F240" s="534" t="s">
        <v>811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 t="s">
        <v>308</v>
      </c>
      <c r="R240" s="516" t="s">
        <v>62</v>
      </c>
      <c r="S240" s="516" t="s">
        <v>548</v>
      </c>
      <c r="T240" s="516"/>
      <c r="U240" s="516" t="s">
        <v>788</v>
      </c>
      <c r="V240" s="538" t="s">
        <v>417</v>
      </c>
      <c r="W240" s="541" t="s">
        <v>1891</v>
      </c>
      <c r="X240" s="516" t="s">
        <v>876</v>
      </c>
      <c r="Y240" s="542">
        <v>36581</v>
      </c>
      <c r="Z240" s="543">
        <f t="shared" ca="1" si="3"/>
        <v>25</v>
      </c>
      <c r="AA240" s="534" t="s">
        <v>1892</v>
      </c>
      <c r="AB240" s="516" t="s">
        <v>1893</v>
      </c>
      <c r="AC240" s="516" t="s">
        <v>842</v>
      </c>
      <c r="AD240" s="516" t="s">
        <v>843</v>
      </c>
      <c r="AE240" s="534" t="s">
        <v>713</v>
      </c>
      <c r="AF240" s="534" t="s">
        <v>713</v>
      </c>
      <c r="AG240" s="534" t="s">
        <v>1894</v>
      </c>
      <c r="AH240" s="516"/>
      <c r="AI240" s="516"/>
      <c r="AJ240" s="569" t="s">
        <v>1224</v>
      </c>
      <c r="AK240" s="516"/>
      <c r="AL240" s="544"/>
      <c r="AM240" s="544"/>
    </row>
    <row r="241" spans="1:39" ht="18" customHeight="1">
      <c r="C241" s="516">
        <v>220</v>
      </c>
      <c r="D241" s="516" t="s">
        <v>1895</v>
      </c>
      <c r="E241" s="516">
        <f t="shared" si="4"/>
        <v>211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/>
      <c r="R241" s="516"/>
      <c r="S241" s="516"/>
      <c r="T241" s="516"/>
      <c r="U241" s="516" t="s">
        <v>788</v>
      </c>
      <c r="V241" s="538" t="s">
        <v>1896</v>
      </c>
      <c r="W241" s="541" t="s">
        <v>1897</v>
      </c>
      <c r="X241" s="516" t="s">
        <v>876</v>
      </c>
      <c r="Y241" s="542">
        <v>36350</v>
      </c>
      <c r="Z241" s="543">
        <f t="shared" ca="1" si="3"/>
        <v>26</v>
      </c>
      <c r="AA241" s="534" t="s">
        <v>1898</v>
      </c>
      <c r="AB241" s="516" t="s">
        <v>1899</v>
      </c>
      <c r="AC241" s="516" t="s">
        <v>842</v>
      </c>
      <c r="AD241" s="516" t="s">
        <v>851</v>
      </c>
      <c r="AE241" s="534" t="s">
        <v>713</v>
      </c>
      <c r="AF241" s="566" t="s">
        <v>713</v>
      </c>
      <c r="AG241" s="534" t="s">
        <v>1900</v>
      </c>
      <c r="AH241" s="516"/>
      <c r="AI241" s="516"/>
      <c r="AJ241" s="516" t="s">
        <v>903</v>
      </c>
      <c r="AK241" s="516"/>
      <c r="AL241" s="544"/>
      <c r="AM241" s="544"/>
    </row>
    <row r="242" spans="1:39" ht="18" customHeight="1">
      <c r="C242" s="516">
        <v>221</v>
      </c>
      <c r="D242" s="516" t="s">
        <v>1901</v>
      </c>
      <c r="E242" s="516">
        <f t="shared" si="4"/>
        <v>212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1902</v>
      </c>
      <c r="W242" s="541" t="s">
        <v>1903</v>
      </c>
      <c r="X242" s="516" t="s">
        <v>790</v>
      </c>
      <c r="Y242" s="542">
        <v>36950</v>
      </c>
      <c r="Z242" s="543">
        <f t="shared" ca="1" si="3"/>
        <v>24</v>
      </c>
      <c r="AA242" s="534" t="s">
        <v>1904</v>
      </c>
      <c r="AB242" s="516" t="s">
        <v>1905</v>
      </c>
      <c r="AC242" s="516" t="s">
        <v>842</v>
      </c>
      <c r="AD242" s="516" t="s">
        <v>843</v>
      </c>
      <c r="AE242" s="534" t="s">
        <v>713</v>
      </c>
      <c r="AF242" s="566" t="s">
        <v>713</v>
      </c>
      <c r="AG242" s="534" t="s">
        <v>1906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222</v>
      </c>
      <c r="D243" s="516" t="s">
        <v>1907</v>
      </c>
      <c r="E243" s="516">
        <f t="shared" si="4"/>
        <v>213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1908</v>
      </c>
      <c r="W243" s="541" t="s">
        <v>1909</v>
      </c>
      <c r="X243" s="516" t="s">
        <v>790</v>
      </c>
      <c r="Y243" s="542">
        <v>37497</v>
      </c>
      <c r="Z243" s="543">
        <f t="shared" ca="1" si="3"/>
        <v>23</v>
      </c>
      <c r="AA243" s="534" t="s">
        <v>1910</v>
      </c>
      <c r="AB243" s="516" t="s">
        <v>1911</v>
      </c>
      <c r="AC243" s="516" t="s">
        <v>842</v>
      </c>
      <c r="AD243" s="516" t="s">
        <v>843</v>
      </c>
      <c r="AE243" s="534" t="s">
        <v>713</v>
      </c>
      <c r="AF243" s="534" t="s">
        <v>1163</v>
      </c>
      <c r="AG243" s="534" t="s">
        <v>1912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223</v>
      </c>
      <c r="D244" s="516" t="s">
        <v>1913</v>
      </c>
      <c r="E244" s="516">
        <f t="shared" si="4"/>
        <v>214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 t="s">
        <v>308</v>
      </c>
      <c r="R244" s="516"/>
      <c r="S244" s="516"/>
      <c r="T244" s="516"/>
      <c r="U244" s="516" t="s">
        <v>874</v>
      </c>
      <c r="V244" s="538" t="s">
        <v>388</v>
      </c>
      <c r="W244" s="541" t="s">
        <v>1914</v>
      </c>
      <c r="X244" s="516" t="s">
        <v>876</v>
      </c>
      <c r="Y244" s="542">
        <v>36538</v>
      </c>
      <c r="Z244" s="543">
        <f t="shared" ca="1" si="3"/>
        <v>26</v>
      </c>
      <c r="AA244" s="534" t="s">
        <v>1915</v>
      </c>
      <c r="AB244" s="516" t="s">
        <v>1916</v>
      </c>
      <c r="AC244" s="516" t="s">
        <v>842</v>
      </c>
      <c r="AD244" s="516" t="s">
        <v>843</v>
      </c>
      <c r="AE244" s="534" t="s">
        <v>713</v>
      </c>
      <c r="AF244" s="566" t="s">
        <v>713</v>
      </c>
      <c r="AG244" s="534" t="s">
        <v>1229</v>
      </c>
      <c r="AH244" s="516"/>
      <c r="AI244" s="516"/>
      <c r="AJ244" s="593" t="s">
        <v>1604</v>
      </c>
      <c r="AK244" s="516"/>
      <c r="AL244" s="544"/>
      <c r="AM244" s="544"/>
    </row>
    <row r="245" spans="1:39" ht="18" customHeight="1">
      <c r="C245" s="516">
        <v>224</v>
      </c>
      <c r="D245" s="516" t="s">
        <v>1917</v>
      </c>
      <c r="E245" s="516">
        <f t="shared" si="4"/>
        <v>215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788</v>
      </c>
      <c r="V245" s="538" t="s">
        <v>400</v>
      </c>
      <c r="W245" s="541" t="s">
        <v>1918</v>
      </c>
      <c r="X245" s="516" t="s">
        <v>876</v>
      </c>
      <c r="Y245" s="542">
        <v>38233</v>
      </c>
      <c r="Z245" s="543">
        <f t="shared" ca="1" si="3"/>
        <v>21</v>
      </c>
      <c r="AA245" s="534" t="s">
        <v>1919</v>
      </c>
      <c r="AB245" s="516" t="s">
        <v>1920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1921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225</v>
      </c>
      <c r="D246" s="516" t="s">
        <v>1922</v>
      </c>
      <c r="E246" s="516">
        <f t="shared" si="4"/>
        <v>216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1923</v>
      </c>
      <c r="W246" s="541" t="s">
        <v>1924</v>
      </c>
      <c r="X246" s="516" t="s">
        <v>876</v>
      </c>
      <c r="Y246" s="542">
        <v>36315</v>
      </c>
      <c r="Z246" s="543">
        <f t="shared" ca="1" si="3"/>
        <v>26</v>
      </c>
      <c r="AA246" s="534" t="s">
        <v>1925</v>
      </c>
      <c r="AB246" s="516" t="s">
        <v>1926</v>
      </c>
      <c r="AC246" s="516" t="s">
        <v>842</v>
      </c>
      <c r="AD246" s="516" t="s">
        <v>843</v>
      </c>
      <c r="AE246" s="534" t="s">
        <v>713</v>
      </c>
      <c r="AF246" s="534" t="s">
        <v>713</v>
      </c>
      <c r="AG246" s="534" t="s">
        <v>1229</v>
      </c>
      <c r="AH246" s="516" t="s">
        <v>1571</v>
      </c>
      <c r="AI246" s="516" t="s">
        <v>1927</v>
      </c>
      <c r="AJ246" s="569" t="s">
        <v>1224</v>
      </c>
      <c r="AK246" s="516"/>
      <c r="AL246" s="544"/>
      <c r="AM246" s="544"/>
    </row>
    <row r="247" spans="1:39" ht="18" customHeight="1">
      <c r="C247" s="516">
        <v>226</v>
      </c>
      <c r="D247" s="516" t="s">
        <v>1928</v>
      </c>
      <c r="E247" s="516">
        <f t="shared" si="4"/>
        <v>217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426</v>
      </c>
      <c r="W247" s="541" t="s">
        <v>1929</v>
      </c>
      <c r="X247" s="516" t="s">
        <v>876</v>
      </c>
      <c r="Y247" s="542">
        <v>37693</v>
      </c>
      <c r="Z247" s="543">
        <f t="shared" ca="1" si="3"/>
        <v>22</v>
      </c>
      <c r="AA247" s="534" t="s">
        <v>1930</v>
      </c>
      <c r="AB247" s="516"/>
      <c r="AC247" s="516" t="s">
        <v>842</v>
      </c>
      <c r="AD247" s="516" t="s">
        <v>843</v>
      </c>
      <c r="AE247" s="534" t="s">
        <v>713</v>
      </c>
      <c r="AF247" s="534" t="s">
        <v>1163</v>
      </c>
      <c r="AG247" s="534" t="s">
        <v>1250</v>
      </c>
      <c r="AH247" s="516"/>
      <c r="AI247" s="516" t="s">
        <v>866</v>
      </c>
      <c r="AJ247" s="516" t="s">
        <v>903</v>
      </c>
      <c r="AK247" s="516"/>
      <c r="AL247" s="544"/>
      <c r="AM247" s="544"/>
    </row>
    <row r="248" spans="1:39" ht="18" customHeight="1">
      <c r="C248" s="516">
        <v>227</v>
      </c>
      <c r="D248" s="516" t="s">
        <v>1931</v>
      </c>
      <c r="E248" s="516">
        <f t="shared" si="4"/>
        <v>218</v>
      </c>
      <c r="F248" s="534" t="s">
        <v>1310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59" t="s">
        <v>828</v>
      </c>
      <c r="Q248" s="539"/>
      <c r="R248" s="516"/>
      <c r="S248" s="516"/>
      <c r="T248" s="516"/>
      <c r="U248" s="516" t="s">
        <v>1886</v>
      </c>
      <c r="V248" s="559" t="s">
        <v>1932</v>
      </c>
      <c r="W248" s="541" t="s">
        <v>1933</v>
      </c>
      <c r="X248" s="516" t="s">
        <v>876</v>
      </c>
      <c r="Y248" s="542">
        <v>39312</v>
      </c>
      <c r="Z248" s="543">
        <f t="shared" ca="1" si="3"/>
        <v>18</v>
      </c>
      <c r="AA248" s="534" t="s">
        <v>1934</v>
      </c>
      <c r="AB248" s="516" t="s">
        <v>1935</v>
      </c>
      <c r="AC248" s="516" t="s">
        <v>842</v>
      </c>
      <c r="AD248" s="516" t="s">
        <v>843</v>
      </c>
      <c r="AE248" s="534" t="s">
        <v>1735</v>
      </c>
      <c r="AF248" s="534" t="s">
        <v>1735</v>
      </c>
      <c r="AG248" s="534"/>
      <c r="AH248" s="516"/>
      <c r="AI248" s="516" t="s">
        <v>1936</v>
      </c>
      <c r="AJ248" s="516" t="s">
        <v>903</v>
      </c>
      <c r="AK248" s="516" t="s">
        <v>1805</v>
      </c>
      <c r="AL248" s="544"/>
      <c r="AM248" s="544"/>
    </row>
    <row r="249" spans="1:39" ht="18" customHeight="1">
      <c r="C249" s="516">
        <v>228</v>
      </c>
      <c r="D249" s="516" t="s">
        <v>1664</v>
      </c>
      <c r="E249" s="516">
        <f t="shared" si="4"/>
        <v>218</v>
      </c>
      <c r="F249" s="534"/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1664</v>
      </c>
      <c r="L249" s="535" t="s">
        <v>1937</v>
      </c>
      <c r="M249" s="536"/>
      <c r="N249" s="537"/>
      <c r="O249" s="537"/>
      <c r="P249" s="548" t="s">
        <v>938</v>
      </c>
      <c r="Q249" s="539"/>
      <c r="R249" s="516" t="s">
        <v>49</v>
      </c>
      <c r="S249" s="516" t="s">
        <v>168</v>
      </c>
      <c r="T249" s="516"/>
      <c r="U249" s="516"/>
      <c r="V249" s="548" t="s">
        <v>323</v>
      </c>
      <c r="W249" s="541" t="s">
        <v>1938</v>
      </c>
      <c r="X249" s="516" t="s">
        <v>876</v>
      </c>
      <c r="Y249" s="542">
        <v>30593</v>
      </c>
      <c r="Z249" s="543">
        <f t="shared" ca="1" si="3"/>
        <v>42</v>
      </c>
      <c r="AA249" s="534" t="s">
        <v>1666</v>
      </c>
      <c r="AB249" s="516" t="s">
        <v>1667</v>
      </c>
      <c r="AC249" s="516" t="s">
        <v>802</v>
      </c>
      <c r="AD249" s="516" t="s">
        <v>794</v>
      </c>
      <c r="AE249" s="534" t="s">
        <v>713</v>
      </c>
      <c r="AF249" s="534" t="s">
        <v>713</v>
      </c>
      <c r="AG249" s="534"/>
      <c r="AH249" s="516" t="s">
        <v>872</v>
      </c>
      <c r="AI249" s="516"/>
      <c r="AJ249" s="516"/>
      <c r="AK249" s="516"/>
      <c r="AL249" s="544"/>
      <c r="AM249" s="544"/>
    </row>
    <row r="250" spans="1:39" ht="18" customHeight="1">
      <c r="C250" s="516">
        <v>229</v>
      </c>
      <c r="D250" s="516" t="s">
        <v>1937</v>
      </c>
      <c r="E250" s="516">
        <f t="shared" si="4"/>
        <v>219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38" t="s">
        <v>938</v>
      </c>
      <c r="Q250" s="539" t="s">
        <v>308</v>
      </c>
      <c r="R250" s="516" t="s">
        <v>62</v>
      </c>
      <c r="S250" s="516" t="s">
        <v>62</v>
      </c>
      <c r="T250" s="516"/>
      <c r="U250" s="516" t="s">
        <v>874</v>
      </c>
      <c r="V250" s="538" t="s">
        <v>347</v>
      </c>
      <c r="W250" s="541" t="s">
        <v>1939</v>
      </c>
      <c r="X250" s="516" t="s">
        <v>876</v>
      </c>
      <c r="Y250" s="542">
        <v>30325</v>
      </c>
      <c r="Z250" s="543">
        <f t="shared" ca="1" si="3"/>
        <v>43</v>
      </c>
      <c r="AA250" s="534" t="s">
        <v>1940</v>
      </c>
      <c r="AB250" s="516" t="s">
        <v>1941</v>
      </c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1391</v>
      </c>
      <c r="AH250" s="516"/>
      <c r="AI250" s="516"/>
      <c r="AJ250" s="516" t="s">
        <v>1497</v>
      </c>
      <c r="AK250" s="516"/>
      <c r="AL250" s="544"/>
      <c r="AM250" s="544"/>
    </row>
    <row r="251" spans="1:39" ht="18" customHeight="1">
      <c r="C251" s="516">
        <v>230</v>
      </c>
      <c r="D251" s="516" t="s">
        <v>1942</v>
      </c>
      <c r="E251" s="516">
        <f t="shared" si="4"/>
        <v>220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/>
      <c r="S251" s="516"/>
      <c r="T251" s="516"/>
      <c r="U251" s="516" t="s">
        <v>874</v>
      </c>
      <c r="V251" s="538" t="s">
        <v>332</v>
      </c>
      <c r="W251" s="541" t="s">
        <v>1943</v>
      </c>
      <c r="X251" s="516" t="s">
        <v>876</v>
      </c>
      <c r="Y251" s="542">
        <v>27988</v>
      </c>
      <c r="Z251" s="543">
        <f t="shared" ca="1" si="3"/>
        <v>49</v>
      </c>
      <c r="AA251" s="534" t="s">
        <v>1944</v>
      </c>
      <c r="AB251" s="516" t="s">
        <v>1945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1427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1946</v>
      </c>
      <c r="E252" s="516">
        <f t="shared" si="4"/>
        <v>221</v>
      </c>
      <c r="F252" s="534" t="s">
        <v>1157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59" t="s">
        <v>938</v>
      </c>
      <c r="Q252" s="539" t="s">
        <v>308</v>
      </c>
      <c r="R252" s="516"/>
      <c r="S252" s="516"/>
      <c r="T252" s="516"/>
      <c r="U252" s="516" t="s">
        <v>788</v>
      </c>
      <c r="V252" s="559" t="s">
        <v>361</v>
      </c>
      <c r="W252" s="541" t="s">
        <v>1947</v>
      </c>
      <c r="X252" s="516" t="s">
        <v>876</v>
      </c>
      <c r="Y252" s="542">
        <v>33178</v>
      </c>
      <c r="Z252" s="543">
        <f t="shared" ca="1" si="3"/>
        <v>35</v>
      </c>
      <c r="AA252" s="534" t="s">
        <v>1948</v>
      </c>
      <c r="AB252" s="516" t="s">
        <v>1949</v>
      </c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1229</v>
      </c>
      <c r="AH252" s="516"/>
      <c r="AI252" s="516"/>
      <c r="AJ252" s="593" t="s">
        <v>1950</v>
      </c>
      <c r="AK252" s="516"/>
      <c r="AL252" s="544"/>
      <c r="AM252" s="544"/>
    </row>
    <row r="253" spans="1:39" ht="18" customHeight="1">
      <c r="C253" s="516">
        <v>232</v>
      </c>
      <c r="D253" s="516" t="s">
        <v>1951</v>
      </c>
      <c r="E253" s="516">
        <f t="shared" si="4"/>
        <v>222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1951</v>
      </c>
      <c r="L253" s="535" t="s">
        <v>1952</v>
      </c>
      <c r="M253" s="570" t="s">
        <v>1953</v>
      </c>
      <c r="N253" s="660" t="s">
        <v>1954</v>
      </c>
      <c r="O253" s="660" t="s">
        <v>1955</v>
      </c>
      <c r="P253" s="538" t="s">
        <v>978</v>
      </c>
      <c r="Q253" s="539"/>
      <c r="R253" s="516" t="s">
        <v>62</v>
      </c>
      <c r="S253" s="516" t="s">
        <v>548</v>
      </c>
      <c r="T253" s="516"/>
      <c r="U253" s="516" t="s">
        <v>874</v>
      </c>
      <c r="V253" s="538" t="s">
        <v>1956</v>
      </c>
      <c r="W253" s="541" t="s">
        <v>1957</v>
      </c>
      <c r="X253" s="516" t="s">
        <v>876</v>
      </c>
      <c r="Y253" s="542">
        <v>34308</v>
      </c>
      <c r="Z253" s="543">
        <f t="shared" ca="1" si="3"/>
        <v>32</v>
      </c>
      <c r="AA253" s="534" t="s">
        <v>1958</v>
      </c>
      <c r="AB253" s="516" t="s">
        <v>1959</v>
      </c>
      <c r="AC253" s="516" t="s">
        <v>842</v>
      </c>
      <c r="AD253" s="516" t="s">
        <v>851</v>
      </c>
      <c r="AE253" s="534" t="s">
        <v>713</v>
      </c>
      <c r="AF253" s="566" t="s">
        <v>713</v>
      </c>
      <c r="AG253" s="534" t="s">
        <v>1449</v>
      </c>
      <c r="AH253" s="516"/>
      <c r="AI253" s="516"/>
      <c r="AJ253" s="516" t="s">
        <v>903</v>
      </c>
      <c r="AK253" s="516"/>
      <c r="AL253" s="544"/>
      <c r="AM253" s="544"/>
    </row>
    <row r="254" spans="1:39" ht="18" customHeight="1">
      <c r="C254" s="516">
        <v>233</v>
      </c>
      <c r="D254" s="516" t="s">
        <v>1952</v>
      </c>
      <c r="E254" s="516">
        <f t="shared" si="4"/>
        <v>223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 t="s">
        <v>62</v>
      </c>
      <c r="S254" s="516" t="s">
        <v>548</v>
      </c>
      <c r="T254" s="516"/>
      <c r="U254" s="516" t="s">
        <v>874</v>
      </c>
      <c r="V254" s="538" t="s">
        <v>348</v>
      </c>
      <c r="W254" s="541" t="s">
        <v>1960</v>
      </c>
      <c r="X254" s="516" t="s">
        <v>876</v>
      </c>
      <c r="Y254" s="542">
        <v>34385</v>
      </c>
      <c r="Z254" s="543">
        <f t="shared" ca="1" si="3"/>
        <v>31</v>
      </c>
      <c r="AA254" s="534" t="s">
        <v>1961</v>
      </c>
      <c r="AB254" s="516" t="s">
        <v>1962</v>
      </c>
      <c r="AC254" s="516" t="s">
        <v>842</v>
      </c>
      <c r="AD254" s="516" t="s">
        <v>851</v>
      </c>
      <c r="AE254" s="534" t="s">
        <v>713</v>
      </c>
      <c r="AF254" s="534" t="s">
        <v>1400</v>
      </c>
      <c r="AG254" s="534" t="s">
        <v>1963</v>
      </c>
      <c r="AH254" s="516"/>
      <c r="AI254" s="516"/>
      <c r="AJ254" s="516" t="s">
        <v>1852</v>
      </c>
      <c r="AK254" s="516"/>
      <c r="AL254" s="544"/>
      <c r="AM254" s="544"/>
    </row>
    <row r="255" spans="1:39" ht="18" customHeight="1">
      <c r="A255" s="173"/>
      <c r="B255" s="173"/>
      <c r="C255" s="516">
        <v>234</v>
      </c>
      <c r="D255" s="516" t="s">
        <v>1953</v>
      </c>
      <c r="E255" s="516">
        <f>SUBTOTAL(103,$U$21:U255)</f>
        <v>224</v>
      </c>
      <c r="F255" s="603" t="s">
        <v>811</v>
      </c>
      <c r="G255" s="516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56" t="s">
        <v>978</v>
      </c>
      <c r="Q255" s="539" t="s">
        <v>308</v>
      </c>
      <c r="R255" s="516" t="s">
        <v>62</v>
      </c>
      <c r="S255" s="516" t="s">
        <v>548</v>
      </c>
      <c r="T255" s="554"/>
      <c r="U255" s="596" t="s">
        <v>874</v>
      </c>
      <c r="V255" s="556" t="s">
        <v>375</v>
      </c>
      <c r="W255" s="557" t="s">
        <v>1964</v>
      </c>
      <c r="X255" s="516" t="s">
        <v>876</v>
      </c>
      <c r="Y255" s="542">
        <v>30447</v>
      </c>
      <c r="Z255" s="543">
        <f t="shared" ca="1" si="3"/>
        <v>42</v>
      </c>
      <c r="AA255" s="516" t="s">
        <v>1965</v>
      </c>
      <c r="AB255" s="516" t="s">
        <v>1966</v>
      </c>
      <c r="AC255" s="516" t="s">
        <v>842</v>
      </c>
      <c r="AD255" s="516" t="s">
        <v>843</v>
      </c>
      <c r="AE255" s="516" t="s">
        <v>713</v>
      </c>
      <c r="AF255" s="566" t="s">
        <v>713</v>
      </c>
      <c r="AG255" s="516" t="s">
        <v>1094</v>
      </c>
      <c r="AH255" s="554"/>
      <c r="AI255" s="554"/>
      <c r="AJ255" s="516" t="s">
        <v>1497</v>
      </c>
      <c r="AK255" s="554"/>
      <c r="AL255" s="554"/>
      <c r="AM255" s="554"/>
    </row>
    <row r="256" spans="1:39" ht="18" customHeight="1">
      <c r="C256" s="516">
        <v>235</v>
      </c>
      <c r="D256" s="516" t="s">
        <v>1954</v>
      </c>
      <c r="E256" s="516">
        <f t="shared" ref="E256:E281" si="5">SUBTOTAL(103,$U$21:U256)</f>
        <v>225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38" t="s">
        <v>978</v>
      </c>
      <c r="Q256" s="539" t="s">
        <v>308</v>
      </c>
      <c r="R256" s="516" t="s">
        <v>62</v>
      </c>
      <c r="S256" s="516" t="s">
        <v>548</v>
      </c>
      <c r="T256" s="516"/>
      <c r="U256" s="516" t="s">
        <v>874</v>
      </c>
      <c r="V256" s="538" t="s">
        <v>333</v>
      </c>
      <c r="W256" s="541" t="s">
        <v>1967</v>
      </c>
      <c r="X256" s="516" t="s">
        <v>876</v>
      </c>
      <c r="Y256" s="542">
        <v>30826</v>
      </c>
      <c r="Z256" s="543">
        <f t="shared" ca="1" si="3"/>
        <v>41</v>
      </c>
      <c r="AA256" s="534" t="s">
        <v>1968</v>
      </c>
      <c r="AB256" s="516" t="s">
        <v>1969</v>
      </c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66" t="s">
        <v>1313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236</v>
      </c>
      <c r="D257" s="516" t="s">
        <v>1955</v>
      </c>
      <c r="E257" s="516">
        <f t="shared" si="5"/>
        <v>226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389</v>
      </c>
      <c r="W257" s="541" t="s">
        <v>1970</v>
      </c>
      <c r="X257" s="516" t="s">
        <v>876</v>
      </c>
      <c r="Y257" s="542">
        <v>31415</v>
      </c>
      <c r="Z257" s="543">
        <f t="shared" ca="1" si="3"/>
        <v>40</v>
      </c>
      <c r="AA257" s="534" t="s">
        <v>1971</v>
      </c>
      <c r="AB257" s="516" t="s">
        <v>1972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1973</v>
      </c>
      <c r="AH257" s="516"/>
      <c r="AI257" s="516"/>
      <c r="AJ257" s="593" t="s">
        <v>1604</v>
      </c>
      <c r="AK257" s="516"/>
      <c r="AL257" s="544"/>
      <c r="AM257" s="544"/>
    </row>
    <row r="258" spans="3:39" ht="18" customHeight="1">
      <c r="C258" s="516">
        <v>237</v>
      </c>
      <c r="D258" s="516" t="s">
        <v>1974</v>
      </c>
      <c r="E258" s="516">
        <f t="shared" si="5"/>
        <v>227</v>
      </c>
      <c r="F258" s="534" t="s">
        <v>1001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/>
      <c r="S258" s="516"/>
      <c r="T258" s="516"/>
      <c r="U258" s="516" t="s">
        <v>874</v>
      </c>
      <c r="V258" s="540" t="s">
        <v>362</v>
      </c>
      <c r="W258" s="541" t="s">
        <v>1975</v>
      </c>
      <c r="X258" s="516" t="s">
        <v>876</v>
      </c>
      <c r="Y258" s="542">
        <v>33658</v>
      </c>
      <c r="Z258" s="543">
        <f t="shared" ca="1" si="3"/>
        <v>33</v>
      </c>
      <c r="AA258" s="534" t="s">
        <v>1976</v>
      </c>
      <c r="AB258" s="516" t="s">
        <v>1977</v>
      </c>
      <c r="AC258" s="516" t="s">
        <v>842</v>
      </c>
      <c r="AD258" s="516" t="s">
        <v>843</v>
      </c>
      <c r="AE258" s="534" t="s">
        <v>236</v>
      </c>
      <c r="AF258" s="534" t="s">
        <v>236</v>
      </c>
      <c r="AG258" s="534" t="s">
        <v>1978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238</v>
      </c>
      <c r="D259" s="516" t="s">
        <v>1985</v>
      </c>
      <c r="E259" s="516">
        <f t="shared" si="5"/>
        <v>228</v>
      </c>
      <c r="F259" s="534" t="s">
        <v>1310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1985</v>
      </c>
      <c r="L259" s="536" t="s">
        <v>1986</v>
      </c>
      <c r="M259" s="536" t="s">
        <v>1987</v>
      </c>
      <c r="N259" s="537" t="s">
        <v>1988</v>
      </c>
      <c r="O259" s="660" t="s">
        <v>1988</v>
      </c>
      <c r="P259" s="548" t="s">
        <v>314</v>
      </c>
      <c r="Q259" s="539"/>
      <c r="R259" s="516" t="s">
        <v>49</v>
      </c>
      <c r="S259" s="516" t="s">
        <v>168</v>
      </c>
      <c r="T259" s="516"/>
      <c r="U259" s="516" t="s">
        <v>1886</v>
      </c>
      <c r="V259" s="548" t="s">
        <v>324</v>
      </c>
      <c r="W259" s="541" t="s">
        <v>1989</v>
      </c>
      <c r="X259" s="516" t="s">
        <v>876</v>
      </c>
      <c r="Y259" s="542">
        <v>39305</v>
      </c>
      <c r="Z259" s="543">
        <f t="shared" ca="1" si="3"/>
        <v>18</v>
      </c>
      <c r="AA259" s="534" t="s">
        <v>1990</v>
      </c>
      <c r="AB259" s="516" t="s">
        <v>1991</v>
      </c>
      <c r="AC259" s="516" t="s">
        <v>842</v>
      </c>
      <c r="AD259" s="516" t="s">
        <v>794</v>
      </c>
      <c r="AE259" s="534" t="s">
        <v>236</v>
      </c>
      <c r="AF259" s="534" t="s">
        <v>236</v>
      </c>
      <c r="AG259" s="534" t="s">
        <v>865</v>
      </c>
      <c r="AH259" s="516"/>
      <c r="AI259" s="516"/>
      <c r="AJ259" s="516" t="s">
        <v>844</v>
      </c>
      <c r="AK259" s="516"/>
      <c r="AL259" s="544"/>
      <c r="AM259" s="544"/>
    </row>
    <row r="260" spans="3:39" ht="18" customHeight="1">
      <c r="C260" s="516">
        <v>239</v>
      </c>
      <c r="D260" s="516" t="s">
        <v>1986</v>
      </c>
      <c r="E260" s="516">
        <f t="shared" si="5"/>
        <v>229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38" t="s">
        <v>314</v>
      </c>
      <c r="Q260" s="539" t="s">
        <v>308</v>
      </c>
      <c r="R260" s="516"/>
      <c r="S260" s="516" t="s">
        <v>1885</v>
      </c>
      <c r="T260" s="516"/>
      <c r="U260" s="516" t="s">
        <v>1886</v>
      </c>
      <c r="V260" s="538" t="s">
        <v>349</v>
      </c>
      <c r="W260" s="541" t="s">
        <v>1992</v>
      </c>
      <c r="X260" s="516" t="s">
        <v>876</v>
      </c>
      <c r="Y260" s="542">
        <v>39342</v>
      </c>
      <c r="Z260" s="543">
        <f t="shared" ca="1" si="3"/>
        <v>18</v>
      </c>
      <c r="AA260" s="534" t="s">
        <v>1993</v>
      </c>
      <c r="AB260" s="516" t="s">
        <v>1994</v>
      </c>
      <c r="AC260" s="516" t="s">
        <v>842</v>
      </c>
      <c r="AD260" s="516" t="s">
        <v>843</v>
      </c>
      <c r="AE260" s="534" t="s">
        <v>815</v>
      </c>
      <c r="AF260" s="534" t="s">
        <v>815</v>
      </c>
      <c r="AG260" s="534" t="s">
        <v>1995</v>
      </c>
      <c r="AH260" s="516"/>
      <c r="AI260" s="516"/>
      <c r="AJ260" s="516" t="s">
        <v>971</v>
      </c>
      <c r="AK260" s="516"/>
      <c r="AL260" s="544"/>
      <c r="AM260" s="544"/>
    </row>
    <row r="261" spans="3:39" ht="18" customHeight="1">
      <c r="C261" s="516">
        <v>240</v>
      </c>
      <c r="D261" s="516" t="s">
        <v>1987</v>
      </c>
      <c r="E261" s="516">
        <f t="shared" si="5"/>
        <v>230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/>
      <c r="S261" s="516" t="s">
        <v>1885</v>
      </c>
      <c r="T261" s="516"/>
      <c r="U261" s="516" t="s">
        <v>1886</v>
      </c>
      <c r="V261" s="538" t="s">
        <v>401</v>
      </c>
      <c r="W261" s="541" t="s">
        <v>1996</v>
      </c>
      <c r="X261" s="516" t="s">
        <v>790</v>
      </c>
      <c r="Y261" s="542">
        <v>39486</v>
      </c>
      <c r="Z261" s="543">
        <f t="shared" ca="1" si="3"/>
        <v>17</v>
      </c>
      <c r="AA261" s="534" t="s">
        <v>1997</v>
      </c>
      <c r="AB261" s="516" t="s">
        <v>1998</v>
      </c>
      <c r="AC261" s="516" t="s">
        <v>842</v>
      </c>
      <c r="AD261" s="516" t="s">
        <v>843</v>
      </c>
      <c r="AE261" s="534" t="s">
        <v>815</v>
      </c>
      <c r="AF261" s="534" t="s">
        <v>1999</v>
      </c>
      <c r="AG261" s="534" t="s">
        <v>2000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1988</v>
      </c>
      <c r="E262" s="516">
        <f t="shared" si="5"/>
        <v>231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/>
      <c r="S262" s="516" t="s">
        <v>1885</v>
      </c>
      <c r="T262" s="516"/>
      <c r="U262" s="516" t="s">
        <v>1886</v>
      </c>
      <c r="V262" s="538" t="s">
        <v>412</v>
      </c>
      <c r="W262" s="541" t="s">
        <v>2001</v>
      </c>
      <c r="X262" s="516" t="s">
        <v>876</v>
      </c>
      <c r="Y262" s="542">
        <v>40060</v>
      </c>
      <c r="Z262" s="543">
        <f t="shared" ca="1" si="3"/>
        <v>16</v>
      </c>
      <c r="AA262" s="534" t="s">
        <v>2002</v>
      </c>
      <c r="AB262" s="516" t="s">
        <v>2003</v>
      </c>
      <c r="AC262" s="516" t="s">
        <v>842</v>
      </c>
      <c r="AD262" s="516" t="s">
        <v>843</v>
      </c>
      <c r="AE262" s="534" t="s">
        <v>815</v>
      </c>
      <c r="AF262" s="534" t="s">
        <v>815</v>
      </c>
      <c r="AG262" s="534" t="s">
        <v>2004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2005</v>
      </c>
      <c r="E263" s="516">
        <f t="shared" si="5"/>
        <v>232</v>
      </c>
      <c r="F263" s="534" t="s">
        <v>1822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/>
      <c r="R263" s="516"/>
      <c r="S263" s="516"/>
      <c r="T263" s="516"/>
      <c r="U263" s="516" t="s">
        <v>788</v>
      </c>
      <c r="V263" s="538" t="s">
        <v>334</v>
      </c>
      <c r="W263" s="541" t="s">
        <v>2006</v>
      </c>
      <c r="X263" s="516" t="s">
        <v>790</v>
      </c>
      <c r="Y263" s="542">
        <v>38566</v>
      </c>
      <c r="Z263" s="543">
        <f t="shared" ca="1" si="3"/>
        <v>20</v>
      </c>
      <c r="AA263" s="594" t="s">
        <v>2007</v>
      </c>
      <c r="AB263" s="516" t="s">
        <v>2008</v>
      </c>
      <c r="AC263" s="516" t="s">
        <v>842</v>
      </c>
      <c r="AD263" s="516" t="s">
        <v>843</v>
      </c>
      <c r="AE263" s="534" t="s">
        <v>942</v>
      </c>
      <c r="AF263" s="534" t="s">
        <v>942</v>
      </c>
      <c r="AG263" s="534"/>
      <c r="AH263" s="516"/>
      <c r="AI263" s="516"/>
      <c r="AJ263" s="516" t="s">
        <v>1535</v>
      </c>
      <c r="AK263" s="516" t="s">
        <v>1863</v>
      </c>
      <c r="AL263" s="544"/>
      <c r="AM263" s="544"/>
    </row>
    <row r="264" spans="3:39" ht="18" customHeight="1">
      <c r="C264" s="516">
        <v>243</v>
      </c>
      <c r="D264" s="516" t="s">
        <v>2009</v>
      </c>
      <c r="E264" s="516">
        <f t="shared" si="5"/>
        <v>233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1886</v>
      </c>
      <c r="V264" s="538" t="s">
        <v>363</v>
      </c>
      <c r="W264" s="541" t="s">
        <v>2010</v>
      </c>
      <c r="X264" s="516" t="s">
        <v>876</v>
      </c>
      <c r="Y264" s="542" t="s">
        <v>2011</v>
      </c>
      <c r="Z264" s="543">
        <f t="shared" ca="1" si="3"/>
        <v>17</v>
      </c>
      <c r="AA264" s="534" t="s">
        <v>2012</v>
      </c>
      <c r="AB264" s="516"/>
      <c r="AC264" s="516" t="s">
        <v>842</v>
      </c>
      <c r="AD264" s="516" t="s">
        <v>794</v>
      </c>
      <c r="AE264" s="534" t="s">
        <v>942</v>
      </c>
      <c r="AF264" s="534" t="s">
        <v>942</v>
      </c>
      <c r="AG264" s="534" t="s">
        <v>2013</v>
      </c>
      <c r="AH264" s="516"/>
      <c r="AI264" s="516"/>
      <c r="AJ264" s="516" t="s">
        <v>976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2014</v>
      </c>
      <c r="E265" s="516">
        <f t="shared" si="5"/>
        <v>234</v>
      </c>
      <c r="F265" s="534" t="s">
        <v>1310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788</v>
      </c>
      <c r="V265" s="538" t="s">
        <v>376</v>
      </c>
      <c r="W265" s="541" t="s">
        <v>2015</v>
      </c>
      <c r="X265" s="516" t="s">
        <v>790</v>
      </c>
      <c r="Y265" s="542">
        <v>38811</v>
      </c>
      <c r="Z265" s="543">
        <f t="shared" ca="1" si="3"/>
        <v>19</v>
      </c>
      <c r="AA265" s="534" t="s">
        <v>2016</v>
      </c>
      <c r="AB265" s="516" t="s">
        <v>2017</v>
      </c>
      <c r="AC265" s="516" t="s">
        <v>842</v>
      </c>
      <c r="AD265" s="516" t="s">
        <v>794</v>
      </c>
      <c r="AE265" s="534" t="s">
        <v>815</v>
      </c>
      <c r="AF265" s="534" t="s">
        <v>815</v>
      </c>
      <c r="AG265" s="534"/>
      <c r="AH265" s="516" t="s">
        <v>1571</v>
      </c>
      <c r="AI265" s="516" t="s">
        <v>2018</v>
      </c>
      <c r="AJ265" s="516" t="s">
        <v>867</v>
      </c>
      <c r="AK265" s="516"/>
      <c r="AL265" s="544"/>
      <c r="AM265" s="544"/>
    </row>
    <row r="266" spans="3:39" ht="18" customHeight="1">
      <c r="C266" s="516">
        <v>245</v>
      </c>
      <c r="D266" s="516" t="s">
        <v>2019</v>
      </c>
      <c r="E266" s="516">
        <f t="shared" si="5"/>
        <v>235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1886</v>
      </c>
      <c r="V266" s="538" t="s">
        <v>390</v>
      </c>
      <c r="W266" s="541" t="s">
        <v>2020</v>
      </c>
      <c r="X266" s="516" t="s">
        <v>790</v>
      </c>
      <c r="Y266" s="542">
        <v>39236</v>
      </c>
      <c r="Z266" s="543">
        <f t="shared" ca="1" si="3"/>
        <v>18</v>
      </c>
      <c r="AA266" s="534" t="s">
        <v>2021</v>
      </c>
      <c r="AB266" s="516" t="s">
        <v>2022</v>
      </c>
      <c r="AC266" s="516" t="s">
        <v>842</v>
      </c>
      <c r="AD266" s="516" t="s">
        <v>794</v>
      </c>
      <c r="AE266" s="534" t="s">
        <v>713</v>
      </c>
      <c r="AF266" s="534" t="s">
        <v>713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2023</v>
      </c>
      <c r="E267" s="516">
        <f t="shared" si="5"/>
        <v>236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59" t="s">
        <v>314</v>
      </c>
      <c r="Q267" s="539" t="s">
        <v>308</v>
      </c>
      <c r="R267" s="516"/>
      <c r="S267" s="516"/>
      <c r="T267" s="516"/>
      <c r="U267" s="516" t="s">
        <v>1886</v>
      </c>
      <c r="V267" s="559" t="s">
        <v>418</v>
      </c>
      <c r="W267" s="541" t="s">
        <v>2024</v>
      </c>
      <c r="X267" s="516" t="s">
        <v>876</v>
      </c>
      <c r="Y267" s="542">
        <v>40531</v>
      </c>
      <c r="Z267" s="543">
        <f t="shared" ca="1" si="3"/>
        <v>15</v>
      </c>
      <c r="AA267" s="534" t="s">
        <v>2025</v>
      </c>
      <c r="AB267" s="516"/>
      <c r="AC267" s="516" t="s">
        <v>842</v>
      </c>
      <c r="AD267" s="516" t="s">
        <v>843</v>
      </c>
      <c r="AE267" s="534" t="s">
        <v>236</v>
      </c>
      <c r="AF267" s="534" t="s">
        <v>236</v>
      </c>
      <c r="AG267" s="574" t="s">
        <v>744</v>
      </c>
      <c r="AH267" s="516"/>
      <c r="AI267" s="516"/>
      <c r="AJ267" s="565" t="s">
        <v>1087</v>
      </c>
      <c r="AK267" s="516" t="s">
        <v>2026</v>
      </c>
      <c r="AL267" s="544"/>
      <c r="AM267" s="544"/>
    </row>
    <row r="268" spans="3:39" ht="18" customHeight="1">
      <c r="C268" s="516">
        <v>247</v>
      </c>
      <c r="D268" s="516" t="s">
        <v>1510</v>
      </c>
      <c r="E268" s="516">
        <f t="shared" si="5"/>
        <v>236</v>
      </c>
      <c r="F268" s="534"/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1510</v>
      </c>
      <c r="L268" s="535" t="s">
        <v>2030</v>
      </c>
      <c r="M268" s="570" t="s">
        <v>2031</v>
      </c>
      <c r="N268" s="537"/>
      <c r="O268" s="537"/>
      <c r="P268" s="548" t="s">
        <v>315</v>
      </c>
      <c r="Q268" s="539"/>
      <c r="R268" s="516" t="s">
        <v>163</v>
      </c>
      <c r="S268" s="516" t="s">
        <v>500</v>
      </c>
      <c r="T268" s="516"/>
      <c r="U268" s="562"/>
      <c r="V268" s="548" t="s">
        <v>322</v>
      </c>
      <c r="W268" s="560" t="s">
        <v>1511</v>
      </c>
      <c r="X268" s="516" t="s">
        <v>876</v>
      </c>
      <c r="Y268" s="542">
        <v>36694</v>
      </c>
      <c r="Z268" s="543">
        <f t="shared" ca="1" si="3"/>
        <v>25</v>
      </c>
      <c r="AA268" s="534" t="s">
        <v>1512</v>
      </c>
      <c r="AB268" s="516"/>
      <c r="AC268" s="516" t="s">
        <v>793</v>
      </c>
      <c r="AD268" s="516" t="s">
        <v>794</v>
      </c>
      <c r="AE268" s="534" t="s">
        <v>713</v>
      </c>
      <c r="AF268" s="534" t="s">
        <v>713</v>
      </c>
      <c r="AG268" s="534" t="s">
        <v>1514</v>
      </c>
      <c r="AH268" s="516" t="s">
        <v>872</v>
      </c>
      <c r="AI268" s="516"/>
      <c r="AJ268" s="516"/>
      <c r="AK268" s="516"/>
      <c r="AL268" s="544"/>
      <c r="AM268" s="544"/>
    </row>
    <row r="269" spans="3:39" ht="18" customHeight="1">
      <c r="C269" s="516">
        <v>248</v>
      </c>
      <c r="D269" s="516" t="s">
        <v>2030</v>
      </c>
      <c r="E269" s="516">
        <f t="shared" si="5"/>
        <v>237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38" t="s">
        <v>315</v>
      </c>
      <c r="Q269" s="539"/>
      <c r="R269" s="516"/>
      <c r="S269" s="516" t="s">
        <v>1885</v>
      </c>
      <c r="T269" s="516"/>
      <c r="U269" s="562" t="s">
        <v>1886</v>
      </c>
      <c r="V269" s="538" t="s">
        <v>336</v>
      </c>
      <c r="W269" s="560" t="s">
        <v>2032</v>
      </c>
      <c r="X269" s="516" t="s">
        <v>876</v>
      </c>
      <c r="Y269" s="542">
        <v>39497</v>
      </c>
      <c r="Z269" s="543">
        <f t="shared" ca="1" si="3"/>
        <v>17</v>
      </c>
      <c r="AA269" s="534" t="s">
        <v>2033</v>
      </c>
      <c r="AB269" s="516" t="s">
        <v>2034</v>
      </c>
      <c r="AC269" s="516" t="s">
        <v>842</v>
      </c>
      <c r="AD269" s="516" t="s">
        <v>851</v>
      </c>
      <c r="AE269" s="534" t="s">
        <v>713</v>
      </c>
      <c r="AF269" s="534" t="s">
        <v>1400</v>
      </c>
      <c r="AG269" s="534" t="s">
        <v>2035</v>
      </c>
      <c r="AH269" s="516"/>
      <c r="AI269" s="516"/>
      <c r="AJ269" s="516" t="s">
        <v>1852</v>
      </c>
      <c r="AK269" s="516"/>
      <c r="AL269" s="544"/>
      <c r="AM269" s="544"/>
    </row>
    <row r="270" spans="3:39" ht="18" customHeight="1">
      <c r="C270" s="516">
        <v>249</v>
      </c>
      <c r="D270" s="516" t="s">
        <v>2031</v>
      </c>
      <c r="E270" s="516">
        <f t="shared" si="5"/>
        <v>238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 t="s">
        <v>308</v>
      </c>
      <c r="R270" s="516"/>
      <c r="S270" s="516" t="s">
        <v>1885</v>
      </c>
      <c r="T270" s="516"/>
      <c r="U270" s="562" t="s">
        <v>1886</v>
      </c>
      <c r="V270" s="540" t="s">
        <v>413</v>
      </c>
      <c r="W270" s="560" t="s">
        <v>2036</v>
      </c>
      <c r="X270" s="516" t="s">
        <v>790</v>
      </c>
      <c r="Y270" s="542">
        <v>40125</v>
      </c>
      <c r="Z270" s="543">
        <f t="shared" ca="1" si="3"/>
        <v>16</v>
      </c>
      <c r="AA270" s="534" t="s">
        <v>2037</v>
      </c>
      <c r="AB270" s="516" t="s">
        <v>2038</v>
      </c>
      <c r="AC270" s="516" t="s">
        <v>842</v>
      </c>
      <c r="AD270" s="516" t="s">
        <v>843</v>
      </c>
      <c r="AE270" s="534" t="s">
        <v>2039</v>
      </c>
      <c r="AF270" s="534" t="s">
        <v>713</v>
      </c>
      <c r="AG270" s="534" t="s">
        <v>1229</v>
      </c>
      <c r="AH270" s="516"/>
      <c r="AI270" s="516"/>
      <c r="AJ270" s="569" t="s">
        <v>1224</v>
      </c>
      <c r="AK270" s="516"/>
      <c r="AL270" s="544"/>
      <c r="AM270" s="544"/>
    </row>
    <row r="271" spans="3:39" ht="18" customHeight="1">
      <c r="C271" s="516">
        <v>250</v>
      </c>
      <c r="D271" s="516" t="s">
        <v>2040</v>
      </c>
      <c r="E271" s="516">
        <f t="shared" si="5"/>
        <v>239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/>
      <c r="R271" s="516"/>
      <c r="S271" s="516"/>
      <c r="T271" s="516"/>
      <c r="U271" s="562" t="s">
        <v>1886</v>
      </c>
      <c r="V271" s="538" t="s">
        <v>350</v>
      </c>
      <c r="W271" s="560" t="s">
        <v>2041</v>
      </c>
      <c r="X271" s="516" t="s">
        <v>876</v>
      </c>
      <c r="Y271" s="542">
        <v>39425</v>
      </c>
      <c r="Z271" s="543">
        <f t="shared" ca="1" si="3"/>
        <v>18</v>
      </c>
      <c r="AA271" s="534" t="s">
        <v>2042</v>
      </c>
      <c r="AB271" s="516" t="s">
        <v>2043</v>
      </c>
      <c r="AC271" s="516" t="s">
        <v>842</v>
      </c>
      <c r="AD271" s="516" t="s">
        <v>851</v>
      </c>
      <c r="AE271" s="534" t="s">
        <v>1735</v>
      </c>
      <c r="AF271" s="534" t="s">
        <v>1735</v>
      </c>
      <c r="AG271" s="534" t="s">
        <v>2044</v>
      </c>
      <c r="AH271" s="516"/>
      <c r="AI271" s="516"/>
      <c r="AJ271" s="516" t="s">
        <v>1852</v>
      </c>
      <c r="AK271" s="516"/>
      <c r="AL271" s="544"/>
      <c r="AM271" s="544"/>
    </row>
    <row r="272" spans="3:39" ht="18" customHeight="1">
      <c r="C272" s="516">
        <v>251</v>
      </c>
      <c r="D272" s="516" t="s">
        <v>2045</v>
      </c>
      <c r="E272" s="516">
        <f t="shared" si="5"/>
        <v>240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364</v>
      </c>
      <c r="W272" s="560" t="s">
        <v>2046</v>
      </c>
      <c r="X272" s="516" t="s">
        <v>876</v>
      </c>
      <c r="Y272" s="542">
        <v>39833</v>
      </c>
      <c r="Z272" s="543">
        <f t="shared" ca="1" si="3"/>
        <v>17</v>
      </c>
      <c r="AA272" s="534" t="s">
        <v>2047</v>
      </c>
      <c r="AB272" s="516" t="s">
        <v>2048</v>
      </c>
      <c r="AC272" s="516" t="s">
        <v>842</v>
      </c>
      <c r="AD272" s="516" t="s">
        <v>851</v>
      </c>
      <c r="AE272" s="534" t="s">
        <v>713</v>
      </c>
      <c r="AF272" s="534" t="s">
        <v>713</v>
      </c>
      <c r="AG272" s="534" t="s">
        <v>2049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252</v>
      </c>
      <c r="D273" s="516" t="s">
        <v>2050</v>
      </c>
      <c r="E273" s="516">
        <f t="shared" si="5"/>
        <v>241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377</v>
      </c>
      <c r="W273" s="560" t="s">
        <v>2051</v>
      </c>
      <c r="X273" s="516" t="s">
        <v>876</v>
      </c>
      <c r="Y273" s="542">
        <v>40449</v>
      </c>
      <c r="Z273" s="543">
        <f t="shared" ca="1" si="3"/>
        <v>15</v>
      </c>
      <c r="AA273" s="534" t="s">
        <v>2052</v>
      </c>
      <c r="AB273" s="516" t="s">
        <v>2053</v>
      </c>
      <c r="AC273" s="516" t="s">
        <v>842</v>
      </c>
      <c r="AD273" s="516" t="s">
        <v>851</v>
      </c>
      <c r="AE273" s="534" t="s">
        <v>815</v>
      </c>
      <c r="AF273" s="534" t="s">
        <v>1267</v>
      </c>
      <c r="AG273" s="534" t="s">
        <v>2054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253</v>
      </c>
      <c r="D274" s="516" t="s">
        <v>2055</v>
      </c>
      <c r="E274" s="516">
        <f t="shared" si="5"/>
        <v>242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 t="s">
        <v>308</v>
      </c>
      <c r="R274" s="516"/>
      <c r="S274" s="516"/>
      <c r="T274" s="516"/>
      <c r="U274" s="562" t="s">
        <v>788</v>
      </c>
      <c r="V274" s="538" t="s">
        <v>391</v>
      </c>
      <c r="W274" s="560" t="s">
        <v>2056</v>
      </c>
      <c r="X274" s="516" t="s">
        <v>790</v>
      </c>
      <c r="Y274" s="542">
        <v>39065</v>
      </c>
      <c r="Z274" s="543">
        <f t="shared" ca="1" si="3"/>
        <v>19</v>
      </c>
      <c r="AA274" s="534" t="s">
        <v>2057</v>
      </c>
      <c r="AB274" s="516" t="s">
        <v>2058</v>
      </c>
      <c r="AC274" s="516" t="s">
        <v>842</v>
      </c>
      <c r="AD274" s="516" t="s">
        <v>843</v>
      </c>
      <c r="AE274" s="534" t="s">
        <v>713</v>
      </c>
      <c r="AF274" s="534" t="s">
        <v>713</v>
      </c>
      <c r="AG274" s="534" t="s">
        <v>1229</v>
      </c>
      <c r="AH274" s="516"/>
      <c r="AI274" s="516"/>
      <c r="AJ274" s="516" t="s">
        <v>1497</v>
      </c>
      <c r="AK274" s="516"/>
      <c r="AL274" s="544"/>
      <c r="AM274" s="544"/>
    </row>
    <row r="275" spans="1:39" ht="18" customHeight="1">
      <c r="C275" s="516">
        <v>254</v>
      </c>
      <c r="D275" s="516" t="s">
        <v>2059</v>
      </c>
      <c r="E275" s="516">
        <f t="shared" si="5"/>
        <v>243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1886</v>
      </c>
      <c r="V275" s="538" t="s">
        <v>402</v>
      </c>
      <c r="W275" s="560" t="s">
        <v>2060</v>
      </c>
      <c r="X275" s="516" t="s">
        <v>876</v>
      </c>
      <c r="Y275" s="542">
        <v>39343</v>
      </c>
      <c r="Z275" s="543">
        <f t="shared" ca="1" si="3"/>
        <v>18</v>
      </c>
      <c r="AA275" s="534" t="s">
        <v>2061</v>
      </c>
      <c r="AB275" s="516" t="s">
        <v>2062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69" t="s">
        <v>1224</v>
      </c>
      <c r="AK275" s="516"/>
      <c r="AL275" s="544"/>
      <c r="AM275" s="544"/>
    </row>
    <row r="276" spans="1:39" ht="18" customHeight="1">
      <c r="C276" s="516">
        <v>255</v>
      </c>
      <c r="D276" s="516" t="s">
        <v>2063</v>
      </c>
      <c r="E276" s="516">
        <f t="shared" si="5"/>
        <v>244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602" t="s">
        <v>419</v>
      </c>
      <c r="W276" s="560" t="s">
        <v>2064</v>
      </c>
      <c r="X276" s="516" t="s">
        <v>790</v>
      </c>
      <c r="Y276" s="542">
        <v>39893</v>
      </c>
      <c r="Z276" s="543">
        <f t="shared" ca="1" si="3"/>
        <v>16</v>
      </c>
      <c r="AA276" s="534" t="s">
        <v>2065</v>
      </c>
      <c r="AB276" s="516" t="s">
        <v>2066</v>
      </c>
      <c r="AC276" s="516" t="s">
        <v>842</v>
      </c>
      <c r="AD276" s="516" t="s">
        <v>843</v>
      </c>
      <c r="AE276" s="534" t="s">
        <v>1400</v>
      </c>
      <c r="AF276" s="534" t="s">
        <v>1400</v>
      </c>
      <c r="AG276" s="534" t="s">
        <v>2067</v>
      </c>
      <c r="AH276" s="516"/>
      <c r="AI276" s="516"/>
      <c r="AJ276" s="575" t="s">
        <v>1438</v>
      </c>
      <c r="AK276" s="516"/>
      <c r="AL276" s="544"/>
      <c r="AM276" s="544"/>
    </row>
    <row r="277" spans="1:39" ht="18" customHeight="1">
      <c r="C277" s="516">
        <v>256</v>
      </c>
      <c r="D277" s="516" t="s">
        <v>2068</v>
      </c>
      <c r="E277" s="516">
        <f t="shared" si="5"/>
        <v>245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563" t="s">
        <v>427</v>
      </c>
      <c r="W277" s="560" t="s">
        <v>2069</v>
      </c>
      <c r="X277" s="516" t="s">
        <v>876</v>
      </c>
      <c r="Y277" s="542">
        <v>40254</v>
      </c>
      <c r="Z277" s="543">
        <f t="shared" ca="1" si="3"/>
        <v>15</v>
      </c>
      <c r="AA277" s="534" t="s">
        <v>2070</v>
      </c>
      <c r="AB277" s="516" t="s">
        <v>2071</v>
      </c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2072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2081</v>
      </c>
      <c r="E278" s="516">
        <f t="shared" si="5"/>
        <v>246</v>
      </c>
      <c r="F278" s="534" t="s">
        <v>1822</v>
      </c>
      <c r="G278" s="534" t="s">
        <v>809</v>
      </c>
      <c r="H278" s="535" t="s">
        <v>2081</v>
      </c>
      <c r="I278" s="535" t="s">
        <v>173</v>
      </c>
      <c r="J278" s="535" t="s">
        <v>2081</v>
      </c>
      <c r="K278" s="535" t="s">
        <v>2081</v>
      </c>
      <c r="L278" s="535"/>
      <c r="M278" s="536"/>
      <c r="N278" s="537"/>
      <c r="O278" s="537"/>
      <c r="P278" s="548" t="s">
        <v>787</v>
      </c>
      <c r="Q278" s="539"/>
      <c r="R278" s="516" t="s">
        <v>982</v>
      </c>
      <c r="S278" s="516" t="s">
        <v>163</v>
      </c>
      <c r="T278" s="516"/>
      <c r="U278" s="516" t="s">
        <v>898</v>
      </c>
      <c r="V278" s="548" t="s">
        <v>173</v>
      </c>
      <c r="W278" s="541" t="s">
        <v>2082</v>
      </c>
      <c r="X278" s="516" t="s">
        <v>876</v>
      </c>
      <c r="Y278" s="542">
        <v>19177</v>
      </c>
      <c r="Z278" s="543">
        <f t="shared" ca="1" si="3"/>
        <v>73</v>
      </c>
      <c r="AA278" s="534" t="s">
        <v>2083</v>
      </c>
      <c r="AB278" s="516" t="s">
        <v>2084</v>
      </c>
      <c r="AC278" s="516" t="s">
        <v>802</v>
      </c>
      <c r="AD278" s="516" t="s">
        <v>794</v>
      </c>
      <c r="AE278" s="534" t="s">
        <v>809</v>
      </c>
      <c r="AF278" s="534" t="s">
        <v>809</v>
      </c>
      <c r="AG278" s="534" t="s">
        <v>2085</v>
      </c>
      <c r="AH278" s="516"/>
      <c r="AI278" s="516"/>
      <c r="AJ278" s="516"/>
      <c r="AK278" s="516" t="s">
        <v>1863</v>
      </c>
      <c r="AL278" s="544"/>
      <c r="AM278" s="544"/>
    </row>
    <row r="279" spans="1:39" ht="18" customHeight="1">
      <c r="C279" s="516">
        <v>258</v>
      </c>
      <c r="D279" s="516" t="s">
        <v>2086</v>
      </c>
      <c r="E279" s="516">
        <f t="shared" si="5"/>
        <v>247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 t="s">
        <v>786</v>
      </c>
      <c r="M279" s="536"/>
      <c r="N279" s="537"/>
      <c r="O279" s="537"/>
      <c r="P279" s="538" t="s">
        <v>787</v>
      </c>
      <c r="Q279" s="539"/>
      <c r="R279" s="516" t="s">
        <v>163</v>
      </c>
      <c r="S279" s="516" t="s">
        <v>500</v>
      </c>
      <c r="T279" s="516" t="s">
        <v>49</v>
      </c>
      <c r="U279" s="516" t="s">
        <v>874</v>
      </c>
      <c r="V279" s="538" t="s">
        <v>193</v>
      </c>
      <c r="W279" s="541" t="s">
        <v>2087</v>
      </c>
      <c r="X279" s="516" t="s">
        <v>876</v>
      </c>
      <c r="Y279" s="542">
        <v>20911</v>
      </c>
      <c r="Z279" s="543">
        <f t="shared" ca="1" si="3"/>
        <v>68</v>
      </c>
      <c r="AA279" s="534" t="s">
        <v>2088</v>
      </c>
      <c r="AB279" s="516" t="s">
        <v>2089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2090</v>
      </c>
      <c r="E280" s="516">
        <f t="shared" si="5"/>
        <v>248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49</v>
      </c>
      <c r="S280" s="516" t="s">
        <v>168</v>
      </c>
      <c r="T280" s="516"/>
      <c r="U280" s="516" t="s">
        <v>874</v>
      </c>
      <c r="V280" s="538" t="s">
        <v>212</v>
      </c>
      <c r="W280" s="541" t="s">
        <v>2091</v>
      </c>
      <c r="X280" s="516" t="s">
        <v>876</v>
      </c>
      <c r="Y280" s="542">
        <v>21600</v>
      </c>
      <c r="Z280" s="543">
        <f t="shared" ca="1" si="3"/>
        <v>66</v>
      </c>
      <c r="AA280" s="534" t="s">
        <v>2092</v>
      </c>
      <c r="AB280" s="516" t="s">
        <v>2093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2094</v>
      </c>
      <c r="E281" s="516">
        <f t="shared" si="5"/>
        <v>249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59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59" t="s">
        <v>231</v>
      </c>
      <c r="W281" s="541" t="s">
        <v>2095</v>
      </c>
      <c r="X281" s="516" t="s">
        <v>876</v>
      </c>
      <c r="Y281" s="542">
        <v>25211</v>
      </c>
      <c r="Z281" s="543">
        <f t="shared" ca="1" si="3"/>
        <v>57</v>
      </c>
      <c r="AA281" s="534" t="s">
        <v>2096</v>
      </c>
      <c r="AB281" s="516" t="s">
        <v>2097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A282" s="173"/>
      <c r="B282" s="173"/>
      <c r="C282" s="516">
        <v>261</v>
      </c>
      <c r="D282" s="516" t="s">
        <v>2098</v>
      </c>
      <c r="E282" s="516">
        <f>SUBTOTAL(103,$U$21:U282)</f>
        <v>250</v>
      </c>
      <c r="F282" s="555" t="s">
        <v>1822</v>
      </c>
      <c r="G282" s="516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661" t="s">
        <v>2098</v>
      </c>
      <c r="M282" s="554"/>
      <c r="N282" s="567"/>
      <c r="O282" s="567"/>
      <c r="P282" s="538" t="s">
        <v>828</v>
      </c>
      <c r="Q282" s="568"/>
      <c r="R282" s="516" t="s">
        <v>62</v>
      </c>
      <c r="S282" s="516" t="s">
        <v>62</v>
      </c>
      <c r="T282" s="554"/>
      <c r="U282" s="604" t="s">
        <v>898</v>
      </c>
      <c r="V282" s="556" t="s">
        <v>194</v>
      </c>
      <c r="W282" s="557" t="s">
        <v>2099</v>
      </c>
      <c r="X282" s="516" t="s">
        <v>876</v>
      </c>
      <c r="Y282" s="542">
        <v>17993</v>
      </c>
      <c r="Z282" s="543">
        <f t="shared" ca="1" si="3"/>
        <v>76</v>
      </c>
      <c r="AA282" s="516" t="s">
        <v>2100</v>
      </c>
      <c r="AB282" s="516" t="s">
        <v>2101</v>
      </c>
      <c r="AC282" s="516" t="s">
        <v>802</v>
      </c>
      <c r="AD282" s="516" t="s">
        <v>794</v>
      </c>
      <c r="AE282" s="516" t="s">
        <v>809</v>
      </c>
      <c r="AF282" s="516" t="s">
        <v>809</v>
      </c>
      <c r="AG282" s="516" t="s">
        <v>2085</v>
      </c>
      <c r="AH282" s="554"/>
      <c r="AI282" s="554"/>
      <c r="AJ282" s="554"/>
      <c r="AK282" s="516" t="s">
        <v>1863</v>
      </c>
      <c r="AL282" s="554"/>
      <c r="AM282" s="554"/>
    </row>
    <row r="283" spans="1:39" ht="18" customHeight="1">
      <c r="C283" s="516">
        <v>262</v>
      </c>
      <c r="D283" s="516" t="s">
        <v>2102</v>
      </c>
      <c r="E283" s="516">
        <f t="shared" ref="E283:E369" si="6">SUBTOTAL(103,$U$21:U283)</f>
        <v>251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70" t="s">
        <v>2098</v>
      </c>
      <c r="M283" s="536"/>
      <c r="N283" s="537"/>
      <c r="O283" s="537"/>
      <c r="P283" s="538" t="s">
        <v>828</v>
      </c>
      <c r="Q283" s="539"/>
      <c r="R283" s="516"/>
      <c r="S283" s="516"/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 t="s">
        <v>2105</v>
      </c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1:39" ht="18" customHeight="1">
      <c r="C284" s="516">
        <v>263</v>
      </c>
      <c r="D284" s="516" t="s">
        <v>2106</v>
      </c>
      <c r="E284" s="516">
        <f t="shared" si="6"/>
        <v>252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213</v>
      </c>
      <c r="W284" s="541" t="s">
        <v>2107</v>
      </c>
      <c r="X284" s="516" t="s">
        <v>790</v>
      </c>
      <c r="Y284" s="542">
        <v>19696</v>
      </c>
      <c r="Z284" s="543">
        <f t="shared" ca="1" si="3"/>
        <v>72</v>
      </c>
      <c r="AA284" s="534" t="s">
        <v>2108</v>
      </c>
      <c r="AB284" s="516" t="s">
        <v>2109</v>
      </c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2110</v>
      </c>
      <c r="E285" s="516">
        <f t="shared" si="6"/>
        <v>253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232</v>
      </c>
      <c r="W285" s="541" t="s">
        <v>2111</v>
      </c>
      <c r="X285" s="516" t="s">
        <v>876</v>
      </c>
      <c r="Y285" s="542">
        <v>19049</v>
      </c>
      <c r="Z285" s="543">
        <f t="shared" ca="1" si="3"/>
        <v>73</v>
      </c>
      <c r="AA285" s="534" t="s">
        <v>2112</v>
      </c>
      <c r="AB285" s="516" t="s">
        <v>2113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2114</v>
      </c>
      <c r="E286" s="516">
        <f t="shared" si="6"/>
        <v>254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799</v>
      </c>
      <c r="V286" s="538" t="s">
        <v>251</v>
      </c>
      <c r="W286" s="541" t="s">
        <v>2115</v>
      </c>
      <c r="X286" s="516" t="s">
        <v>790</v>
      </c>
      <c r="Y286" s="542">
        <v>29738</v>
      </c>
      <c r="Z286" s="543">
        <f t="shared" ca="1" si="3"/>
        <v>44</v>
      </c>
      <c r="AA286" s="534" t="s">
        <v>2116</v>
      </c>
      <c r="AB286" s="516" t="s">
        <v>2117</v>
      </c>
      <c r="AC286" s="516" t="s">
        <v>842</v>
      </c>
      <c r="AD286" s="516" t="s">
        <v>851</v>
      </c>
      <c r="AE286" s="534" t="s">
        <v>809</v>
      </c>
      <c r="AF286" s="534" t="s">
        <v>809</v>
      </c>
      <c r="AG286" s="534" t="s">
        <v>1826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2118</v>
      </c>
      <c r="E287" s="516">
        <f t="shared" si="6"/>
        <v>255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59" t="s">
        <v>828</v>
      </c>
      <c r="Q287" s="539"/>
      <c r="R287" s="516"/>
      <c r="S287" s="516"/>
      <c r="T287" s="516"/>
      <c r="U287" s="516" t="s">
        <v>874</v>
      </c>
      <c r="V287" s="559" t="s">
        <v>268</v>
      </c>
      <c r="W287" s="541" t="s">
        <v>2119</v>
      </c>
      <c r="X287" s="516" t="s">
        <v>876</v>
      </c>
      <c r="Y287" s="542">
        <v>21258</v>
      </c>
      <c r="Z287" s="543">
        <f t="shared" ca="1" si="3"/>
        <v>67</v>
      </c>
      <c r="AA287" s="534" t="s">
        <v>2120</v>
      </c>
      <c r="AB287" s="516" t="s">
        <v>2121</v>
      </c>
      <c r="AC287" s="516" t="s">
        <v>802</v>
      </c>
      <c r="AD287" s="516" t="s">
        <v>794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2122</v>
      </c>
      <c r="E288" s="516">
        <f t="shared" si="6"/>
        <v>256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2122</v>
      </c>
      <c r="M288" s="536"/>
      <c r="N288" s="537"/>
      <c r="O288" s="537"/>
      <c r="P288" s="548" t="s">
        <v>938</v>
      </c>
      <c r="Q288" s="539"/>
      <c r="R288" s="516" t="s">
        <v>62</v>
      </c>
      <c r="S288" s="516" t="s">
        <v>548</v>
      </c>
      <c r="T288" s="516"/>
      <c r="U288" s="516" t="s">
        <v>874</v>
      </c>
      <c r="V288" s="548" t="s">
        <v>2123</v>
      </c>
      <c r="W288" s="541" t="s">
        <v>2124</v>
      </c>
      <c r="X288" s="516" t="s">
        <v>876</v>
      </c>
      <c r="Y288" s="542">
        <v>20540</v>
      </c>
      <c r="Z288" s="543">
        <f t="shared" ca="1" si="3"/>
        <v>69</v>
      </c>
      <c r="AA288" s="534" t="s">
        <v>2125</v>
      </c>
      <c r="AB288" s="516" t="s">
        <v>2126</v>
      </c>
      <c r="AC288" s="516" t="s">
        <v>842</v>
      </c>
      <c r="AD288" s="516" t="s">
        <v>851</v>
      </c>
      <c r="AE288" s="534" t="s">
        <v>809</v>
      </c>
      <c r="AF288" s="534" t="s">
        <v>809</v>
      </c>
      <c r="AG288" s="534" t="s">
        <v>2085</v>
      </c>
      <c r="AH288" s="516"/>
      <c r="AI288" s="516"/>
      <c r="AJ288" s="516" t="s">
        <v>832</v>
      </c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2127</v>
      </c>
      <c r="E289" s="516">
        <f t="shared" si="6"/>
        <v>257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38" t="s">
        <v>938</v>
      </c>
      <c r="Q289" s="539"/>
      <c r="R289" s="516"/>
      <c r="S289" s="516"/>
      <c r="T289" s="516"/>
      <c r="U289" s="516" t="s">
        <v>898</v>
      </c>
      <c r="V289" s="538" t="s">
        <v>214</v>
      </c>
      <c r="W289" s="541" t="s">
        <v>2128</v>
      </c>
      <c r="X289" s="516" t="s">
        <v>876</v>
      </c>
      <c r="Y289" s="542">
        <v>19980</v>
      </c>
      <c r="Z289" s="543">
        <f t="shared" ca="1" si="3"/>
        <v>71</v>
      </c>
      <c r="AA289" s="534" t="s">
        <v>2129</v>
      </c>
      <c r="AB289" s="516" t="s">
        <v>2130</v>
      </c>
      <c r="AC289" s="516" t="s">
        <v>842</v>
      </c>
      <c r="AD289" s="516" t="s">
        <v>843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867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2131</v>
      </c>
      <c r="E290" s="516">
        <f t="shared" si="6"/>
        <v>258</v>
      </c>
      <c r="F290" s="534" t="s">
        <v>1822</v>
      </c>
      <c r="G290" s="534" t="s">
        <v>869</v>
      </c>
      <c r="H290" s="535" t="s">
        <v>784</v>
      </c>
      <c r="I290" s="535" t="s">
        <v>1075</v>
      </c>
      <c r="J290" s="535" t="s">
        <v>870</v>
      </c>
      <c r="K290" s="535" t="s">
        <v>2081</v>
      </c>
      <c r="L290" s="535" t="s">
        <v>936</v>
      </c>
      <c r="M290" s="536" t="s">
        <v>950</v>
      </c>
      <c r="N290" s="537"/>
      <c r="O290" s="537"/>
      <c r="P290" s="538" t="s">
        <v>938</v>
      </c>
      <c r="Q290" s="539" t="s">
        <v>308</v>
      </c>
      <c r="R290" s="516"/>
      <c r="S290" s="516"/>
      <c r="T290" s="516"/>
      <c r="U290" s="516" t="s">
        <v>898</v>
      </c>
      <c r="V290" s="538" t="s">
        <v>233</v>
      </c>
      <c r="W290" s="541" t="s">
        <v>4211</v>
      </c>
      <c r="X290" s="516" t="s">
        <v>876</v>
      </c>
      <c r="Y290" s="542">
        <v>19444</v>
      </c>
      <c r="Z290" s="543">
        <f t="shared" ref="Z290:Z382" ca="1" si="7">DATEDIF(Y290,TODAY(),"Y")</f>
        <v>72</v>
      </c>
      <c r="AA290" s="534" t="s">
        <v>2133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795</v>
      </c>
      <c r="AG290" s="534" t="s">
        <v>4212</v>
      </c>
      <c r="AH290" s="516"/>
      <c r="AI290" s="516"/>
      <c r="AJ290" s="516" t="s">
        <v>971</v>
      </c>
      <c r="AK290" s="516"/>
      <c r="AL290" s="544"/>
      <c r="AM290" s="544"/>
    </row>
    <row r="291" spans="3:39" ht="18" customHeight="1">
      <c r="C291" s="516">
        <v>270</v>
      </c>
      <c r="D291" s="516" t="s">
        <v>2134</v>
      </c>
      <c r="E291" s="516">
        <f t="shared" si="6"/>
        <v>259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7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271</v>
      </c>
      <c r="D292" s="516" t="s">
        <v>2139</v>
      </c>
      <c r="E292" s="516">
        <f t="shared" si="6"/>
        <v>260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7"/>
        <v>93</v>
      </c>
      <c r="AA292" s="534" t="s">
        <v>2142</v>
      </c>
      <c r="AB292" s="571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272</v>
      </c>
      <c r="D293" s="516" t="s">
        <v>2145</v>
      </c>
      <c r="E293" s="516">
        <f t="shared" si="6"/>
        <v>261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7"/>
        <v>61</v>
      </c>
      <c r="AA293" s="534" t="s">
        <v>2142</v>
      </c>
      <c r="AB293" s="571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2149</v>
      </c>
      <c r="E294" s="516">
        <f t="shared" si="6"/>
        <v>261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7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274</v>
      </c>
      <c r="D295" s="516" t="s">
        <v>2150</v>
      </c>
      <c r="E295" s="516">
        <f t="shared" si="6"/>
        <v>262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7"/>
        <v>30</v>
      </c>
      <c r="AA295" s="534" t="s">
        <v>2154</v>
      </c>
      <c r="AB295" s="516" t="s">
        <v>2155</v>
      </c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275</v>
      </c>
      <c r="D296" s="516" t="s">
        <v>2157</v>
      </c>
      <c r="E296" s="516">
        <f t="shared" si="6"/>
        <v>263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7"/>
        <v>30</v>
      </c>
      <c r="AA296" s="534" t="s">
        <v>2159</v>
      </c>
      <c r="AB296" s="516" t="s">
        <v>2160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2161</v>
      </c>
      <c r="E297" s="516">
        <f t="shared" si="6"/>
        <v>264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7"/>
        <v>21</v>
      </c>
      <c r="AA297" s="534" t="s">
        <v>2163</v>
      </c>
      <c r="AB297" s="516" t="s">
        <v>2164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2166</v>
      </c>
      <c r="E298" s="516">
        <f t="shared" si="6"/>
        <v>265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7"/>
        <v>19</v>
      </c>
      <c r="AA298" s="534" t="s">
        <v>2168</v>
      </c>
      <c r="AB298" s="516" t="s">
        <v>2169</v>
      </c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278</v>
      </c>
      <c r="D299" s="516" t="s">
        <v>2170</v>
      </c>
      <c r="E299" s="516">
        <f t="shared" si="6"/>
        <v>266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7"/>
        <v>34</v>
      </c>
      <c r="AA299" s="534" t="s">
        <v>2173</v>
      </c>
      <c r="AB299" s="571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279</v>
      </c>
      <c r="D300" s="516" t="s">
        <v>2086</v>
      </c>
      <c r="E300" s="516">
        <f t="shared" si="6"/>
        <v>266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7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280</v>
      </c>
      <c r="D301" s="516" t="s">
        <v>2181</v>
      </c>
      <c r="E301" s="516">
        <f t="shared" si="6"/>
        <v>267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629" t="s">
        <v>2182</v>
      </c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7"/>
        <v>63</v>
      </c>
      <c r="AA301" s="534" t="s">
        <v>2184</v>
      </c>
      <c r="AB301" s="516" t="s">
        <v>2185</v>
      </c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281</v>
      </c>
      <c r="D302" s="516" t="s">
        <v>2182</v>
      </c>
      <c r="E302" s="516">
        <f t="shared" si="6"/>
        <v>268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7"/>
        <v>66</v>
      </c>
      <c r="AA302" s="534" t="s">
        <v>2189</v>
      </c>
      <c r="AB302" s="516" t="s">
        <v>2190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282</v>
      </c>
      <c r="D303" s="516" t="s">
        <v>2192</v>
      </c>
      <c r="E303" s="516">
        <f t="shared" si="6"/>
        <v>269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7"/>
        <v>64</v>
      </c>
      <c r="AA303" s="534" t="s">
        <v>2195</v>
      </c>
      <c r="AB303" s="516" t="s">
        <v>2196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2197</v>
      </c>
      <c r="E304" s="516">
        <f t="shared" si="6"/>
        <v>270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7"/>
        <v>47</v>
      </c>
      <c r="AA304" s="534" t="s">
        <v>2199</v>
      </c>
      <c r="AB304" s="516" t="s">
        <v>2200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2201</v>
      </c>
      <c r="E305" s="516">
        <f t="shared" si="6"/>
        <v>271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7"/>
        <v>54</v>
      </c>
      <c r="AA305" s="534" t="s">
        <v>2203</v>
      </c>
      <c r="AB305" s="516" t="s">
        <v>2204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285</v>
      </c>
      <c r="D306" s="516" t="s">
        <v>2205</v>
      </c>
      <c r="E306" s="516">
        <f t="shared" si="6"/>
        <v>272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7"/>
        <v>66</v>
      </c>
      <c r="AA306" s="534" t="s">
        <v>2207</v>
      </c>
      <c r="AB306" s="571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2094</v>
      </c>
      <c r="E307" s="516">
        <f t="shared" si="6"/>
        <v>272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2217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7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287</v>
      </c>
      <c r="D308" s="516" t="s">
        <v>2213</v>
      </c>
      <c r="E308" s="516">
        <f t="shared" si="6"/>
        <v>273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7"/>
        <v>32</v>
      </c>
      <c r="AA308" s="534" t="s">
        <v>2216</v>
      </c>
      <c r="AB308" s="516" t="s">
        <v>2217</v>
      </c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288</v>
      </c>
      <c r="D309" s="516" t="s">
        <v>2219</v>
      </c>
      <c r="E309" s="516">
        <f t="shared" si="6"/>
        <v>274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7"/>
        <v>33</v>
      </c>
      <c r="AA309" s="534" t="s">
        <v>2222</v>
      </c>
      <c r="AB309" s="571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2224</v>
      </c>
      <c r="E310" s="516">
        <f t="shared" si="6"/>
        <v>275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7"/>
        <v>32</v>
      </c>
      <c r="AA310" s="534" t="s">
        <v>2227</v>
      </c>
      <c r="AB310" s="516" t="s">
        <v>2228</v>
      </c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2229</v>
      </c>
      <c r="E311" s="516">
        <f t="shared" si="6"/>
        <v>276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7"/>
        <v>29</v>
      </c>
      <c r="AA311" s="534" t="s">
        <v>2232</v>
      </c>
      <c r="AB311" s="516" t="s">
        <v>2233</v>
      </c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2234</v>
      </c>
      <c r="E312" s="516">
        <f t="shared" si="6"/>
        <v>277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7"/>
        <v>29</v>
      </c>
      <c r="AA312" s="534" t="s">
        <v>2237</v>
      </c>
      <c r="AB312" s="516" t="s">
        <v>2238</v>
      </c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2240</v>
      </c>
      <c r="E313" s="516">
        <f t="shared" si="6"/>
        <v>278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7"/>
        <v>30</v>
      </c>
      <c r="AA313" s="594" t="s">
        <v>2243</v>
      </c>
      <c r="AB313" s="571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293</v>
      </c>
      <c r="D314" s="516" t="s">
        <v>2090</v>
      </c>
      <c r="E314" s="516">
        <f t="shared" si="6"/>
        <v>278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7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294</v>
      </c>
      <c r="D315" s="516" t="s">
        <v>2245</v>
      </c>
      <c r="E315" s="516">
        <f t="shared" si="6"/>
        <v>279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7"/>
        <v>63</v>
      </c>
      <c r="AA315" s="534" t="s">
        <v>2247</v>
      </c>
      <c r="AB315" s="516" t="s">
        <v>2248</v>
      </c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295</v>
      </c>
      <c r="D316" s="516" t="s">
        <v>2250</v>
      </c>
      <c r="E316" s="516">
        <f t="shared" si="6"/>
        <v>280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7"/>
        <v>58</v>
      </c>
      <c r="AA316" s="534" t="s">
        <v>2252</v>
      </c>
      <c r="AB316" s="516" t="s">
        <v>2253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2254</v>
      </c>
      <c r="E317" s="516">
        <f t="shared" si="6"/>
        <v>281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7"/>
        <v>43</v>
      </c>
      <c r="AA317" s="534" t="s">
        <v>2256</v>
      </c>
      <c r="AB317" s="516" t="s">
        <v>2257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2259</v>
      </c>
      <c r="E318" s="516">
        <f t="shared" si="6"/>
        <v>282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7"/>
        <v>38</v>
      </c>
      <c r="AA318" s="534" t="s">
        <v>2261</v>
      </c>
      <c r="AB318" s="571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298</v>
      </c>
      <c r="D319" s="516" t="s">
        <v>2264</v>
      </c>
      <c r="E319" s="516">
        <f t="shared" si="6"/>
        <v>283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661" t="s">
        <v>2266</v>
      </c>
      <c r="M319" s="570" t="s">
        <v>2267</v>
      </c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7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299</v>
      </c>
      <c r="D320" s="516" t="s">
        <v>2266</v>
      </c>
      <c r="E320" s="516">
        <f t="shared" si="6"/>
        <v>284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38" t="s">
        <v>787</v>
      </c>
      <c r="Q320" s="539"/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7"/>
        <v>58</v>
      </c>
      <c r="AA320" s="534" t="s">
        <v>2274</v>
      </c>
      <c r="AB320" s="516" t="s">
        <v>2275</v>
      </c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1:39" ht="18" customHeight="1">
      <c r="C321" s="516">
        <v>300</v>
      </c>
      <c r="D321" s="516" t="s">
        <v>2267</v>
      </c>
      <c r="E321" s="516">
        <f t="shared" si="6"/>
        <v>285</v>
      </c>
      <c r="F321" s="534" t="s">
        <v>981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 t="s">
        <v>308</v>
      </c>
      <c r="R321" s="516" t="s">
        <v>62</v>
      </c>
      <c r="S321" s="516" t="s">
        <v>548</v>
      </c>
      <c r="T321" s="516"/>
      <c r="U321" s="516" t="s">
        <v>799</v>
      </c>
      <c r="V321" s="538" t="s">
        <v>254</v>
      </c>
      <c r="W321" s="541" t="s">
        <v>2277</v>
      </c>
      <c r="X321" s="516" t="s">
        <v>790</v>
      </c>
      <c r="Y321" s="542">
        <v>27502</v>
      </c>
      <c r="Z321" s="543">
        <f t="shared" ca="1" si="7"/>
        <v>50</v>
      </c>
      <c r="AA321" s="534" t="s">
        <v>2278</v>
      </c>
      <c r="AB321" s="516" t="s">
        <v>2279</v>
      </c>
      <c r="AC321" s="516" t="s">
        <v>842</v>
      </c>
      <c r="AD321" s="516" t="s">
        <v>843</v>
      </c>
      <c r="AE321" s="534" t="s">
        <v>815</v>
      </c>
      <c r="AF321" s="606" t="s">
        <v>815</v>
      </c>
      <c r="AG321" s="534" t="s">
        <v>1282</v>
      </c>
      <c r="AH321" s="516"/>
      <c r="AI321" s="516"/>
      <c r="AJ321" s="516" t="s">
        <v>1497</v>
      </c>
      <c r="AK321" s="516"/>
      <c r="AL321" s="544"/>
      <c r="AM321" s="544"/>
    </row>
    <row r="322" spans="1:39" ht="18" customHeight="1">
      <c r="C322" s="516">
        <v>301</v>
      </c>
      <c r="D322" s="516" t="s">
        <v>2280</v>
      </c>
      <c r="E322" s="516">
        <f t="shared" si="6"/>
        <v>286</v>
      </c>
      <c r="F322" s="534" t="s">
        <v>981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/>
      <c r="R322" s="516"/>
      <c r="S322" s="516"/>
      <c r="T322" s="516" t="s">
        <v>2272</v>
      </c>
      <c r="U322" s="516" t="s">
        <v>799</v>
      </c>
      <c r="V322" s="538" t="s">
        <v>216</v>
      </c>
      <c r="W322" s="541" t="s">
        <v>2281</v>
      </c>
      <c r="X322" s="516" t="s">
        <v>790</v>
      </c>
      <c r="Y322" s="542">
        <v>28064</v>
      </c>
      <c r="Z322" s="543">
        <f t="shared" ca="1" si="7"/>
        <v>49</v>
      </c>
      <c r="AA322" s="534" t="s">
        <v>2282</v>
      </c>
      <c r="AB322" s="516"/>
      <c r="AC322" s="516" t="s">
        <v>842</v>
      </c>
      <c r="AD322" s="516" t="s">
        <v>851</v>
      </c>
      <c r="AE322" s="534" t="s">
        <v>815</v>
      </c>
      <c r="AF322" s="606" t="s">
        <v>815</v>
      </c>
      <c r="AG322" s="534" t="s">
        <v>2283</v>
      </c>
      <c r="AH322" s="516"/>
      <c r="AI322" s="516"/>
      <c r="AJ322" s="516" t="s">
        <v>1852</v>
      </c>
      <c r="AK322" s="516"/>
      <c r="AL322" s="544"/>
      <c r="AM322" s="544"/>
    </row>
    <row r="323" spans="1:39" ht="18" customHeight="1">
      <c r="C323" s="516">
        <v>302</v>
      </c>
      <c r="D323" s="516" t="s">
        <v>2307</v>
      </c>
      <c r="E323" s="516">
        <f t="shared" si="6"/>
        <v>287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/>
      <c r="U323" s="516" t="s">
        <v>799</v>
      </c>
      <c r="V323" s="538" t="s">
        <v>235</v>
      </c>
      <c r="W323" s="541" t="s">
        <v>2308</v>
      </c>
      <c r="X323" s="516" t="s">
        <v>790</v>
      </c>
      <c r="Y323" s="542">
        <v>29343</v>
      </c>
      <c r="Z323" s="543">
        <f t="shared" ca="1" si="7"/>
        <v>45</v>
      </c>
      <c r="AA323" s="534" t="s">
        <v>2309</v>
      </c>
      <c r="AB323" s="516" t="s">
        <v>2310</v>
      </c>
      <c r="AC323" s="516" t="s">
        <v>842</v>
      </c>
      <c r="AD323" s="516" t="s">
        <v>843</v>
      </c>
      <c r="AE323" s="534" t="s">
        <v>713</v>
      </c>
      <c r="AF323" s="534" t="s">
        <v>815</v>
      </c>
      <c r="AG323" s="534" t="s">
        <v>2311</v>
      </c>
      <c r="AH323" s="516" t="s">
        <v>1571</v>
      </c>
      <c r="AI323" s="516" t="s">
        <v>2312</v>
      </c>
      <c r="AJ323" s="516" t="s">
        <v>1852</v>
      </c>
      <c r="AK323" s="516"/>
      <c r="AL323" s="544"/>
      <c r="AM323" s="544"/>
    </row>
    <row r="324" spans="1:39" ht="18" customHeight="1">
      <c r="A324" s="173"/>
      <c r="B324" s="173"/>
      <c r="C324" s="516">
        <v>303</v>
      </c>
      <c r="D324" s="581" t="s">
        <v>2313</v>
      </c>
      <c r="E324" s="516">
        <f t="shared" si="6"/>
        <v>288</v>
      </c>
      <c r="F324" s="581" t="s">
        <v>981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83"/>
      <c r="O324" s="583"/>
      <c r="P324" s="538" t="s">
        <v>787</v>
      </c>
      <c r="Q324" s="585"/>
      <c r="R324" s="586"/>
      <c r="S324" s="586"/>
      <c r="T324" s="586"/>
      <c r="U324" s="581" t="s">
        <v>788</v>
      </c>
      <c r="V324" s="556" t="s">
        <v>2314</v>
      </c>
      <c r="W324" s="587" t="s">
        <v>2315</v>
      </c>
      <c r="X324" s="581" t="s">
        <v>790</v>
      </c>
      <c r="Y324" s="588">
        <v>35416</v>
      </c>
      <c r="Z324" s="589">
        <f t="shared" ca="1" si="7"/>
        <v>29</v>
      </c>
      <c r="AA324" s="586"/>
      <c r="AB324" s="607" t="s">
        <v>2316</v>
      </c>
      <c r="AC324" s="581" t="s">
        <v>842</v>
      </c>
      <c r="AD324" s="581" t="s">
        <v>851</v>
      </c>
      <c r="AE324" s="581" t="s">
        <v>815</v>
      </c>
      <c r="AF324" s="581" t="s">
        <v>815</v>
      </c>
      <c r="AG324" s="581" t="s">
        <v>2317</v>
      </c>
      <c r="AH324" s="590" t="s">
        <v>1571</v>
      </c>
      <c r="AI324" s="581" t="s">
        <v>2318</v>
      </c>
      <c r="AJ324" s="586"/>
      <c r="AK324" s="586"/>
      <c r="AL324" s="554"/>
      <c r="AM324" s="554"/>
    </row>
    <row r="325" spans="1:39" ht="18" customHeight="1">
      <c r="C325" s="516">
        <v>304</v>
      </c>
      <c r="D325" s="516" t="s">
        <v>2284</v>
      </c>
      <c r="E325" s="516">
        <f t="shared" si="6"/>
        <v>289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2285</v>
      </c>
      <c r="W325" s="541" t="s">
        <v>2286</v>
      </c>
      <c r="X325" s="516" t="s">
        <v>790</v>
      </c>
      <c r="Y325" s="542">
        <v>28563</v>
      </c>
      <c r="Z325" s="543">
        <f t="shared" ca="1" si="7"/>
        <v>47</v>
      </c>
      <c r="AA325" s="534" t="s">
        <v>2287</v>
      </c>
      <c r="AB325" s="516" t="s">
        <v>2288</v>
      </c>
      <c r="AC325" s="516" t="s">
        <v>842</v>
      </c>
      <c r="AD325" s="516" t="s">
        <v>843</v>
      </c>
      <c r="AE325" s="534" t="s">
        <v>1289</v>
      </c>
      <c r="AF325" s="534" t="s">
        <v>1289</v>
      </c>
      <c r="AG325" s="534" t="s">
        <v>2289</v>
      </c>
      <c r="AH325" s="516"/>
      <c r="AI325" s="516"/>
      <c r="AJ325" s="516" t="s">
        <v>1497</v>
      </c>
      <c r="AK325" s="516"/>
      <c r="AL325" s="544"/>
      <c r="AM325" s="544"/>
    </row>
    <row r="326" spans="1:39" ht="18" customHeight="1">
      <c r="C326" s="516">
        <v>305</v>
      </c>
      <c r="D326" s="516" t="s">
        <v>2290</v>
      </c>
      <c r="E326" s="516">
        <f t="shared" si="6"/>
        <v>290</v>
      </c>
      <c r="F326" s="534" t="s">
        <v>981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281</v>
      </c>
      <c r="W326" s="541" t="s">
        <v>2291</v>
      </c>
      <c r="X326" s="516" t="s">
        <v>790</v>
      </c>
      <c r="Y326" s="542">
        <v>29749</v>
      </c>
      <c r="Z326" s="543">
        <f t="shared" ca="1" si="7"/>
        <v>44</v>
      </c>
      <c r="AA326" s="534" t="s">
        <v>2292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2004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2293</v>
      </c>
      <c r="E327" s="516">
        <f t="shared" si="6"/>
        <v>291</v>
      </c>
      <c r="F327" s="534" t="s">
        <v>981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290</v>
      </c>
      <c r="W327" s="541" t="s">
        <v>2294</v>
      </c>
      <c r="X327" s="516" t="s">
        <v>790</v>
      </c>
      <c r="Y327" s="542">
        <v>30427</v>
      </c>
      <c r="Z327" s="543">
        <f t="shared" ca="1" si="7"/>
        <v>42</v>
      </c>
      <c r="AA327" s="534" t="s">
        <v>2295</v>
      </c>
      <c r="AB327" s="516" t="s">
        <v>2296</v>
      </c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2297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2298</v>
      </c>
      <c r="E328" s="516">
        <f t="shared" si="6"/>
        <v>292</v>
      </c>
      <c r="F328" s="534" t="s">
        <v>981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898</v>
      </c>
      <c r="V328" s="538" t="s">
        <v>295</v>
      </c>
      <c r="W328" s="541" t="s">
        <v>2299</v>
      </c>
      <c r="X328" s="516" t="s">
        <v>790</v>
      </c>
      <c r="Y328" s="542">
        <v>18451</v>
      </c>
      <c r="Z328" s="543">
        <f t="shared" ca="1" si="7"/>
        <v>75</v>
      </c>
      <c r="AA328" s="534" t="s">
        <v>2300</v>
      </c>
      <c r="AB328" s="516"/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2301</v>
      </c>
      <c r="AH328" s="516"/>
      <c r="AI328" s="516"/>
      <c r="AJ328" s="565" t="s">
        <v>1087</v>
      </c>
      <c r="AK328" s="516"/>
      <c r="AL328" s="544"/>
      <c r="AM328" s="544"/>
    </row>
    <row r="329" spans="1:39" ht="18" customHeight="1">
      <c r="C329" s="516">
        <v>308</v>
      </c>
      <c r="D329" s="516" t="s">
        <v>2302</v>
      </c>
      <c r="E329" s="516">
        <f t="shared" si="6"/>
        <v>293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799</v>
      </c>
      <c r="V329" s="538" t="s">
        <v>300</v>
      </c>
      <c r="W329" s="541" t="s">
        <v>2303</v>
      </c>
      <c r="X329" s="516" t="s">
        <v>790</v>
      </c>
      <c r="Y329" s="542">
        <v>25791</v>
      </c>
      <c r="Z329" s="543">
        <f t="shared" ca="1" si="7"/>
        <v>55</v>
      </c>
      <c r="AA329" s="534" t="s">
        <v>2304</v>
      </c>
      <c r="AB329" s="516" t="s">
        <v>2305</v>
      </c>
      <c r="AC329" s="516" t="s">
        <v>842</v>
      </c>
      <c r="AD329" s="516" t="s">
        <v>851</v>
      </c>
      <c r="AE329" s="534" t="s">
        <v>815</v>
      </c>
      <c r="AF329" s="606" t="s">
        <v>815</v>
      </c>
      <c r="AG329" s="534" t="s">
        <v>2306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2319</v>
      </c>
      <c r="E330" s="516">
        <f t="shared" si="6"/>
        <v>294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7"/>
        <v>54</v>
      </c>
      <c r="AA330" s="534" t="s">
        <v>2323</v>
      </c>
      <c r="AB330" s="516" t="s">
        <v>2324</v>
      </c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1:39" ht="18" customHeight="1">
      <c r="C331" s="516">
        <v>310</v>
      </c>
      <c r="D331" s="516" t="s">
        <v>2320</v>
      </c>
      <c r="E331" s="516">
        <f t="shared" si="6"/>
        <v>295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7"/>
        <v>50</v>
      </c>
      <c r="AA331" s="534" t="s">
        <v>2327</v>
      </c>
      <c r="AB331" s="516" t="s">
        <v>2328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1:39" ht="18" customHeight="1">
      <c r="C332" s="516">
        <v>311</v>
      </c>
      <c r="D332" s="516" t="s">
        <v>2329</v>
      </c>
      <c r="E332" s="516">
        <f t="shared" si="6"/>
        <v>296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7"/>
        <v>52</v>
      </c>
      <c r="AA332" s="534" t="s">
        <v>2331</v>
      </c>
      <c r="AB332" s="516" t="s">
        <v>2332</v>
      </c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1:39" ht="18" customHeight="1">
      <c r="C333" s="516">
        <v>312</v>
      </c>
      <c r="D333" s="516" t="s">
        <v>2334</v>
      </c>
      <c r="E333" s="516">
        <f t="shared" si="6"/>
        <v>297</v>
      </c>
      <c r="F333" s="534" t="s">
        <v>1001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7"/>
        <v>61</v>
      </c>
      <c r="AA333" s="534" t="s">
        <v>864</v>
      </c>
      <c r="AB333" s="516" t="s">
        <v>2337</v>
      </c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1:39" ht="18" customHeight="1">
      <c r="C334" s="516">
        <v>313</v>
      </c>
      <c r="D334" s="516" t="s">
        <v>2338</v>
      </c>
      <c r="E334" s="516">
        <f t="shared" si="6"/>
        <v>298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7"/>
        <v>38</v>
      </c>
      <c r="AA334" s="534" t="s">
        <v>2341</v>
      </c>
      <c r="AB334" s="516" t="s">
        <v>2342</v>
      </c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2344</v>
      </c>
      <c r="E335" s="516">
        <f t="shared" si="6"/>
        <v>299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7"/>
        <v>50</v>
      </c>
      <c r="AA335" s="534" t="s">
        <v>2347</v>
      </c>
      <c r="AB335" s="516" t="s">
        <v>2348</v>
      </c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2350</v>
      </c>
      <c r="E336" s="516">
        <f t="shared" si="6"/>
        <v>300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7"/>
        <v>43</v>
      </c>
      <c r="AA336" s="534" t="s">
        <v>2353</v>
      </c>
      <c r="AB336" s="516" t="s">
        <v>2354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2355</v>
      </c>
      <c r="E337" s="516">
        <f t="shared" si="6"/>
        <v>301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7"/>
        <v>41</v>
      </c>
      <c r="AA337" s="534" t="s">
        <v>2358</v>
      </c>
      <c r="AB337" s="516" t="s">
        <v>2359</v>
      </c>
      <c r="AC337" s="516" t="s">
        <v>842</v>
      </c>
      <c r="AD337" s="516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1:39" ht="18" customHeight="1">
      <c r="C338" s="516">
        <v>317</v>
      </c>
      <c r="D338" s="516" t="s">
        <v>2360</v>
      </c>
      <c r="E338" s="516">
        <f t="shared" si="6"/>
        <v>302</v>
      </c>
      <c r="F338" s="534" t="s">
        <v>981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7"/>
        <v>37</v>
      </c>
      <c r="AA338" s="534" t="s">
        <v>2362</v>
      </c>
      <c r="AB338" s="516" t="s">
        <v>2363</v>
      </c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1:39" ht="18" customHeight="1">
      <c r="C339" s="516">
        <v>318</v>
      </c>
      <c r="D339" s="516" t="s">
        <v>2368</v>
      </c>
      <c r="E339" s="516">
        <f t="shared" si="6"/>
        <v>303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662" t="s">
        <v>2371</v>
      </c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7"/>
        <v>55</v>
      </c>
      <c r="AA339" s="534" t="s">
        <v>2374</v>
      </c>
      <c r="AB339" s="516" t="s">
        <v>2375</v>
      </c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1:39" ht="18" customHeight="1">
      <c r="C340" s="516">
        <v>319</v>
      </c>
      <c r="D340" s="516" t="s">
        <v>2371</v>
      </c>
      <c r="E340" s="516">
        <f t="shared" si="6"/>
        <v>304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38" t="s">
        <v>2372</v>
      </c>
      <c r="Q340" s="539"/>
      <c r="R340" s="516" t="s">
        <v>62</v>
      </c>
      <c r="S340" s="516" t="s">
        <v>548</v>
      </c>
      <c r="T340" s="516"/>
      <c r="U340" s="516" t="s">
        <v>874</v>
      </c>
      <c r="V340" s="538" t="s">
        <v>283</v>
      </c>
      <c r="W340" s="541" t="s">
        <v>2376</v>
      </c>
      <c r="X340" s="516" t="s">
        <v>876</v>
      </c>
      <c r="Y340" s="542">
        <v>26792</v>
      </c>
      <c r="Z340" s="543">
        <f t="shared" ca="1" si="7"/>
        <v>52</v>
      </c>
      <c r="AA340" s="534" t="s">
        <v>2377</v>
      </c>
      <c r="AB340" s="516" t="s">
        <v>2378</v>
      </c>
      <c r="AC340" s="516" t="s">
        <v>842</v>
      </c>
      <c r="AD340" s="516" t="s">
        <v>843</v>
      </c>
      <c r="AE340" s="534" t="s">
        <v>815</v>
      </c>
      <c r="AF340" s="606" t="s">
        <v>815</v>
      </c>
      <c r="AG340" s="534"/>
      <c r="AH340" s="516"/>
      <c r="AI340" s="516"/>
      <c r="AJ340" s="593" t="s">
        <v>1604</v>
      </c>
      <c r="AK340" s="516"/>
      <c r="AL340" s="544"/>
      <c r="AM340" s="544"/>
    </row>
    <row r="341" spans="1:39" ht="18" customHeight="1">
      <c r="C341" s="516">
        <v>320</v>
      </c>
      <c r="D341" s="516" t="s">
        <v>2379</v>
      </c>
      <c r="E341" s="516">
        <f t="shared" si="6"/>
        <v>305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874</v>
      </c>
      <c r="V341" s="538" t="s">
        <v>217</v>
      </c>
      <c r="W341" s="541" t="s">
        <v>2380</v>
      </c>
      <c r="X341" s="516" t="s">
        <v>876</v>
      </c>
      <c r="Y341" s="542">
        <v>23437</v>
      </c>
      <c r="Z341" s="543">
        <f t="shared" ca="1" si="7"/>
        <v>61</v>
      </c>
      <c r="AA341" s="534" t="s">
        <v>2381</v>
      </c>
      <c r="AB341" s="516" t="s">
        <v>2382</v>
      </c>
      <c r="AC341" s="516" t="s">
        <v>802</v>
      </c>
      <c r="AD341" s="516" t="s">
        <v>794</v>
      </c>
      <c r="AE341" s="534" t="s">
        <v>815</v>
      </c>
      <c r="AF341" s="534" t="s">
        <v>815</v>
      </c>
      <c r="AG341" s="534" t="s">
        <v>2383</v>
      </c>
      <c r="AH341" s="516"/>
      <c r="AI341" s="516"/>
      <c r="AJ341" s="516"/>
      <c r="AK341" s="516"/>
      <c r="AL341" s="544"/>
      <c r="AM341" s="544"/>
    </row>
    <row r="342" spans="1:39" ht="18" customHeight="1">
      <c r="C342" s="516">
        <v>321</v>
      </c>
      <c r="D342" s="516" t="s">
        <v>2384</v>
      </c>
      <c r="E342" s="516">
        <f t="shared" si="6"/>
        <v>306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 t="s">
        <v>49</v>
      </c>
      <c r="S342" s="516" t="s">
        <v>168</v>
      </c>
      <c r="T342" s="516"/>
      <c r="U342" s="516" t="s">
        <v>874</v>
      </c>
      <c r="V342" s="538" t="s">
        <v>197</v>
      </c>
      <c r="W342" s="541" t="s">
        <v>2385</v>
      </c>
      <c r="X342" s="516" t="s">
        <v>876</v>
      </c>
      <c r="Y342" s="542">
        <v>28739</v>
      </c>
      <c r="Z342" s="543">
        <f t="shared" ca="1" si="7"/>
        <v>47</v>
      </c>
      <c r="AA342" s="534" t="s">
        <v>2386</v>
      </c>
      <c r="AB342" s="516" t="s">
        <v>2387</v>
      </c>
      <c r="AC342" s="516" t="s">
        <v>802</v>
      </c>
      <c r="AD342" s="516" t="s">
        <v>794</v>
      </c>
      <c r="AE342" s="534" t="s">
        <v>1735</v>
      </c>
      <c r="AF342" s="534" t="s">
        <v>1735</v>
      </c>
      <c r="AG342" s="534" t="s">
        <v>2388</v>
      </c>
      <c r="AH342" s="516"/>
      <c r="AI342" s="516"/>
      <c r="AJ342" s="516" t="s">
        <v>844</v>
      </c>
      <c r="AK342" s="516"/>
      <c r="AL342" s="544"/>
      <c r="AM342" s="544"/>
    </row>
    <row r="343" spans="1:39" ht="18" customHeight="1">
      <c r="C343" s="516">
        <v>322</v>
      </c>
      <c r="D343" s="516" t="s">
        <v>2389</v>
      </c>
      <c r="E343" s="516">
        <f t="shared" si="6"/>
        <v>307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237</v>
      </c>
      <c r="W343" s="541" t="s">
        <v>2390</v>
      </c>
      <c r="X343" s="516" t="s">
        <v>876</v>
      </c>
      <c r="Y343" s="542">
        <v>15634</v>
      </c>
      <c r="Z343" s="543">
        <f t="shared" ca="1" si="7"/>
        <v>83</v>
      </c>
      <c r="AA343" s="534" t="s">
        <v>2391</v>
      </c>
      <c r="AB343" s="571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323</v>
      </c>
      <c r="D344" s="516" t="s">
        <v>2392</v>
      </c>
      <c r="E344" s="516">
        <f t="shared" si="6"/>
        <v>308</v>
      </c>
      <c r="F344" s="534" t="s">
        <v>981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255</v>
      </c>
      <c r="W344" s="541" t="s">
        <v>2393</v>
      </c>
      <c r="X344" s="516" t="s">
        <v>876</v>
      </c>
      <c r="Y344" s="542">
        <v>18124</v>
      </c>
      <c r="Z344" s="543">
        <f t="shared" ca="1" si="7"/>
        <v>76</v>
      </c>
      <c r="AA344" s="534" t="s">
        <v>2394</v>
      </c>
      <c r="AB344" s="516" t="s">
        <v>2395</v>
      </c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2396</v>
      </c>
      <c r="E345" s="516">
        <f t="shared" si="6"/>
        <v>309</v>
      </c>
      <c r="F345" s="534" t="s">
        <v>981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538" t="s">
        <v>272</v>
      </c>
      <c r="W345" s="541" t="s">
        <v>2397</v>
      </c>
      <c r="X345" s="516" t="s">
        <v>876</v>
      </c>
      <c r="Y345" s="542">
        <v>25188</v>
      </c>
      <c r="Z345" s="543">
        <f t="shared" ca="1" si="7"/>
        <v>57</v>
      </c>
      <c r="AA345" s="534" t="s">
        <v>2398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2399</v>
      </c>
      <c r="E346" s="516">
        <f t="shared" si="6"/>
        <v>310</v>
      </c>
      <c r="F346" s="534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608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7"/>
        <v>65</v>
      </c>
      <c r="AA346" s="534" t="s">
        <v>2401</v>
      </c>
      <c r="AB346" s="516" t="s">
        <v>2402</v>
      </c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A347" s="173"/>
      <c r="B347" s="173"/>
      <c r="C347" s="516">
        <v>326</v>
      </c>
      <c r="D347" s="516" t="s">
        <v>2403</v>
      </c>
      <c r="E347" s="516">
        <f t="shared" si="6"/>
        <v>311</v>
      </c>
      <c r="F347" s="609" t="s">
        <v>981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54"/>
      <c r="N347" s="567"/>
      <c r="O347" s="567"/>
      <c r="P347" s="538" t="s">
        <v>2372</v>
      </c>
      <c r="Q347" s="568"/>
      <c r="R347" s="554"/>
      <c r="S347" s="554"/>
      <c r="T347" s="554"/>
      <c r="U347" s="555" t="s">
        <v>788</v>
      </c>
      <c r="V347" s="610" t="s">
        <v>297</v>
      </c>
      <c r="W347" s="557" t="s">
        <v>2404</v>
      </c>
      <c r="X347" s="516" t="s">
        <v>876</v>
      </c>
      <c r="Y347" s="542">
        <v>34440</v>
      </c>
      <c r="Z347" s="543">
        <f t="shared" ca="1" si="7"/>
        <v>31</v>
      </c>
      <c r="AA347" s="516" t="s">
        <v>2405</v>
      </c>
      <c r="AB347" s="516" t="s">
        <v>2406</v>
      </c>
      <c r="AC347" s="516" t="s">
        <v>793</v>
      </c>
      <c r="AD347" s="516" t="s">
        <v>794</v>
      </c>
      <c r="AE347" s="516" t="s">
        <v>815</v>
      </c>
      <c r="AF347" s="516" t="s">
        <v>815</v>
      </c>
      <c r="AG347" s="516" t="s">
        <v>2317</v>
      </c>
      <c r="AH347" s="554"/>
      <c r="AI347" s="554"/>
      <c r="AJ347" s="611"/>
      <c r="AK347" s="554"/>
      <c r="AL347" s="554"/>
      <c r="AM347" s="554"/>
    </row>
    <row r="348" spans="1:39" ht="18" customHeight="1">
      <c r="A348" s="173"/>
      <c r="B348" s="173"/>
      <c r="C348" s="516">
        <v>327</v>
      </c>
      <c r="D348" s="516" t="s">
        <v>2407</v>
      </c>
      <c r="E348" s="516">
        <f t="shared" si="6"/>
        <v>312</v>
      </c>
      <c r="F348" s="534" t="s">
        <v>811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36"/>
      <c r="N348" s="537"/>
      <c r="O348" s="537"/>
      <c r="P348" s="538" t="s">
        <v>2372</v>
      </c>
      <c r="Q348" s="539" t="s">
        <v>308</v>
      </c>
      <c r="R348" s="554"/>
      <c r="S348" s="554"/>
      <c r="T348" s="554"/>
      <c r="U348" s="516" t="s">
        <v>874</v>
      </c>
      <c r="V348" s="610" t="s">
        <v>301</v>
      </c>
      <c r="W348" s="557" t="s">
        <v>2408</v>
      </c>
      <c r="X348" s="516" t="s">
        <v>876</v>
      </c>
      <c r="Y348" s="542">
        <v>23216</v>
      </c>
      <c r="Z348" s="543">
        <f t="shared" ca="1" si="7"/>
        <v>62</v>
      </c>
      <c r="AA348" s="516" t="s">
        <v>2409</v>
      </c>
      <c r="AB348" s="516" t="s">
        <v>2410</v>
      </c>
      <c r="AC348" s="516" t="s">
        <v>842</v>
      </c>
      <c r="AD348" s="516" t="s">
        <v>843</v>
      </c>
      <c r="AE348" s="516" t="s">
        <v>815</v>
      </c>
      <c r="AF348" s="516" t="s">
        <v>815</v>
      </c>
      <c r="AG348" s="516" t="s">
        <v>2411</v>
      </c>
      <c r="AH348" s="554"/>
      <c r="AI348" s="554"/>
      <c r="AJ348" s="575" t="s">
        <v>1438</v>
      </c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2412</v>
      </c>
      <c r="E349" s="516">
        <f t="shared" si="6"/>
        <v>313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54"/>
      <c r="N349" s="567"/>
      <c r="O349" s="56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304</v>
      </c>
      <c r="W349" s="557" t="s">
        <v>2413</v>
      </c>
      <c r="X349" s="516" t="s">
        <v>876</v>
      </c>
      <c r="Y349" s="542">
        <v>24814</v>
      </c>
      <c r="Z349" s="543">
        <f t="shared" ca="1" si="7"/>
        <v>58</v>
      </c>
      <c r="AA349" s="516" t="s">
        <v>2414</v>
      </c>
      <c r="AB349" s="516" t="s">
        <v>2415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2416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C350" s="516">
        <v>329</v>
      </c>
      <c r="D350" s="516" t="s">
        <v>2420</v>
      </c>
      <c r="E350" s="516">
        <f t="shared" si="6"/>
        <v>314</v>
      </c>
      <c r="F350" s="534" t="s">
        <v>782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612" t="s">
        <v>2368</v>
      </c>
      <c r="L350" s="662" t="s">
        <v>2371</v>
      </c>
      <c r="M350" s="554"/>
      <c r="N350" s="537"/>
      <c r="O350" s="537"/>
      <c r="P350" s="540" t="s">
        <v>2372</v>
      </c>
      <c r="Q350" s="539"/>
      <c r="R350" s="516"/>
      <c r="S350" s="516"/>
      <c r="T350" s="516"/>
      <c r="U350" s="516" t="s">
        <v>874</v>
      </c>
      <c r="V350" s="559" t="s">
        <v>2421</v>
      </c>
      <c r="W350" s="541" t="s">
        <v>2422</v>
      </c>
      <c r="X350" s="516" t="s">
        <v>876</v>
      </c>
      <c r="Y350" s="542">
        <v>31496</v>
      </c>
      <c r="Z350" s="543">
        <f t="shared" ca="1" si="7"/>
        <v>39</v>
      </c>
      <c r="AA350" s="534"/>
      <c r="AB350" s="516"/>
      <c r="AC350" s="516" t="s">
        <v>802</v>
      </c>
      <c r="AD350" s="516" t="s">
        <v>794</v>
      </c>
      <c r="AE350" s="534" t="s">
        <v>815</v>
      </c>
      <c r="AF350" s="534" t="s">
        <v>816</v>
      </c>
      <c r="AG350" s="534" t="s">
        <v>817</v>
      </c>
      <c r="AH350" s="516" t="s">
        <v>1571</v>
      </c>
      <c r="AI350" s="516" t="s">
        <v>2423</v>
      </c>
      <c r="AJ350" s="516"/>
      <c r="AK350" s="516" t="s">
        <v>860</v>
      </c>
      <c r="AL350" s="544"/>
      <c r="AM350" s="544"/>
    </row>
    <row r="351" spans="1:39" ht="18" customHeight="1">
      <c r="C351" s="516">
        <v>330</v>
      </c>
      <c r="D351" s="516" t="s">
        <v>2424</v>
      </c>
      <c r="E351" s="516">
        <f t="shared" si="6"/>
        <v>315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2424</v>
      </c>
      <c r="L351" s="535"/>
      <c r="M351" s="554"/>
      <c r="N351" s="537"/>
      <c r="O351" s="537"/>
      <c r="P351" s="548" t="s">
        <v>2425</v>
      </c>
      <c r="Q351" s="539"/>
      <c r="R351" s="516" t="s">
        <v>49</v>
      </c>
      <c r="S351" s="516" t="s">
        <v>49</v>
      </c>
      <c r="T351" s="516"/>
      <c r="U351" s="516" t="s">
        <v>874</v>
      </c>
      <c r="V351" s="538" t="s">
        <v>177</v>
      </c>
      <c r="W351" s="541" t="s">
        <v>2426</v>
      </c>
      <c r="X351" s="516" t="s">
        <v>876</v>
      </c>
      <c r="Y351" s="542">
        <v>27506</v>
      </c>
      <c r="Z351" s="543">
        <f t="shared" ca="1" si="7"/>
        <v>50</v>
      </c>
      <c r="AA351" s="534" t="s">
        <v>2427</v>
      </c>
      <c r="AB351" s="516" t="s">
        <v>2428</v>
      </c>
      <c r="AC351" s="516" t="s">
        <v>802</v>
      </c>
      <c r="AD351" s="516" t="s">
        <v>794</v>
      </c>
      <c r="AE351" s="534" t="s">
        <v>815</v>
      </c>
      <c r="AF351" s="534" t="s">
        <v>1289</v>
      </c>
      <c r="AG351" s="534" t="s">
        <v>2429</v>
      </c>
      <c r="AH351" s="516"/>
      <c r="AI351" s="516"/>
      <c r="AJ351" s="516" t="s">
        <v>867</v>
      </c>
      <c r="AK351" s="516"/>
      <c r="AL351" s="544"/>
      <c r="AM351" s="544"/>
    </row>
    <row r="352" spans="1:39" ht="18" customHeight="1">
      <c r="C352" s="516">
        <v>331</v>
      </c>
      <c r="D352" s="516" t="s">
        <v>2430</v>
      </c>
      <c r="E352" s="516">
        <f t="shared" si="6"/>
        <v>316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198</v>
      </c>
      <c r="W352" s="541" t="s">
        <v>2431</v>
      </c>
      <c r="X352" s="516" t="s">
        <v>876</v>
      </c>
      <c r="Y352" s="542">
        <v>21782</v>
      </c>
      <c r="Z352" s="543">
        <f t="shared" ca="1" si="7"/>
        <v>66</v>
      </c>
      <c r="AA352" s="613" t="s">
        <v>2432</v>
      </c>
      <c r="AB352" s="516" t="s">
        <v>2433</v>
      </c>
      <c r="AC352" s="516" t="s">
        <v>842</v>
      </c>
      <c r="AD352" s="516" t="s">
        <v>851</v>
      </c>
      <c r="AE352" s="534" t="s">
        <v>1289</v>
      </c>
      <c r="AF352" s="534" t="s">
        <v>1289</v>
      </c>
      <c r="AG352" s="534" t="s">
        <v>2289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332</v>
      </c>
      <c r="D353" s="516" t="s">
        <v>2434</v>
      </c>
      <c r="E353" s="516">
        <f t="shared" si="6"/>
        <v>317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218</v>
      </c>
      <c r="W353" s="541" t="s">
        <v>2435</v>
      </c>
      <c r="X353" s="516" t="s">
        <v>876</v>
      </c>
      <c r="Y353" s="542">
        <v>22092</v>
      </c>
      <c r="Z353" s="543">
        <f t="shared" ca="1" si="7"/>
        <v>65</v>
      </c>
      <c r="AA353" s="613" t="s">
        <v>2436</v>
      </c>
      <c r="AB353" s="516" t="s">
        <v>2437</v>
      </c>
      <c r="AC353" s="516" t="s">
        <v>842</v>
      </c>
      <c r="AD353" s="516" t="s">
        <v>843</v>
      </c>
      <c r="AE353" s="534" t="s">
        <v>815</v>
      </c>
      <c r="AF353" s="534" t="s">
        <v>815</v>
      </c>
      <c r="AG353" s="534" t="s">
        <v>2438</v>
      </c>
      <c r="AH353" s="516"/>
      <c r="AI353" s="516"/>
      <c r="AJ353" s="516" t="s">
        <v>976</v>
      </c>
      <c r="AK353" s="516"/>
      <c r="AL353" s="544"/>
      <c r="AM353" s="544"/>
    </row>
    <row r="354" spans="3:39" ht="18" customHeight="1">
      <c r="C354" s="516">
        <v>333</v>
      </c>
      <c r="D354" s="516" t="s">
        <v>2439</v>
      </c>
      <c r="E354" s="516">
        <f t="shared" si="6"/>
        <v>318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2440</v>
      </c>
      <c r="W354" s="541" t="s">
        <v>2441</v>
      </c>
      <c r="X354" s="516" t="s">
        <v>876</v>
      </c>
      <c r="Y354" s="542">
        <v>34222</v>
      </c>
      <c r="Z354" s="543">
        <f t="shared" ca="1" si="7"/>
        <v>32</v>
      </c>
      <c r="AA354" s="534"/>
      <c r="AB354" s="516" t="s">
        <v>2442</v>
      </c>
      <c r="AC354" s="516" t="s">
        <v>842</v>
      </c>
      <c r="AD354" s="516" t="s">
        <v>851</v>
      </c>
      <c r="AE354" s="534" t="s">
        <v>815</v>
      </c>
      <c r="AF354" s="534" t="s">
        <v>815</v>
      </c>
      <c r="AG354" s="534" t="s">
        <v>1282</v>
      </c>
      <c r="AH354" s="516"/>
      <c r="AI354" s="516" t="s">
        <v>2443</v>
      </c>
      <c r="AJ354" s="516" t="s">
        <v>844</v>
      </c>
      <c r="AK354" s="516"/>
      <c r="AL354" s="544"/>
      <c r="AM354" s="544"/>
    </row>
    <row r="355" spans="3:39" ht="18" customHeight="1">
      <c r="C355" s="516">
        <v>334</v>
      </c>
      <c r="D355" s="516" t="s">
        <v>2444</v>
      </c>
      <c r="E355" s="516">
        <f t="shared" si="6"/>
        <v>319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59" t="s">
        <v>2425</v>
      </c>
      <c r="Q355" s="539"/>
      <c r="R355" s="516"/>
      <c r="S355" s="516"/>
      <c r="T355" s="516"/>
      <c r="U355" s="516" t="s">
        <v>874</v>
      </c>
      <c r="V355" s="540" t="s">
        <v>2445</v>
      </c>
      <c r="W355" s="541" t="s">
        <v>2446</v>
      </c>
      <c r="X355" s="516" t="s">
        <v>876</v>
      </c>
      <c r="Y355" s="542">
        <v>30979</v>
      </c>
      <c r="Z355" s="543">
        <f t="shared" ca="1" si="7"/>
        <v>41</v>
      </c>
      <c r="AA355" s="534" t="s">
        <v>2447</v>
      </c>
      <c r="AB355" s="516" t="s">
        <v>2448</v>
      </c>
      <c r="AC355" s="516" t="s">
        <v>842</v>
      </c>
      <c r="AD355" s="516" t="s">
        <v>843</v>
      </c>
      <c r="AE355" s="534" t="s">
        <v>815</v>
      </c>
      <c r="AF355" s="534" t="s">
        <v>815</v>
      </c>
      <c r="AG355" s="534" t="s">
        <v>2333</v>
      </c>
      <c r="AH355" s="516"/>
      <c r="AI355" s="516" t="s">
        <v>2443</v>
      </c>
      <c r="AJ355" s="516" t="s">
        <v>1535</v>
      </c>
      <c r="AK355" s="516"/>
      <c r="AL355" s="544"/>
      <c r="AM355" s="544"/>
    </row>
    <row r="356" spans="3:39" ht="18" customHeight="1">
      <c r="C356" s="516">
        <v>335</v>
      </c>
      <c r="D356" s="516" t="s">
        <v>2460</v>
      </c>
      <c r="E356" s="516">
        <f t="shared" si="6"/>
        <v>320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63" t="s">
        <v>2460</v>
      </c>
      <c r="L356" s="535"/>
      <c r="M356" s="554"/>
      <c r="N356" s="537"/>
      <c r="O356" s="537"/>
      <c r="P356" s="548" t="s">
        <v>2461</v>
      </c>
      <c r="Q356" s="539"/>
      <c r="R356" s="516" t="s">
        <v>49</v>
      </c>
      <c r="S356" s="516" t="s">
        <v>49</v>
      </c>
      <c r="T356" s="516"/>
      <c r="U356" s="562" t="s">
        <v>788</v>
      </c>
      <c r="V356" s="548" t="s">
        <v>178</v>
      </c>
      <c r="W356" s="560" t="s">
        <v>2462</v>
      </c>
      <c r="X356" s="516" t="s">
        <v>876</v>
      </c>
      <c r="Y356" s="542">
        <v>32694</v>
      </c>
      <c r="Z356" s="543">
        <f t="shared" ca="1" si="7"/>
        <v>36</v>
      </c>
      <c r="AA356" s="534" t="s">
        <v>2463</v>
      </c>
      <c r="AB356" s="516" t="s">
        <v>2464</v>
      </c>
      <c r="AC356" s="516" t="s">
        <v>842</v>
      </c>
      <c r="AD356" s="516" t="s">
        <v>851</v>
      </c>
      <c r="AE356" s="534" t="s">
        <v>815</v>
      </c>
      <c r="AF356" s="534" t="s">
        <v>1796</v>
      </c>
      <c r="AG356" s="534" t="s">
        <v>2465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336</v>
      </c>
      <c r="D357" s="516" t="s">
        <v>2466</v>
      </c>
      <c r="E357" s="516">
        <f t="shared" si="6"/>
        <v>321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38" t="s">
        <v>2461</v>
      </c>
      <c r="Q357" s="539"/>
      <c r="R357" s="516"/>
      <c r="S357" s="516"/>
      <c r="T357" s="516"/>
      <c r="U357" s="562" t="s">
        <v>898</v>
      </c>
      <c r="V357" s="538" t="s">
        <v>2467</v>
      </c>
      <c r="W357" s="560" t="s">
        <v>2468</v>
      </c>
      <c r="X357" s="516" t="s">
        <v>876</v>
      </c>
      <c r="Y357" s="542">
        <v>19460</v>
      </c>
      <c r="Z357" s="543">
        <f t="shared" ca="1" si="7"/>
        <v>72</v>
      </c>
      <c r="AA357" s="534"/>
      <c r="AB357" s="614" t="s">
        <v>2469</v>
      </c>
      <c r="AC357" s="516" t="s">
        <v>842</v>
      </c>
      <c r="AD357" s="516" t="s">
        <v>794</v>
      </c>
      <c r="AE357" s="534" t="s">
        <v>815</v>
      </c>
      <c r="AF357" s="534" t="s">
        <v>815</v>
      </c>
      <c r="AG357" s="534" t="s">
        <v>2470</v>
      </c>
      <c r="AH357" s="516"/>
      <c r="AI357" s="516"/>
      <c r="AJ357" s="516" t="s">
        <v>844</v>
      </c>
      <c r="AK357" s="516"/>
      <c r="AL357" s="544"/>
      <c r="AM357" s="544"/>
    </row>
    <row r="358" spans="3:39" ht="18" customHeight="1">
      <c r="C358" s="516">
        <v>337</v>
      </c>
      <c r="D358" s="516" t="s">
        <v>2471</v>
      </c>
      <c r="E358" s="516">
        <f t="shared" si="6"/>
        <v>322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219</v>
      </c>
      <c r="W358" s="560" t="s">
        <v>2472</v>
      </c>
      <c r="X358" s="516" t="s">
        <v>876</v>
      </c>
      <c r="Y358" s="542">
        <v>17662</v>
      </c>
      <c r="Z358" s="543">
        <f t="shared" ca="1" si="7"/>
        <v>77</v>
      </c>
      <c r="AA358" s="534" t="s">
        <v>2473</v>
      </c>
      <c r="AB358" s="516" t="s">
        <v>2474</v>
      </c>
      <c r="AC358" s="516" t="s">
        <v>802</v>
      </c>
      <c r="AD358" s="516" t="s">
        <v>794</v>
      </c>
      <c r="AE358" s="534" t="s">
        <v>815</v>
      </c>
      <c r="AF358" s="534" t="s">
        <v>815</v>
      </c>
      <c r="AG358" s="534" t="s">
        <v>2475</v>
      </c>
      <c r="AH358" s="516"/>
      <c r="AI358" s="516"/>
      <c r="AJ358" s="516" t="s">
        <v>867</v>
      </c>
      <c r="AK358" s="516"/>
      <c r="AL358" s="544"/>
      <c r="AM358" s="544"/>
    </row>
    <row r="359" spans="3:39" ht="18" customHeight="1">
      <c r="C359" s="516">
        <v>338</v>
      </c>
      <c r="D359" s="516" t="s">
        <v>2476</v>
      </c>
      <c r="E359" s="516">
        <f t="shared" si="6"/>
        <v>323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874</v>
      </c>
      <c r="V359" s="538" t="s">
        <v>239</v>
      </c>
      <c r="W359" s="560" t="s">
        <v>2477</v>
      </c>
      <c r="X359" s="516" t="s">
        <v>876</v>
      </c>
      <c r="Y359" s="542">
        <v>29101</v>
      </c>
      <c r="Z359" s="543">
        <f t="shared" ca="1" si="7"/>
        <v>46</v>
      </c>
      <c r="AA359" s="534" t="s">
        <v>2478</v>
      </c>
      <c r="AB359" s="516" t="s">
        <v>2479</v>
      </c>
      <c r="AC359" s="516" t="s">
        <v>802</v>
      </c>
      <c r="AD359" s="516" t="s">
        <v>794</v>
      </c>
      <c r="AE359" s="534" t="s">
        <v>815</v>
      </c>
      <c r="AF359" s="534" t="s">
        <v>2480</v>
      </c>
      <c r="AG359" s="534" t="s">
        <v>2481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339</v>
      </c>
      <c r="D360" s="516" t="s">
        <v>2482</v>
      </c>
      <c r="E360" s="516">
        <f t="shared" si="6"/>
        <v>324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59" t="s">
        <v>2461</v>
      </c>
      <c r="Q360" s="539"/>
      <c r="R360" s="516"/>
      <c r="S360" s="516"/>
      <c r="T360" s="516"/>
      <c r="U360" s="562" t="s">
        <v>874</v>
      </c>
      <c r="V360" s="559" t="s">
        <v>2483</v>
      </c>
      <c r="W360" s="560" t="s">
        <v>2484</v>
      </c>
      <c r="X360" s="516" t="s">
        <v>876</v>
      </c>
      <c r="Y360" s="542">
        <v>30956</v>
      </c>
      <c r="Z360" s="543">
        <f t="shared" ca="1" si="7"/>
        <v>41</v>
      </c>
      <c r="AA360" s="534" t="s">
        <v>2485</v>
      </c>
      <c r="AB360" s="516" t="s">
        <v>2486</v>
      </c>
      <c r="AC360" s="516" t="s">
        <v>842</v>
      </c>
      <c r="AD360" s="516" t="s">
        <v>851</v>
      </c>
      <c r="AE360" s="534" t="s">
        <v>815</v>
      </c>
      <c r="AF360" s="534" t="s">
        <v>815</v>
      </c>
      <c r="AG360" s="534" t="s">
        <v>2487</v>
      </c>
      <c r="AH360" s="516"/>
      <c r="AI360" s="516"/>
      <c r="AJ360" s="516" t="s">
        <v>903</v>
      </c>
      <c r="AK360" s="516"/>
      <c r="AL360" s="544"/>
      <c r="AM360" s="544"/>
    </row>
    <row r="361" spans="3:39" ht="18" customHeight="1">
      <c r="C361" s="516">
        <v>340</v>
      </c>
      <c r="D361" s="516" t="s">
        <v>2488</v>
      </c>
      <c r="E361" s="516">
        <f t="shared" si="6"/>
        <v>325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50" t="s">
        <v>828</v>
      </c>
      <c r="Q361" s="539"/>
      <c r="R361" s="516" t="s">
        <v>49</v>
      </c>
      <c r="S361" s="516" t="s">
        <v>168</v>
      </c>
      <c r="T361" s="516"/>
      <c r="U361" s="516" t="s">
        <v>874</v>
      </c>
      <c r="V361" s="548" t="s">
        <v>179</v>
      </c>
      <c r="W361" s="541" t="s">
        <v>2490</v>
      </c>
      <c r="X361" s="516" t="s">
        <v>876</v>
      </c>
      <c r="Y361" s="542">
        <v>23890</v>
      </c>
      <c r="Z361" s="543">
        <f t="shared" ca="1" si="7"/>
        <v>60</v>
      </c>
      <c r="AA361" s="534" t="s">
        <v>2491</v>
      </c>
      <c r="AB361" s="516" t="s">
        <v>2492</v>
      </c>
      <c r="AC361" s="516" t="s">
        <v>802</v>
      </c>
      <c r="AD361" s="516" t="s">
        <v>794</v>
      </c>
      <c r="AE361" s="534" t="s">
        <v>713</v>
      </c>
      <c r="AF361" s="534" t="s">
        <v>815</v>
      </c>
      <c r="AG361" s="534" t="s">
        <v>2333</v>
      </c>
      <c r="AH361" s="516"/>
      <c r="AI361" s="516"/>
      <c r="AJ361" s="516" t="s">
        <v>844</v>
      </c>
      <c r="AK361" s="516"/>
      <c r="AL361" s="544"/>
      <c r="AM361" s="544"/>
    </row>
    <row r="362" spans="3:39" ht="18" customHeight="1">
      <c r="C362" s="516">
        <v>341</v>
      </c>
      <c r="D362" s="516" t="s">
        <v>2489</v>
      </c>
      <c r="E362" s="516">
        <f t="shared" si="6"/>
        <v>326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 t="s">
        <v>62</v>
      </c>
      <c r="S362" s="516" t="s">
        <v>548</v>
      </c>
      <c r="T362" s="516"/>
      <c r="U362" s="516" t="s">
        <v>874</v>
      </c>
      <c r="V362" s="538" t="s">
        <v>199</v>
      </c>
      <c r="W362" s="541" t="s">
        <v>2493</v>
      </c>
      <c r="X362" s="516" t="s">
        <v>876</v>
      </c>
      <c r="Y362" s="542">
        <v>21150</v>
      </c>
      <c r="Z362" s="543">
        <f t="shared" ca="1" si="7"/>
        <v>68</v>
      </c>
      <c r="AA362" s="534" t="s">
        <v>2494</v>
      </c>
      <c r="AB362" s="516" t="s">
        <v>2495</v>
      </c>
      <c r="AC362" s="516" t="s">
        <v>842</v>
      </c>
      <c r="AD362" s="516" t="s">
        <v>851</v>
      </c>
      <c r="AE362" s="534" t="s">
        <v>815</v>
      </c>
      <c r="AF362" s="606" t="s">
        <v>815</v>
      </c>
      <c r="AG362" s="534" t="s">
        <v>2496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342</v>
      </c>
      <c r="D363" s="516" t="s">
        <v>2497</v>
      </c>
      <c r="E363" s="516">
        <f t="shared" si="6"/>
        <v>327</v>
      </c>
      <c r="F363" s="534" t="s">
        <v>981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220</v>
      </c>
      <c r="W363" s="541" t="s">
        <v>2498</v>
      </c>
      <c r="X363" s="516" t="s">
        <v>876</v>
      </c>
      <c r="Y363" s="542">
        <v>21259</v>
      </c>
      <c r="Z363" s="543">
        <f t="shared" ca="1" si="7"/>
        <v>67</v>
      </c>
      <c r="AA363" s="534" t="s">
        <v>2499</v>
      </c>
      <c r="AB363" s="516" t="s">
        <v>2500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2501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343</v>
      </c>
      <c r="D364" s="516" t="s">
        <v>2502</v>
      </c>
      <c r="E364" s="516">
        <f t="shared" si="6"/>
        <v>328</v>
      </c>
      <c r="F364" s="534" t="s">
        <v>981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240</v>
      </c>
      <c r="W364" s="541" t="s">
        <v>2503</v>
      </c>
      <c r="X364" s="516" t="s">
        <v>876</v>
      </c>
      <c r="Y364" s="542">
        <v>21707</v>
      </c>
      <c r="Z364" s="543">
        <f t="shared" ca="1" si="7"/>
        <v>66</v>
      </c>
      <c r="AA364" s="534" t="s">
        <v>2504</v>
      </c>
      <c r="AB364" s="516" t="s">
        <v>2505</v>
      </c>
      <c r="AC364" s="516" t="s">
        <v>842</v>
      </c>
      <c r="AD364" s="516" t="s">
        <v>851</v>
      </c>
      <c r="AE364" s="534" t="s">
        <v>815</v>
      </c>
      <c r="AF364" s="566" t="s">
        <v>713</v>
      </c>
      <c r="AG364" s="534" t="s">
        <v>2506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344</v>
      </c>
      <c r="D365" s="516" t="s">
        <v>2507</v>
      </c>
      <c r="E365" s="516">
        <f t="shared" si="6"/>
        <v>329</v>
      </c>
      <c r="F365" s="534" t="s">
        <v>981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257</v>
      </c>
      <c r="W365" s="541" t="s">
        <v>2508</v>
      </c>
      <c r="X365" s="516" t="s">
        <v>876</v>
      </c>
      <c r="Y365" s="542">
        <v>26474</v>
      </c>
      <c r="Z365" s="543">
        <f t="shared" ca="1" si="7"/>
        <v>53</v>
      </c>
      <c r="AA365" s="534" t="s">
        <v>2509</v>
      </c>
      <c r="AB365" s="571"/>
      <c r="AC365" s="516" t="s">
        <v>842</v>
      </c>
      <c r="AD365" s="516" t="s">
        <v>843</v>
      </c>
      <c r="AE365" s="534" t="s">
        <v>815</v>
      </c>
      <c r="AF365" s="606" t="s">
        <v>815</v>
      </c>
      <c r="AG365" s="534" t="s">
        <v>2510</v>
      </c>
      <c r="AH365" s="516"/>
      <c r="AI365" s="516" t="s">
        <v>2511</v>
      </c>
      <c r="AJ365" s="516" t="s">
        <v>1852</v>
      </c>
      <c r="AK365" s="516"/>
      <c r="AL365" s="544"/>
      <c r="AM365" s="544"/>
    </row>
    <row r="366" spans="3:39" ht="18" customHeight="1">
      <c r="C366" s="516">
        <v>345</v>
      </c>
      <c r="D366" s="516" t="s">
        <v>2512</v>
      </c>
      <c r="E366" s="516">
        <f t="shared" si="6"/>
        <v>330</v>
      </c>
      <c r="F366" s="534" t="s">
        <v>981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273</v>
      </c>
      <c r="W366" s="541" t="s">
        <v>2513</v>
      </c>
      <c r="X366" s="516" t="s">
        <v>876</v>
      </c>
      <c r="Y366" s="542">
        <v>30766</v>
      </c>
      <c r="Z366" s="543">
        <f t="shared" ca="1" si="7"/>
        <v>41</v>
      </c>
      <c r="AA366" s="534" t="s">
        <v>2514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2515</v>
      </c>
      <c r="AH366" s="516"/>
      <c r="AI366" s="516"/>
      <c r="AJ366" s="516" t="s">
        <v>1852</v>
      </c>
      <c r="AK366" s="516"/>
      <c r="AL366" s="544"/>
      <c r="AM366" s="544"/>
    </row>
    <row r="367" spans="3:39" ht="18" customHeight="1">
      <c r="C367" s="516">
        <v>346</v>
      </c>
      <c r="D367" s="516" t="s">
        <v>2516</v>
      </c>
      <c r="E367" s="516">
        <f t="shared" si="6"/>
        <v>331</v>
      </c>
      <c r="F367" s="534" t="s">
        <v>981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59" t="s">
        <v>828</v>
      </c>
      <c r="Q367" s="539" t="s">
        <v>308</v>
      </c>
      <c r="R367" s="516"/>
      <c r="S367" s="516"/>
      <c r="T367" s="516"/>
      <c r="U367" s="516" t="s">
        <v>874</v>
      </c>
      <c r="V367" s="559" t="s">
        <v>284</v>
      </c>
      <c r="W367" s="541" t="s">
        <v>2517</v>
      </c>
      <c r="X367" s="516" t="s">
        <v>876</v>
      </c>
      <c r="Y367" s="542">
        <v>31673</v>
      </c>
      <c r="Z367" s="543">
        <f t="shared" ca="1" si="7"/>
        <v>39</v>
      </c>
      <c r="AA367" s="534" t="s">
        <v>2518</v>
      </c>
      <c r="AB367" s="516" t="s">
        <v>2519</v>
      </c>
      <c r="AC367" s="516" t="s">
        <v>842</v>
      </c>
      <c r="AD367" s="516" t="s">
        <v>851</v>
      </c>
      <c r="AE367" s="534" t="s">
        <v>815</v>
      </c>
      <c r="AF367" s="606" t="s">
        <v>815</v>
      </c>
      <c r="AG367" s="534" t="s">
        <v>2297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347</v>
      </c>
      <c r="D368" s="516" t="s">
        <v>2520</v>
      </c>
      <c r="E368" s="516">
        <f t="shared" si="6"/>
        <v>332</v>
      </c>
      <c r="F368" s="534" t="s">
        <v>981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70" t="s">
        <v>2521</v>
      </c>
      <c r="N368" s="537"/>
      <c r="O368" s="537"/>
      <c r="P368" s="538" t="s">
        <v>938</v>
      </c>
      <c r="Q368" s="539"/>
      <c r="R368" s="516" t="s">
        <v>49</v>
      </c>
      <c r="S368" s="516" t="s">
        <v>168</v>
      </c>
      <c r="T368" s="516"/>
      <c r="U368" s="516" t="s">
        <v>874</v>
      </c>
      <c r="V368" s="538" t="s">
        <v>180</v>
      </c>
      <c r="W368" s="541" t="s">
        <v>2522</v>
      </c>
      <c r="X368" s="516" t="s">
        <v>876</v>
      </c>
      <c r="Y368" s="542">
        <v>25699</v>
      </c>
      <c r="Z368" s="543">
        <f t="shared" ca="1" si="7"/>
        <v>55</v>
      </c>
      <c r="AA368" s="534" t="s">
        <v>2523</v>
      </c>
      <c r="AB368" s="516" t="s">
        <v>2524</v>
      </c>
      <c r="AC368" s="516" t="s">
        <v>802</v>
      </c>
      <c r="AD368" s="516" t="s">
        <v>794</v>
      </c>
      <c r="AE368" s="534" t="s">
        <v>815</v>
      </c>
      <c r="AF368" s="606" t="s">
        <v>815</v>
      </c>
      <c r="AG368" s="534" t="s">
        <v>2525</v>
      </c>
      <c r="AH368" s="516"/>
      <c r="AI368" s="516"/>
      <c r="AJ368" s="516" t="s">
        <v>903</v>
      </c>
      <c r="AK368" s="516"/>
      <c r="AL368" s="544"/>
      <c r="AM368" s="544"/>
    </row>
    <row r="369" spans="1:39" ht="18" customHeight="1">
      <c r="C369" s="516">
        <v>348</v>
      </c>
      <c r="D369" s="516" t="s">
        <v>2531</v>
      </c>
      <c r="E369" s="516">
        <f t="shared" si="6"/>
        <v>333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/>
      <c r="S369" s="516"/>
      <c r="T369" s="516"/>
      <c r="U369" s="516" t="s">
        <v>898</v>
      </c>
      <c r="V369" s="538" t="s">
        <v>200</v>
      </c>
      <c r="W369" s="541" t="s">
        <v>2532</v>
      </c>
      <c r="X369" s="516" t="s">
        <v>876</v>
      </c>
      <c r="Y369" s="542">
        <v>19481</v>
      </c>
      <c r="Z369" s="543">
        <f t="shared" ca="1" si="7"/>
        <v>72</v>
      </c>
      <c r="AA369" s="534" t="s">
        <v>2533</v>
      </c>
      <c r="AB369" s="614" t="s">
        <v>2534</v>
      </c>
      <c r="AC369" s="516" t="s">
        <v>842</v>
      </c>
      <c r="AD369" s="516" t="s">
        <v>843</v>
      </c>
      <c r="AE369" s="534" t="s">
        <v>942</v>
      </c>
      <c r="AF369" s="534" t="s">
        <v>2535</v>
      </c>
      <c r="AG369" s="534" t="s">
        <v>2536</v>
      </c>
      <c r="AH369" s="516"/>
      <c r="AI369" s="516"/>
      <c r="AJ369" s="516" t="s">
        <v>1497</v>
      </c>
      <c r="AK369" s="516"/>
      <c r="AL369" s="544"/>
      <c r="AM369" s="544"/>
    </row>
    <row r="370" spans="1:39" ht="18" customHeight="1">
      <c r="A370" s="173"/>
      <c r="B370" s="173"/>
      <c r="C370" s="516">
        <v>349</v>
      </c>
      <c r="D370" s="516" t="s">
        <v>2521</v>
      </c>
      <c r="E370" s="516">
        <f>SUBTOTAL(103,$U$21:U370)</f>
        <v>334</v>
      </c>
      <c r="F370" s="534" t="s">
        <v>981</v>
      </c>
      <c r="G370" s="516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67"/>
      <c r="O370" s="567"/>
      <c r="P370" s="556" t="s">
        <v>938</v>
      </c>
      <c r="Q370" s="539" t="s">
        <v>308</v>
      </c>
      <c r="R370" s="516" t="s">
        <v>62</v>
      </c>
      <c r="S370" s="516" t="s">
        <v>548</v>
      </c>
      <c r="T370" s="554"/>
      <c r="U370" s="596" t="s">
        <v>874</v>
      </c>
      <c r="V370" s="556" t="s">
        <v>241</v>
      </c>
      <c r="W370" s="557" t="s">
        <v>2526</v>
      </c>
      <c r="X370" s="516" t="s">
        <v>876</v>
      </c>
      <c r="Y370" s="542">
        <v>23880</v>
      </c>
      <c r="Z370" s="543">
        <f t="shared" ca="1" si="7"/>
        <v>60</v>
      </c>
      <c r="AA370" s="516" t="s">
        <v>2527</v>
      </c>
      <c r="AB370" s="516" t="s">
        <v>2528</v>
      </c>
      <c r="AC370" s="516" t="s">
        <v>842</v>
      </c>
      <c r="AD370" s="516" t="s">
        <v>843</v>
      </c>
      <c r="AE370" s="516" t="s">
        <v>815</v>
      </c>
      <c r="AF370" s="516" t="s">
        <v>2529</v>
      </c>
      <c r="AG370" s="516" t="s">
        <v>2530</v>
      </c>
      <c r="AH370" s="554"/>
      <c r="AI370" s="554"/>
      <c r="AJ370" s="516" t="s">
        <v>1497</v>
      </c>
      <c r="AK370" s="554"/>
      <c r="AL370" s="554"/>
      <c r="AM370" s="554"/>
    </row>
    <row r="371" spans="1:39" ht="18" customHeight="1">
      <c r="C371" s="516">
        <v>350</v>
      </c>
      <c r="D371" s="516" t="s">
        <v>2537</v>
      </c>
      <c r="E371" s="516">
        <f t="shared" ref="E371:E373" si="8">SUBTOTAL(103,$U$21:U371)</f>
        <v>335</v>
      </c>
      <c r="F371" s="534" t="s">
        <v>981</v>
      </c>
      <c r="G371" s="534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37"/>
      <c r="O371" s="537"/>
      <c r="P371" s="538" t="s">
        <v>938</v>
      </c>
      <c r="Q371" s="539" t="s">
        <v>308</v>
      </c>
      <c r="R371" s="516"/>
      <c r="S371" s="516"/>
      <c r="T371" s="516"/>
      <c r="U371" s="516" t="s">
        <v>898</v>
      </c>
      <c r="V371" s="538" t="s">
        <v>221</v>
      </c>
      <c r="W371" s="541" t="s">
        <v>2538</v>
      </c>
      <c r="X371" s="516" t="s">
        <v>876</v>
      </c>
      <c r="Y371" s="542">
        <v>19809</v>
      </c>
      <c r="Z371" s="543">
        <f t="shared" ca="1" si="7"/>
        <v>71</v>
      </c>
      <c r="AA371" s="534" t="s">
        <v>2539</v>
      </c>
      <c r="AB371" s="516" t="s">
        <v>2540</v>
      </c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2496</v>
      </c>
      <c r="AH371" s="516"/>
      <c r="AI371" s="516"/>
      <c r="AJ371" s="516" t="s">
        <v>1497</v>
      </c>
      <c r="AK371" s="516"/>
      <c r="AL371" s="544"/>
      <c r="AM371" s="544"/>
    </row>
    <row r="372" spans="1:39" ht="18" customHeight="1">
      <c r="C372" s="516">
        <v>351</v>
      </c>
      <c r="D372" s="516" t="s">
        <v>2541</v>
      </c>
      <c r="E372" s="516">
        <f t="shared" si="8"/>
        <v>336</v>
      </c>
      <c r="F372" s="534" t="s">
        <v>981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59" t="s">
        <v>938</v>
      </c>
      <c r="Q372" s="539" t="s">
        <v>308</v>
      </c>
      <c r="R372" s="516"/>
      <c r="S372" s="516"/>
      <c r="T372" s="664"/>
      <c r="U372" s="516" t="s">
        <v>874</v>
      </c>
      <c r="V372" s="559" t="s">
        <v>258</v>
      </c>
      <c r="W372" s="541" t="s">
        <v>2542</v>
      </c>
      <c r="X372" s="516" t="s">
        <v>876</v>
      </c>
      <c r="Y372" s="542">
        <v>26431</v>
      </c>
      <c r="Z372" s="543">
        <f t="shared" ca="1" si="7"/>
        <v>53</v>
      </c>
      <c r="AA372" s="534" t="s">
        <v>2543</v>
      </c>
      <c r="AB372" s="615" t="s">
        <v>2544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2297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352</v>
      </c>
      <c r="D373" s="516" t="s">
        <v>1258</v>
      </c>
      <c r="E373" s="516">
        <f t="shared" si="8"/>
        <v>336</v>
      </c>
      <c r="F373" s="534"/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661" t="s">
        <v>2545</v>
      </c>
      <c r="M373" s="570" t="s">
        <v>2546</v>
      </c>
      <c r="N373" s="537"/>
      <c r="O373" s="537"/>
      <c r="P373" s="548" t="s">
        <v>978</v>
      </c>
      <c r="Q373" s="539"/>
      <c r="R373" s="516" t="s">
        <v>49</v>
      </c>
      <c r="S373" s="516" t="s">
        <v>49</v>
      </c>
      <c r="T373" s="516"/>
      <c r="U373" s="516"/>
      <c r="V373" s="548" t="s">
        <v>166</v>
      </c>
      <c r="W373" s="541" t="s">
        <v>1261</v>
      </c>
      <c r="X373" s="516" t="s">
        <v>876</v>
      </c>
      <c r="Y373" s="542">
        <v>21384</v>
      </c>
      <c r="Z373" s="543">
        <f t="shared" ca="1" si="7"/>
        <v>67</v>
      </c>
      <c r="AA373" s="534" t="s">
        <v>1262</v>
      </c>
      <c r="AB373" s="516"/>
      <c r="AC373" s="516" t="s">
        <v>842</v>
      </c>
      <c r="AD373" s="516" t="s">
        <v>794</v>
      </c>
      <c r="AE373" s="534" t="s">
        <v>713</v>
      </c>
      <c r="AF373" s="534" t="s">
        <v>1163</v>
      </c>
      <c r="AG373" s="534" t="s">
        <v>1172</v>
      </c>
      <c r="AH373" s="516" t="s">
        <v>872</v>
      </c>
      <c r="AI373" s="516"/>
      <c r="AJ373" s="516"/>
      <c r="AK373" s="516"/>
      <c r="AL373" s="544"/>
      <c r="AM373" s="544"/>
    </row>
    <row r="374" spans="1:39" ht="18" customHeight="1">
      <c r="A374" s="173"/>
      <c r="B374" s="173"/>
      <c r="C374" s="516">
        <v>353</v>
      </c>
      <c r="D374" s="516" t="s">
        <v>2545</v>
      </c>
      <c r="E374" s="516">
        <f>SUBTOTAL(103,$U$21:U374)</f>
        <v>337</v>
      </c>
      <c r="F374" s="534" t="s">
        <v>981</v>
      </c>
      <c r="G374" s="516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67"/>
      <c r="O374" s="567"/>
      <c r="P374" s="556" t="s">
        <v>978</v>
      </c>
      <c r="Q374" s="539" t="s">
        <v>308</v>
      </c>
      <c r="R374" s="516" t="s">
        <v>62</v>
      </c>
      <c r="S374" s="516" t="s">
        <v>548</v>
      </c>
      <c r="T374" s="554"/>
      <c r="U374" s="596" t="s">
        <v>874</v>
      </c>
      <c r="V374" s="556" t="s">
        <v>242</v>
      </c>
      <c r="W374" s="557" t="s">
        <v>2547</v>
      </c>
      <c r="X374" s="516" t="s">
        <v>876</v>
      </c>
      <c r="Y374" s="542">
        <v>25424</v>
      </c>
      <c r="Z374" s="543">
        <f t="shared" ca="1" si="7"/>
        <v>56</v>
      </c>
      <c r="AA374" s="516" t="s">
        <v>2548</v>
      </c>
      <c r="AB374" s="516" t="s">
        <v>2549</v>
      </c>
      <c r="AC374" s="516" t="s">
        <v>842</v>
      </c>
      <c r="AD374" s="516" t="s">
        <v>843</v>
      </c>
      <c r="AE374" s="516" t="s">
        <v>815</v>
      </c>
      <c r="AF374" s="606" t="s">
        <v>815</v>
      </c>
      <c r="AG374" s="516" t="s">
        <v>1352</v>
      </c>
      <c r="AH374" s="554"/>
      <c r="AI374" s="554"/>
      <c r="AJ374" s="558" t="s">
        <v>1087</v>
      </c>
      <c r="AK374" s="554"/>
      <c r="AL374" s="554"/>
      <c r="AM374" s="554"/>
    </row>
    <row r="375" spans="1:39" ht="18" customHeight="1">
      <c r="C375" s="516">
        <v>354</v>
      </c>
      <c r="D375" s="516" t="s">
        <v>2546</v>
      </c>
      <c r="E375" s="516">
        <f t="shared" ref="E375:E542" si="9">SUBTOTAL(103,$U$21:U375)</f>
        <v>338</v>
      </c>
      <c r="F375" s="534" t="s">
        <v>981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37"/>
      <c r="O375" s="537"/>
      <c r="P375" s="538" t="s">
        <v>978</v>
      </c>
      <c r="Q375" s="539" t="s">
        <v>308</v>
      </c>
      <c r="R375" s="516" t="s">
        <v>62</v>
      </c>
      <c r="S375" s="516" t="s">
        <v>548</v>
      </c>
      <c r="T375" s="516"/>
      <c r="U375" s="516" t="s">
        <v>874</v>
      </c>
      <c r="V375" s="538" t="s">
        <v>285</v>
      </c>
      <c r="W375" s="541" t="s">
        <v>2550</v>
      </c>
      <c r="X375" s="516" t="s">
        <v>876</v>
      </c>
      <c r="Y375" s="542">
        <v>25965</v>
      </c>
      <c r="Z375" s="543">
        <f t="shared" ca="1" si="7"/>
        <v>54</v>
      </c>
      <c r="AA375" s="534" t="s">
        <v>2551</v>
      </c>
      <c r="AB375" s="516" t="s">
        <v>2552</v>
      </c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2004</v>
      </c>
      <c r="AH375" s="516"/>
      <c r="AI375" s="516"/>
      <c r="AJ375" s="565" t="s">
        <v>1087</v>
      </c>
      <c r="AK375" s="516"/>
      <c r="AL375" s="544"/>
      <c r="AM375" s="544"/>
    </row>
    <row r="376" spans="1:39" ht="18" customHeight="1">
      <c r="C376" s="516">
        <v>355</v>
      </c>
      <c r="D376" s="516" t="s">
        <v>2553</v>
      </c>
      <c r="E376" s="516">
        <f t="shared" si="9"/>
        <v>339</v>
      </c>
      <c r="F376" s="534" t="s">
        <v>981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201</v>
      </c>
      <c r="W376" s="541" t="s">
        <v>2554</v>
      </c>
      <c r="X376" s="516" t="s">
        <v>876</v>
      </c>
      <c r="Y376" s="542">
        <v>21961</v>
      </c>
      <c r="Z376" s="543">
        <f t="shared" ca="1" si="7"/>
        <v>65</v>
      </c>
      <c r="AA376" s="534" t="s">
        <v>1591</v>
      </c>
      <c r="AB376" s="516" t="s">
        <v>2555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1352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356</v>
      </c>
      <c r="D377" s="516" t="s">
        <v>2556</v>
      </c>
      <c r="E377" s="516">
        <f t="shared" si="9"/>
        <v>340</v>
      </c>
      <c r="F377" s="534" t="s">
        <v>981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222</v>
      </c>
      <c r="W377" s="541" t="s">
        <v>2557</v>
      </c>
      <c r="X377" s="516" t="s">
        <v>876</v>
      </c>
      <c r="Y377" s="542">
        <v>22297</v>
      </c>
      <c r="Z377" s="543">
        <f t="shared" ca="1" si="7"/>
        <v>65</v>
      </c>
      <c r="AA377" s="534" t="s">
        <v>2558</v>
      </c>
      <c r="AB377" s="516" t="s">
        <v>2559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2560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357</v>
      </c>
      <c r="D378" s="516" t="s">
        <v>2561</v>
      </c>
      <c r="E378" s="516">
        <f t="shared" si="9"/>
        <v>341</v>
      </c>
      <c r="F378" s="534" t="s">
        <v>981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259</v>
      </c>
      <c r="W378" s="541" t="s">
        <v>2562</v>
      </c>
      <c r="X378" s="516" t="s">
        <v>876</v>
      </c>
      <c r="Y378" s="542">
        <v>25568</v>
      </c>
      <c r="Z378" s="543">
        <f t="shared" ca="1" si="7"/>
        <v>56</v>
      </c>
      <c r="AA378" s="534" t="s">
        <v>2563</v>
      </c>
      <c r="AB378" s="516" t="s">
        <v>2564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2306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2565</v>
      </c>
      <c r="E379" s="516">
        <f t="shared" si="9"/>
        <v>342</v>
      </c>
      <c r="F379" s="534" t="s">
        <v>981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274</v>
      </c>
      <c r="W379" s="541" t="s">
        <v>2566</v>
      </c>
      <c r="X379" s="516" t="s">
        <v>876</v>
      </c>
      <c r="Y379" s="542">
        <v>25925</v>
      </c>
      <c r="Z379" s="543">
        <f t="shared" ca="1" si="7"/>
        <v>55</v>
      </c>
      <c r="AA379" s="534" t="s">
        <v>2567</v>
      </c>
      <c r="AB379" s="516" t="s">
        <v>2568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2569</v>
      </c>
      <c r="E380" s="516">
        <f t="shared" si="9"/>
        <v>343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2570</v>
      </c>
      <c r="W380" s="541" t="s">
        <v>2571</v>
      </c>
      <c r="X380" s="516" t="s">
        <v>876</v>
      </c>
      <c r="Y380" s="542">
        <v>26507</v>
      </c>
      <c r="Z380" s="543">
        <f t="shared" ca="1" si="7"/>
        <v>53</v>
      </c>
      <c r="AA380" s="534" t="s">
        <v>2572</v>
      </c>
      <c r="AB380" s="571"/>
      <c r="AC380" s="516" t="s">
        <v>842</v>
      </c>
      <c r="AD380" s="516" t="s">
        <v>843</v>
      </c>
      <c r="AE380" s="534" t="s">
        <v>1289</v>
      </c>
      <c r="AF380" s="534" t="s">
        <v>1289</v>
      </c>
      <c r="AG380" s="534" t="s">
        <v>2573</v>
      </c>
      <c r="AH380" s="516"/>
      <c r="AI380" s="516" t="s">
        <v>1840</v>
      </c>
      <c r="AJ380" s="565" t="s">
        <v>1087</v>
      </c>
      <c r="AK380" s="516" t="s">
        <v>860</v>
      </c>
      <c r="AL380" s="544"/>
      <c r="AM380" s="544"/>
    </row>
    <row r="381" spans="1:39" ht="18" customHeight="1">
      <c r="C381" s="516">
        <v>360</v>
      </c>
      <c r="D381" s="516" t="s">
        <v>2574</v>
      </c>
      <c r="E381" s="516">
        <f t="shared" si="9"/>
        <v>344</v>
      </c>
      <c r="F381" s="534" t="s">
        <v>981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298</v>
      </c>
      <c r="W381" s="541" t="s">
        <v>2575</v>
      </c>
      <c r="X381" s="516" t="s">
        <v>876</v>
      </c>
      <c r="Y381" s="542">
        <v>29212</v>
      </c>
      <c r="Z381" s="543">
        <f t="shared" ca="1" si="7"/>
        <v>46</v>
      </c>
      <c r="AA381" s="534" t="s">
        <v>2576</v>
      </c>
      <c r="AB381" s="516" t="s">
        <v>2577</v>
      </c>
      <c r="AC381" s="516" t="s">
        <v>842</v>
      </c>
      <c r="AD381" s="516" t="s">
        <v>851</v>
      </c>
      <c r="AE381" s="534" t="s">
        <v>815</v>
      </c>
      <c r="AF381" s="534" t="s">
        <v>2578</v>
      </c>
      <c r="AG381" s="534" t="s">
        <v>2579</v>
      </c>
      <c r="AH381" s="516"/>
      <c r="AI381" s="516"/>
      <c r="AJ381" s="565" t="s">
        <v>1087</v>
      </c>
      <c r="AK381" s="516"/>
      <c r="AL381" s="544"/>
      <c r="AM381" s="544"/>
    </row>
    <row r="382" spans="1:39" ht="18" customHeight="1">
      <c r="C382" s="516">
        <v>361</v>
      </c>
      <c r="D382" s="516" t="s">
        <v>2580</v>
      </c>
      <c r="E382" s="516">
        <f t="shared" si="9"/>
        <v>345</v>
      </c>
      <c r="F382" s="534" t="s">
        <v>981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59" t="s">
        <v>978</v>
      </c>
      <c r="Q382" s="539" t="s">
        <v>308</v>
      </c>
      <c r="R382" s="516"/>
      <c r="S382" s="516"/>
      <c r="T382" s="516"/>
      <c r="U382" s="516" t="s">
        <v>874</v>
      </c>
      <c r="V382" s="559" t="s">
        <v>302</v>
      </c>
      <c r="W382" s="541" t="s">
        <v>2581</v>
      </c>
      <c r="X382" s="516" t="s">
        <v>876</v>
      </c>
      <c r="Y382" s="542">
        <v>31483</v>
      </c>
      <c r="Z382" s="543">
        <f t="shared" ca="1" si="7"/>
        <v>39</v>
      </c>
      <c r="AA382" s="534" t="s">
        <v>2582</v>
      </c>
      <c r="AB382" s="516" t="s">
        <v>2583</v>
      </c>
      <c r="AC382" s="516" t="s">
        <v>842</v>
      </c>
      <c r="AD382" s="516" t="s">
        <v>851</v>
      </c>
      <c r="AE382" s="534" t="s">
        <v>815</v>
      </c>
      <c r="AF382" s="606" t="s">
        <v>815</v>
      </c>
      <c r="AG382" s="534" t="s">
        <v>2301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362</v>
      </c>
      <c r="D383" s="516" t="s">
        <v>1144</v>
      </c>
      <c r="E383" s="516">
        <f t="shared" si="9"/>
        <v>345</v>
      </c>
      <c r="F383" s="534"/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 t="s">
        <v>786</v>
      </c>
      <c r="N383" s="537"/>
      <c r="O383" s="537"/>
      <c r="P383" s="548" t="s">
        <v>787</v>
      </c>
      <c r="Q383" s="539"/>
      <c r="R383" s="516" t="s">
        <v>163</v>
      </c>
      <c r="S383" s="516" t="s">
        <v>1145</v>
      </c>
      <c r="T383" s="516" t="s">
        <v>49</v>
      </c>
      <c r="U383" s="516"/>
      <c r="V383" s="548" t="s">
        <v>107</v>
      </c>
      <c r="W383" s="541" t="s">
        <v>1146</v>
      </c>
      <c r="X383" s="516" t="s">
        <v>876</v>
      </c>
      <c r="Y383" s="534"/>
      <c r="Z383" s="534"/>
      <c r="AA383" s="534"/>
      <c r="AB383" s="516"/>
      <c r="AC383" s="516"/>
      <c r="AD383" s="516"/>
      <c r="AE383" s="516"/>
      <c r="AF383" s="516"/>
      <c r="AG383" s="516"/>
      <c r="AH383" s="516" t="s">
        <v>872</v>
      </c>
      <c r="AI383" s="516"/>
      <c r="AJ383" s="516"/>
      <c r="AK383" s="516"/>
      <c r="AL383" s="544"/>
      <c r="AM383" s="544"/>
    </row>
    <row r="384" spans="1:39" ht="18" customHeight="1">
      <c r="C384" s="516">
        <v>363</v>
      </c>
      <c r="D384" s="516" t="s">
        <v>2585</v>
      </c>
      <c r="E384" s="516">
        <f t="shared" si="9"/>
        <v>346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2586</v>
      </c>
      <c r="W384" s="541" t="s">
        <v>2587</v>
      </c>
      <c r="X384" s="516" t="s">
        <v>876</v>
      </c>
      <c r="Y384" s="542">
        <v>35049</v>
      </c>
      <c r="Z384" s="543">
        <f t="shared" ref="Z384:Z574" ca="1" si="10">DATEDIF(Y384,TODAY(),"Y")</f>
        <v>30</v>
      </c>
      <c r="AA384" s="534"/>
      <c r="AB384" s="516"/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2317</v>
      </c>
      <c r="AH384" s="516"/>
      <c r="AI384" s="516" t="s">
        <v>2443</v>
      </c>
      <c r="AJ384" s="516"/>
      <c r="AK384" s="516"/>
      <c r="AL384" s="544"/>
      <c r="AM384" s="544"/>
    </row>
    <row r="385" spans="3:39" ht="18" customHeight="1">
      <c r="C385" s="516">
        <v>364</v>
      </c>
      <c r="D385" s="516" t="s">
        <v>2588</v>
      </c>
      <c r="E385" s="516">
        <f t="shared" si="9"/>
        <v>347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874</v>
      </c>
      <c r="V385" s="538" t="s">
        <v>2589</v>
      </c>
      <c r="W385" s="541" t="s">
        <v>2590</v>
      </c>
      <c r="X385" s="516" t="s">
        <v>876</v>
      </c>
      <c r="Y385" s="542">
        <v>29815</v>
      </c>
      <c r="Z385" s="543">
        <f t="shared" ca="1" si="10"/>
        <v>44</v>
      </c>
      <c r="AA385" s="534" t="s">
        <v>2591</v>
      </c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2592</v>
      </c>
      <c r="AH385" s="516"/>
      <c r="AI385" s="516" t="s">
        <v>2593</v>
      </c>
      <c r="AJ385" s="516"/>
      <c r="AK385" s="516"/>
      <c r="AL385" s="544"/>
      <c r="AM385" s="544"/>
    </row>
    <row r="386" spans="3:39" ht="18" customHeight="1">
      <c r="C386" s="516">
        <v>365</v>
      </c>
      <c r="D386" s="516" t="s">
        <v>2594</v>
      </c>
      <c r="E386" s="516">
        <f t="shared" si="9"/>
        <v>348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59" t="s">
        <v>787</v>
      </c>
      <c r="Q386" s="539"/>
      <c r="R386" s="516"/>
      <c r="S386" s="516"/>
      <c r="T386" s="516"/>
      <c r="U386" s="516" t="s">
        <v>788</v>
      </c>
      <c r="V386" s="559" t="s">
        <v>2595</v>
      </c>
      <c r="W386" s="541" t="s">
        <v>2596</v>
      </c>
      <c r="X386" s="516" t="s">
        <v>876</v>
      </c>
      <c r="Y386" s="542">
        <v>38225</v>
      </c>
      <c r="Z386" s="543">
        <f t="shared" ca="1" si="10"/>
        <v>21</v>
      </c>
      <c r="AA386" s="534" t="s">
        <v>2597</v>
      </c>
      <c r="AB386" s="516"/>
      <c r="AC386" s="516" t="s">
        <v>842</v>
      </c>
      <c r="AD386" s="516" t="s">
        <v>843</v>
      </c>
      <c r="AE386" s="534" t="s">
        <v>815</v>
      </c>
      <c r="AF386" s="534" t="s">
        <v>815</v>
      </c>
      <c r="AG386" s="534" t="s">
        <v>2598</v>
      </c>
      <c r="AH386" s="516"/>
      <c r="AI386" s="538"/>
      <c r="AJ386" s="516" t="s">
        <v>903</v>
      </c>
      <c r="AK386" s="516"/>
      <c r="AL386" s="544"/>
      <c r="AM386" s="544"/>
    </row>
    <row r="387" spans="3:39" ht="18" customHeight="1">
      <c r="C387" s="516">
        <v>366</v>
      </c>
      <c r="D387" s="516" t="s">
        <v>2599</v>
      </c>
      <c r="E387" s="516">
        <f t="shared" si="9"/>
        <v>349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48" t="s">
        <v>828</v>
      </c>
      <c r="Q387" s="539"/>
      <c r="R387" s="516" t="s">
        <v>49</v>
      </c>
      <c r="S387" s="516" t="s">
        <v>168</v>
      </c>
      <c r="T387" s="516"/>
      <c r="U387" s="516" t="s">
        <v>788</v>
      </c>
      <c r="V387" s="548" t="s">
        <v>327</v>
      </c>
      <c r="W387" s="541" t="s">
        <v>2602</v>
      </c>
      <c r="X387" s="516" t="s">
        <v>790</v>
      </c>
      <c r="Y387" s="542">
        <v>37769</v>
      </c>
      <c r="Z387" s="543">
        <f t="shared" ca="1" si="10"/>
        <v>22</v>
      </c>
      <c r="AA387" s="534" t="s">
        <v>2603</v>
      </c>
      <c r="AB387" s="516" t="s">
        <v>2604</v>
      </c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1352</v>
      </c>
      <c r="AH387" s="516"/>
      <c r="AI387" s="516"/>
      <c r="AJ387" s="516" t="s">
        <v>844</v>
      </c>
      <c r="AK387" s="516"/>
      <c r="AL387" s="544"/>
      <c r="AM387" s="544"/>
    </row>
    <row r="388" spans="3:39" ht="18" customHeight="1">
      <c r="C388" s="516">
        <v>367</v>
      </c>
      <c r="D388" s="516" t="s">
        <v>2600</v>
      </c>
      <c r="E388" s="516">
        <f t="shared" si="9"/>
        <v>350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 t="s">
        <v>62</v>
      </c>
      <c r="S388" s="516" t="s">
        <v>548</v>
      </c>
      <c r="T388" s="516"/>
      <c r="U388" s="516" t="s">
        <v>788</v>
      </c>
      <c r="V388" s="538" t="s">
        <v>341</v>
      </c>
      <c r="W388" s="541" t="s">
        <v>2605</v>
      </c>
      <c r="X388" s="516" t="s">
        <v>876</v>
      </c>
      <c r="Y388" s="542">
        <v>37727</v>
      </c>
      <c r="Z388" s="543">
        <f t="shared" ca="1" si="10"/>
        <v>22</v>
      </c>
      <c r="AA388" s="534" t="s">
        <v>2606</v>
      </c>
      <c r="AB388" s="516" t="s">
        <v>2607</v>
      </c>
      <c r="AC388" s="516" t="s">
        <v>793</v>
      </c>
      <c r="AD388" s="516" t="s">
        <v>794</v>
      </c>
      <c r="AE388" s="534" t="s">
        <v>815</v>
      </c>
      <c r="AF388" s="534" t="s">
        <v>815</v>
      </c>
      <c r="AG388" s="534" t="s">
        <v>2004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368</v>
      </c>
      <c r="D389" s="516" t="s">
        <v>2601</v>
      </c>
      <c r="E389" s="516">
        <f t="shared" si="9"/>
        <v>351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2608</v>
      </c>
      <c r="W389" s="541" t="s">
        <v>2609</v>
      </c>
      <c r="X389" s="516" t="s">
        <v>790</v>
      </c>
      <c r="Y389" s="542">
        <v>38733</v>
      </c>
      <c r="Z389" s="543">
        <f t="shared" ca="1" si="10"/>
        <v>20</v>
      </c>
      <c r="AA389" s="534" t="s">
        <v>2610</v>
      </c>
      <c r="AB389" s="516" t="s">
        <v>2611</v>
      </c>
      <c r="AC389" s="516" t="s">
        <v>842</v>
      </c>
      <c r="AD389" s="516" t="s">
        <v>794</v>
      </c>
      <c r="AE389" s="534" t="s">
        <v>815</v>
      </c>
      <c r="AF389" s="534" t="s">
        <v>1400</v>
      </c>
      <c r="AG389" s="534"/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369</v>
      </c>
      <c r="D390" s="516" t="s">
        <v>2612</v>
      </c>
      <c r="E390" s="516">
        <f t="shared" si="9"/>
        <v>352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/>
      <c r="S390" s="516"/>
      <c r="T390" s="516"/>
      <c r="U390" s="516" t="s">
        <v>788</v>
      </c>
      <c r="V390" s="538" t="s">
        <v>368</v>
      </c>
      <c r="W390" s="541" t="s">
        <v>2613</v>
      </c>
      <c r="X390" s="516" t="s">
        <v>790</v>
      </c>
      <c r="Y390" s="542">
        <v>36875</v>
      </c>
      <c r="Z390" s="543">
        <f t="shared" ca="1" si="10"/>
        <v>25</v>
      </c>
      <c r="AA390" s="594" t="s">
        <v>2614</v>
      </c>
      <c r="AB390" s="516" t="s">
        <v>2615</v>
      </c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2317</v>
      </c>
      <c r="AH390" s="516"/>
      <c r="AI390" s="516"/>
      <c r="AJ390" s="516"/>
      <c r="AK390" s="516"/>
      <c r="AL390" s="544"/>
      <c r="AM390" s="544"/>
    </row>
    <row r="391" spans="3:39" ht="18" customHeight="1">
      <c r="C391" s="516">
        <v>370</v>
      </c>
      <c r="D391" s="516" t="s">
        <v>2616</v>
      </c>
      <c r="E391" s="516">
        <f t="shared" si="9"/>
        <v>353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381</v>
      </c>
      <c r="W391" s="541" t="s">
        <v>2617</v>
      </c>
      <c r="X391" s="516" t="s">
        <v>790</v>
      </c>
      <c r="Y391" s="542">
        <v>36083</v>
      </c>
      <c r="Z391" s="543">
        <f t="shared" ca="1" si="10"/>
        <v>27</v>
      </c>
      <c r="AA391" s="534" t="s">
        <v>2618</v>
      </c>
      <c r="AB391" s="516" t="s">
        <v>2619</v>
      </c>
      <c r="AC391" s="516" t="s">
        <v>793</v>
      </c>
      <c r="AD391" s="516" t="s">
        <v>794</v>
      </c>
      <c r="AE391" s="534" t="s">
        <v>815</v>
      </c>
      <c r="AF391" s="534" t="s">
        <v>1267</v>
      </c>
      <c r="AG391" s="534" t="s">
        <v>1268</v>
      </c>
      <c r="AH391" s="516"/>
      <c r="AI391" s="516"/>
      <c r="AJ391" s="516" t="s">
        <v>832</v>
      </c>
      <c r="AK391" s="516"/>
      <c r="AL391" s="544"/>
      <c r="AM391" s="544"/>
    </row>
    <row r="392" spans="3:39" ht="18" customHeight="1">
      <c r="C392" s="516">
        <v>371</v>
      </c>
      <c r="D392" s="516" t="s">
        <v>2620</v>
      </c>
      <c r="E392" s="516">
        <f t="shared" si="9"/>
        <v>354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393</v>
      </c>
      <c r="W392" s="541" t="s">
        <v>2621</v>
      </c>
      <c r="X392" s="516" t="s">
        <v>876</v>
      </c>
      <c r="Y392" s="542">
        <v>37305</v>
      </c>
      <c r="Z392" s="543">
        <f t="shared" ca="1" si="10"/>
        <v>23</v>
      </c>
      <c r="AA392" s="534" t="s">
        <v>2622</v>
      </c>
      <c r="AB392" s="516" t="s">
        <v>2623</v>
      </c>
      <c r="AC392" s="516" t="s">
        <v>793</v>
      </c>
      <c r="AD392" s="516" t="s">
        <v>794</v>
      </c>
      <c r="AE392" s="534" t="s">
        <v>815</v>
      </c>
      <c r="AF392" s="534" t="s">
        <v>2624</v>
      </c>
      <c r="AG392" s="534" t="s">
        <v>2625</v>
      </c>
      <c r="AH392" s="516"/>
      <c r="AI392" s="516"/>
      <c r="AJ392" s="516" t="s">
        <v>867</v>
      </c>
      <c r="AK392" s="516"/>
      <c r="AL392" s="544"/>
      <c r="AM392" s="544"/>
    </row>
    <row r="393" spans="3:39" ht="18" customHeight="1">
      <c r="C393" s="516">
        <v>372</v>
      </c>
      <c r="D393" s="516" t="s">
        <v>2626</v>
      </c>
      <c r="E393" s="516">
        <f t="shared" si="9"/>
        <v>355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405</v>
      </c>
      <c r="W393" s="541" t="s">
        <v>2627</v>
      </c>
      <c r="X393" s="516" t="s">
        <v>876</v>
      </c>
      <c r="Y393" s="542">
        <v>37780</v>
      </c>
      <c r="Z393" s="543">
        <f t="shared" ca="1" si="10"/>
        <v>22</v>
      </c>
      <c r="AA393" s="534" t="s">
        <v>2628</v>
      </c>
      <c r="AB393" s="516" t="s">
        <v>2629</v>
      </c>
      <c r="AC393" s="516" t="s">
        <v>842</v>
      </c>
      <c r="AD393" s="516" t="s">
        <v>794</v>
      </c>
      <c r="AE393" s="534" t="s">
        <v>815</v>
      </c>
      <c r="AF393" s="534" t="s">
        <v>815</v>
      </c>
      <c r="AG393" s="534" t="s">
        <v>2630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373</v>
      </c>
      <c r="D394" s="516" t="s">
        <v>2631</v>
      </c>
      <c r="E394" s="516">
        <f t="shared" si="9"/>
        <v>356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1886</v>
      </c>
      <c r="V394" s="538" t="s">
        <v>2632</v>
      </c>
      <c r="W394" s="541" t="s">
        <v>2633</v>
      </c>
      <c r="X394" s="516" t="s">
        <v>790</v>
      </c>
      <c r="Y394" s="542">
        <v>39172</v>
      </c>
      <c r="Z394" s="543">
        <f t="shared" ca="1" si="10"/>
        <v>18</v>
      </c>
      <c r="AA394" s="534" t="s">
        <v>2634</v>
      </c>
      <c r="AB394" s="516" t="s">
        <v>2635</v>
      </c>
      <c r="AC394" s="516" t="s">
        <v>842</v>
      </c>
      <c r="AD394" s="516" t="s">
        <v>851</v>
      </c>
      <c r="AE394" s="534" t="s">
        <v>815</v>
      </c>
      <c r="AF394" s="534" t="s">
        <v>815</v>
      </c>
      <c r="AG394" s="534" t="s">
        <v>2636</v>
      </c>
      <c r="AH394" s="516"/>
      <c r="AI394" s="516"/>
      <c r="AJ394" s="516" t="s">
        <v>903</v>
      </c>
      <c r="AK394" s="516"/>
      <c r="AL394" s="544"/>
      <c r="AM394" s="544"/>
    </row>
    <row r="395" spans="3:39" ht="18" customHeight="1">
      <c r="C395" s="516">
        <v>374</v>
      </c>
      <c r="D395" s="516" t="s">
        <v>2637</v>
      </c>
      <c r="E395" s="516">
        <f t="shared" si="9"/>
        <v>357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 t="s">
        <v>308</v>
      </c>
      <c r="R395" s="516"/>
      <c r="S395" s="516"/>
      <c r="T395" s="516"/>
      <c r="U395" s="516" t="s">
        <v>788</v>
      </c>
      <c r="V395" s="538" t="s">
        <v>420</v>
      </c>
      <c r="W395" s="541" t="s">
        <v>2638</v>
      </c>
      <c r="X395" s="516" t="s">
        <v>790</v>
      </c>
      <c r="Y395" s="542">
        <v>38008</v>
      </c>
      <c r="Z395" s="543">
        <f t="shared" ca="1" si="10"/>
        <v>22</v>
      </c>
      <c r="AA395" s="534" t="s">
        <v>2639</v>
      </c>
      <c r="AB395" s="516" t="s">
        <v>2640</v>
      </c>
      <c r="AC395" s="516" t="s">
        <v>842</v>
      </c>
      <c r="AD395" s="516" t="s">
        <v>843</v>
      </c>
      <c r="AE395" s="534" t="s">
        <v>815</v>
      </c>
      <c r="AF395" s="606" t="s">
        <v>815</v>
      </c>
      <c r="AG395" s="534" t="s">
        <v>2641</v>
      </c>
      <c r="AH395" s="516"/>
      <c r="AI395" s="516"/>
      <c r="AJ395" s="593" t="s">
        <v>1604</v>
      </c>
      <c r="AK395" s="516"/>
      <c r="AL395" s="544"/>
      <c r="AM395" s="544"/>
    </row>
    <row r="396" spans="3:39" ht="18" customHeight="1">
      <c r="C396" s="516">
        <v>375</v>
      </c>
      <c r="D396" s="516" t="s">
        <v>2642</v>
      </c>
      <c r="E396" s="516">
        <f t="shared" si="9"/>
        <v>358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428</v>
      </c>
      <c r="W396" s="541" t="s">
        <v>2643</v>
      </c>
      <c r="X396" s="516" t="s">
        <v>790</v>
      </c>
      <c r="Y396" s="542">
        <v>37580</v>
      </c>
      <c r="Z396" s="543">
        <f t="shared" ca="1" si="10"/>
        <v>23</v>
      </c>
      <c r="AA396" s="534" t="s">
        <v>2644</v>
      </c>
      <c r="AB396" s="516" t="s">
        <v>2645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376</v>
      </c>
      <c r="D397" s="516" t="s">
        <v>2646</v>
      </c>
      <c r="E397" s="516">
        <f t="shared" si="9"/>
        <v>359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432</v>
      </c>
      <c r="W397" s="541" t="s">
        <v>2647</v>
      </c>
      <c r="X397" s="516" t="s">
        <v>790</v>
      </c>
      <c r="Y397" s="542">
        <v>37196</v>
      </c>
      <c r="Z397" s="543">
        <f t="shared" ca="1" si="10"/>
        <v>24</v>
      </c>
      <c r="AA397" s="534" t="s">
        <v>2648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377</v>
      </c>
      <c r="D398" s="516" t="s">
        <v>2649</v>
      </c>
      <c r="E398" s="516">
        <f t="shared" si="9"/>
        <v>360</v>
      </c>
      <c r="F398" s="534" t="s">
        <v>1310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1886</v>
      </c>
      <c r="V398" s="538" t="s">
        <v>434</v>
      </c>
      <c r="W398" s="541" t="s">
        <v>2650</v>
      </c>
      <c r="X398" s="516" t="s">
        <v>790</v>
      </c>
      <c r="Y398" s="542">
        <v>39093</v>
      </c>
      <c r="Z398" s="543">
        <f t="shared" ca="1" si="10"/>
        <v>19</v>
      </c>
      <c r="AA398" s="534" t="s">
        <v>2651</v>
      </c>
      <c r="AB398" s="516" t="s">
        <v>2652</v>
      </c>
      <c r="AC398" s="516" t="s">
        <v>842</v>
      </c>
      <c r="AD398" s="516" t="s">
        <v>843</v>
      </c>
      <c r="AE398" s="534" t="s">
        <v>713</v>
      </c>
      <c r="AF398" s="534" t="s">
        <v>713</v>
      </c>
      <c r="AG398" s="534" t="s">
        <v>1570</v>
      </c>
      <c r="AH398" s="516"/>
      <c r="AI398" s="516"/>
      <c r="AJ398" s="516" t="s">
        <v>1497</v>
      </c>
      <c r="AK398" s="516"/>
      <c r="AL398" s="544"/>
      <c r="AM398" s="544"/>
    </row>
    <row r="399" spans="3:39" ht="18" customHeight="1">
      <c r="C399" s="516">
        <v>378</v>
      </c>
      <c r="D399" s="516" t="s">
        <v>2653</v>
      </c>
      <c r="E399" s="516">
        <f t="shared" si="9"/>
        <v>361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436</v>
      </c>
      <c r="W399" s="541" t="s">
        <v>2654</v>
      </c>
      <c r="X399" s="516" t="s">
        <v>790</v>
      </c>
      <c r="Y399" s="542">
        <v>40221</v>
      </c>
      <c r="Z399" s="543">
        <f t="shared" ca="1" si="10"/>
        <v>15</v>
      </c>
      <c r="AA399" s="534" t="s">
        <v>2655</v>
      </c>
      <c r="AB399" s="516" t="s">
        <v>2656</v>
      </c>
      <c r="AC399" s="516" t="s">
        <v>842</v>
      </c>
      <c r="AD399" s="516" t="s">
        <v>843</v>
      </c>
      <c r="AE399" s="534" t="s">
        <v>809</v>
      </c>
      <c r="AF399" s="534" t="s">
        <v>809</v>
      </c>
      <c r="AG399" s="534" t="s">
        <v>2085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379</v>
      </c>
      <c r="D400" s="516" t="s">
        <v>2657</v>
      </c>
      <c r="E400" s="516">
        <f t="shared" si="9"/>
        <v>362</v>
      </c>
      <c r="F400" s="534" t="s">
        <v>981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438</v>
      </c>
      <c r="W400" s="541" t="s">
        <v>2658</v>
      </c>
      <c r="X400" s="516" t="s">
        <v>790</v>
      </c>
      <c r="Y400" s="542">
        <v>36480</v>
      </c>
      <c r="Z400" s="543">
        <f t="shared" ca="1" si="10"/>
        <v>26</v>
      </c>
      <c r="AA400" s="534" t="s">
        <v>2659</v>
      </c>
      <c r="AB400" s="516" t="s">
        <v>2660</v>
      </c>
      <c r="AC400" s="516" t="s">
        <v>842</v>
      </c>
      <c r="AD400" s="516" t="s">
        <v>851</v>
      </c>
      <c r="AE400" s="534" t="s">
        <v>815</v>
      </c>
      <c r="AF400" s="534" t="s">
        <v>1552</v>
      </c>
      <c r="AG400" s="534" t="s">
        <v>2661</v>
      </c>
      <c r="AH400" s="516"/>
      <c r="AI400" s="516"/>
      <c r="AJ400" s="516" t="s">
        <v>867</v>
      </c>
      <c r="AK400" s="516"/>
      <c r="AL400" s="544"/>
      <c r="AM400" s="544"/>
    </row>
    <row r="401" spans="3:39" ht="18" customHeight="1">
      <c r="C401" s="516">
        <v>380</v>
      </c>
      <c r="D401" s="516" t="s">
        <v>2662</v>
      </c>
      <c r="E401" s="516">
        <f t="shared" si="9"/>
        <v>363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2663</v>
      </c>
      <c r="W401" s="541" t="s">
        <v>2664</v>
      </c>
      <c r="X401" s="516" t="s">
        <v>790</v>
      </c>
      <c r="Y401" s="542">
        <v>31601</v>
      </c>
      <c r="Z401" s="543">
        <f t="shared" ca="1" si="10"/>
        <v>39</v>
      </c>
      <c r="AA401" s="534" t="s">
        <v>2665</v>
      </c>
      <c r="AB401" s="616"/>
      <c r="AC401" s="516" t="s">
        <v>842</v>
      </c>
      <c r="AD401" s="516" t="s">
        <v>843</v>
      </c>
      <c r="AE401" s="534" t="s">
        <v>815</v>
      </c>
      <c r="AF401" s="534" t="s">
        <v>815</v>
      </c>
      <c r="AG401" s="534" t="s">
        <v>2306</v>
      </c>
      <c r="AH401" s="516"/>
      <c r="AI401" s="516" t="s">
        <v>2666</v>
      </c>
      <c r="AJ401" s="516" t="s">
        <v>867</v>
      </c>
      <c r="AK401" s="516"/>
      <c r="AL401" s="544"/>
      <c r="AM401" s="544"/>
    </row>
    <row r="402" spans="3:39" ht="18" customHeight="1">
      <c r="C402" s="516">
        <v>381</v>
      </c>
      <c r="D402" s="516" t="s">
        <v>2667</v>
      </c>
      <c r="E402" s="516">
        <f t="shared" si="9"/>
        <v>364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2668</v>
      </c>
      <c r="W402" s="541" t="s">
        <v>2669</v>
      </c>
      <c r="X402" s="516" t="s">
        <v>876</v>
      </c>
      <c r="Y402" s="542">
        <v>37074</v>
      </c>
      <c r="Z402" s="543">
        <f t="shared" ca="1" si="10"/>
        <v>24</v>
      </c>
      <c r="AA402" s="534" t="s">
        <v>2670</v>
      </c>
      <c r="AB402" s="516" t="s">
        <v>2671</v>
      </c>
      <c r="AC402" s="516" t="s">
        <v>842</v>
      </c>
      <c r="AD402" s="516" t="s">
        <v>843</v>
      </c>
      <c r="AE402" s="534" t="s">
        <v>1256</v>
      </c>
      <c r="AF402" s="534" t="s">
        <v>1256</v>
      </c>
      <c r="AG402" s="534" t="s">
        <v>1257</v>
      </c>
      <c r="AH402" s="516"/>
      <c r="AI402" s="516" t="s">
        <v>2672</v>
      </c>
      <c r="AJ402" s="516" t="s">
        <v>867</v>
      </c>
      <c r="AK402" s="516"/>
      <c r="AL402" s="544"/>
      <c r="AM402" s="544"/>
    </row>
    <row r="403" spans="3:39" ht="18" customHeight="1">
      <c r="C403" s="516">
        <v>382</v>
      </c>
      <c r="D403" s="516" t="s">
        <v>2673</v>
      </c>
      <c r="E403" s="516">
        <f t="shared" si="9"/>
        <v>365</v>
      </c>
      <c r="F403" s="534" t="s">
        <v>1822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2674</v>
      </c>
      <c r="W403" s="541" t="s">
        <v>2675</v>
      </c>
      <c r="X403" s="516" t="s">
        <v>790</v>
      </c>
      <c r="Y403" s="542">
        <v>37324</v>
      </c>
      <c r="Z403" s="543">
        <f t="shared" ca="1" si="10"/>
        <v>23</v>
      </c>
      <c r="AA403" s="534" t="s">
        <v>2676</v>
      </c>
      <c r="AB403" s="571"/>
      <c r="AC403" s="516" t="s">
        <v>842</v>
      </c>
      <c r="AD403" s="516" t="s">
        <v>843</v>
      </c>
      <c r="AE403" s="534" t="s">
        <v>1868</v>
      </c>
      <c r="AF403" s="534" t="s">
        <v>1868</v>
      </c>
      <c r="AG403" s="534" t="s">
        <v>2677</v>
      </c>
      <c r="AH403" s="516"/>
      <c r="AI403" s="516" t="s">
        <v>2443</v>
      </c>
      <c r="AJ403" s="516" t="s">
        <v>867</v>
      </c>
      <c r="AK403" s="516" t="s">
        <v>1805</v>
      </c>
      <c r="AL403" s="544"/>
      <c r="AM403" s="544"/>
    </row>
    <row r="404" spans="3:39" ht="18" customHeight="1">
      <c r="C404" s="516">
        <v>383</v>
      </c>
      <c r="D404" s="516" t="s">
        <v>2678</v>
      </c>
      <c r="E404" s="516">
        <f t="shared" si="9"/>
        <v>366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2679</v>
      </c>
      <c r="W404" s="541" t="s">
        <v>2680</v>
      </c>
      <c r="X404" s="516" t="s">
        <v>876</v>
      </c>
      <c r="Y404" s="542">
        <v>37492</v>
      </c>
      <c r="Z404" s="543">
        <f t="shared" ca="1" si="10"/>
        <v>23</v>
      </c>
      <c r="AA404" s="534" t="s">
        <v>2681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384</v>
      </c>
      <c r="D405" s="516" t="s">
        <v>2682</v>
      </c>
      <c r="E405" s="516">
        <f t="shared" si="9"/>
        <v>367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59" t="s">
        <v>828</v>
      </c>
      <c r="Q405" s="539"/>
      <c r="R405" s="516"/>
      <c r="S405" s="516"/>
      <c r="T405" s="516"/>
      <c r="U405" s="516" t="s">
        <v>788</v>
      </c>
      <c r="V405" s="559" t="s">
        <v>2683</v>
      </c>
      <c r="W405" s="541" t="s">
        <v>2684</v>
      </c>
      <c r="X405" s="516" t="s">
        <v>790</v>
      </c>
      <c r="Y405" s="542">
        <v>37852</v>
      </c>
      <c r="Z405" s="543">
        <f t="shared" ca="1" si="10"/>
        <v>22</v>
      </c>
      <c r="AA405" s="534" t="s">
        <v>2685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72" t="s">
        <v>1284</v>
      </c>
      <c r="AL405" s="544"/>
      <c r="AM405" s="544"/>
    </row>
    <row r="406" spans="3:39" ht="18" customHeight="1">
      <c r="C406" s="516">
        <v>385</v>
      </c>
      <c r="D406" s="516" t="s">
        <v>2686</v>
      </c>
      <c r="E406" s="516">
        <f t="shared" si="9"/>
        <v>368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48" t="s">
        <v>938</v>
      </c>
      <c r="Q406" s="539"/>
      <c r="R406" s="516" t="s">
        <v>49</v>
      </c>
      <c r="S406" s="516" t="s">
        <v>168</v>
      </c>
      <c r="T406" s="516"/>
      <c r="U406" s="516" t="s">
        <v>788</v>
      </c>
      <c r="V406" s="548" t="s">
        <v>2689</v>
      </c>
      <c r="W406" s="541" t="s">
        <v>2690</v>
      </c>
      <c r="X406" s="516" t="s">
        <v>876</v>
      </c>
      <c r="Y406" s="542">
        <v>37703</v>
      </c>
      <c r="Z406" s="543">
        <f t="shared" ca="1" si="10"/>
        <v>22</v>
      </c>
      <c r="AA406" s="534" t="s">
        <v>2691</v>
      </c>
      <c r="AB406" s="516" t="s">
        <v>2692</v>
      </c>
      <c r="AC406" s="516" t="s">
        <v>842</v>
      </c>
      <c r="AD406" s="516" t="s">
        <v>851</v>
      </c>
      <c r="AE406" s="534" t="s">
        <v>815</v>
      </c>
      <c r="AF406" s="534" t="s">
        <v>1400</v>
      </c>
      <c r="AG406" s="534" t="s">
        <v>2693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386</v>
      </c>
      <c r="D407" s="516" t="s">
        <v>2687</v>
      </c>
      <c r="E407" s="516">
        <f t="shared" si="9"/>
        <v>369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 t="s">
        <v>548</v>
      </c>
      <c r="T407" s="516"/>
      <c r="U407" s="516" t="s">
        <v>1886</v>
      </c>
      <c r="V407" s="538" t="s">
        <v>2694</v>
      </c>
      <c r="W407" s="541" t="s">
        <v>2695</v>
      </c>
      <c r="X407" s="516" t="s">
        <v>876</v>
      </c>
      <c r="Y407" s="542">
        <v>39645</v>
      </c>
      <c r="Z407" s="543">
        <f t="shared" ca="1" si="10"/>
        <v>17</v>
      </c>
      <c r="AA407" s="534" t="s">
        <v>2696</v>
      </c>
      <c r="AB407" s="516" t="s">
        <v>2697</v>
      </c>
      <c r="AC407" s="516" t="s">
        <v>842</v>
      </c>
      <c r="AD407" s="516" t="s">
        <v>794</v>
      </c>
      <c r="AE407" s="534" t="s">
        <v>815</v>
      </c>
      <c r="AF407" s="534" t="s">
        <v>2698</v>
      </c>
      <c r="AG407" s="534"/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387</v>
      </c>
      <c r="D408" s="516" t="s">
        <v>2688</v>
      </c>
      <c r="E408" s="516">
        <f t="shared" si="9"/>
        <v>370</v>
      </c>
      <c r="F408" s="534" t="s">
        <v>811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 t="s">
        <v>308</v>
      </c>
      <c r="R408" s="516" t="s">
        <v>62</v>
      </c>
      <c r="S408" s="516" t="s">
        <v>548</v>
      </c>
      <c r="T408" s="516"/>
      <c r="U408" s="516" t="s">
        <v>788</v>
      </c>
      <c r="V408" s="538" t="s">
        <v>355</v>
      </c>
      <c r="W408" s="541" t="s">
        <v>2699</v>
      </c>
      <c r="X408" s="516" t="s">
        <v>876</v>
      </c>
      <c r="Y408" s="542">
        <v>37883</v>
      </c>
      <c r="Z408" s="543">
        <f t="shared" ca="1" si="10"/>
        <v>22</v>
      </c>
      <c r="AA408" s="534" t="s">
        <v>2700</v>
      </c>
      <c r="AB408" s="516" t="s">
        <v>2701</v>
      </c>
      <c r="AC408" s="516" t="s">
        <v>842</v>
      </c>
      <c r="AD408" s="516" t="s">
        <v>851</v>
      </c>
      <c r="AE408" s="534" t="s">
        <v>713</v>
      </c>
      <c r="AF408" s="566" t="s">
        <v>713</v>
      </c>
      <c r="AG408" s="534" t="s">
        <v>2297</v>
      </c>
      <c r="AH408" s="516"/>
      <c r="AI408" s="516"/>
      <c r="AJ408" s="516" t="s">
        <v>1497</v>
      </c>
      <c r="AK408" s="516"/>
      <c r="AL408" s="544"/>
      <c r="AM408" s="544"/>
    </row>
    <row r="409" spans="3:39" ht="18" customHeight="1">
      <c r="C409" s="516">
        <v>388</v>
      </c>
      <c r="D409" s="516" t="s">
        <v>2702</v>
      </c>
      <c r="E409" s="516">
        <f t="shared" si="9"/>
        <v>371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2703</v>
      </c>
      <c r="W409" s="541" t="s">
        <v>2704</v>
      </c>
      <c r="X409" s="516" t="s">
        <v>876</v>
      </c>
      <c r="Y409" s="542">
        <v>36932</v>
      </c>
      <c r="Z409" s="543">
        <f t="shared" ca="1" si="10"/>
        <v>24</v>
      </c>
      <c r="AA409" s="534"/>
      <c r="AB409" s="516" t="s">
        <v>2705</v>
      </c>
      <c r="AC409" s="516" t="s">
        <v>842</v>
      </c>
      <c r="AD409" s="516" t="s">
        <v>851</v>
      </c>
      <c r="AE409" s="534" t="s">
        <v>815</v>
      </c>
      <c r="AF409" s="534" t="s">
        <v>2706</v>
      </c>
      <c r="AG409" s="534" t="s">
        <v>2707</v>
      </c>
      <c r="AH409" s="516"/>
      <c r="AI409" s="516"/>
      <c r="AJ409" s="516" t="s">
        <v>832</v>
      </c>
      <c r="AK409" s="516"/>
      <c r="AL409" s="544"/>
      <c r="AM409" s="544"/>
    </row>
    <row r="410" spans="3:39" ht="18" customHeight="1">
      <c r="C410" s="516">
        <v>389</v>
      </c>
      <c r="D410" s="516" t="s">
        <v>2708</v>
      </c>
      <c r="E410" s="516">
        <f t="shared" si="9"/>
        <v>372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2709</v>
      </c>
      <c r="W410" s="541" t="s">
        <v>2710</v>
      </c>
      <c r="X410" s="516" t="s">
        <v>876</v>
      </c>
      <c r="Y410" s="542">
        <v>36693</v>
      </c>
      <c r="Z410" s="543">
        <f t="shared" ca="1" si="10"/>
        <v>25</v>
      </c>
      <c r="AA410" s="534" t="s">
        <v>2711</v>
      </c>
      <c r="AB410" s="516" t="s">
        <v>2712</v>
      </c>
      <c r="AC410" s="516" t="s">
        <v>842</v>
      </c>
      <c r="AD410" s="516" t="s">
        <v>843</v>
      </c>
      <c r="AE410" s="534" t="s">
        <v>815</v>
      </c>
      <c r="AF410" s="534" t="s">
        <v>1400</v>
      </c>
      <c r="AG410" s="534" t="s">
        <v>2713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390</v>
      </c>
      <c r="D411" s="516" t="s">
        <v>2714</v>
      </c>
      <c r="E411" s="516">
        <f t="shared" si="9"/>
        <v>373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10"/>
        <v>23</v>
      </c>
      <c r="AA411" s="534" t="s">
        <v>2717</v>
      </c>
      <c r="AB411" s="516" t="s">
        <v>2718</v>
      </c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391</v>
      </c>
      <c r="D412" s="516" t="s">
        <v>2719</v>
      </c>
      <c r="E412" s="516">
        <f t="shared" si="9"/>
        <v>374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10"/>
        <v>23</v>
      </c>
      <c r="AA412" s="534" t="s">
        <v>2722</v>
      </c>
      <c r="AB412" s="516" t="s">
        <v>2723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392</v>
      </c>
      <c r="D413" s="516" t="s">
        <v>2724</v>
      </c>
      <c r="E413" s="516">
        <f t="shared" si="9"/>
        <v>375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10"/>
        <v>20</v>
      </c>
      <c r="AA413" s="534" t="s">
        <v>2727</v>
      </c>
      <c r="AB413" s="516" t="s">
        <v>2728</v>
      </c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393</v>
      </c>
      <c r="D414" s="516" t="s">
        <v>2729</v>
      </c>
      <c r="E414" s="516">
        <f t="shared" si="9"/>
        <v>376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10"/>
        <v>23</v>
      </c>
      <c r="AA414" s="534" t="s">
        <v>2732</v>
      </c>
      <c r="AB414" s="516" t="s">
        <v>2733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394</v>
      </c>
      <c r="D415" s="516" t="s">
        <v>2735</v>
      </c>
      <c r="E415" s="516">
        <f t="shared" si="9"/>
        <v>377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10"/>
        <v>24</v>
      </c>
      <c r="AA415" s="534" t="s">
        <v>2737</v>
      </c>
      <c r="AB415" s="516" t="s">
        <v>2738</v>
      </c>
      <c r="AC415" s="516" t="s">
        <v>842</v>
      </c>
      <c r="AD415" s="516" t="s">
        <v>851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395</v>
      </c>
      <c r="D416" s="516" t="s">
        <v>2739</v>
      </c>
      <c r="E416" s="516">
        <f t="shared" si="9"/>
        <v>378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10"/>
        <v>17</v>
      </c>
      <c r="AA416" s="534" t="s">
        <v>2741</v>
      </c>
      <c r="AB416" s="516" t="s">
        <v>2742</v>
      </c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396</v>
      </c>
      <c r="D417" s="516" t="s">
        <v>2744</v>
      </c>
      <c r="E417" s="516">
        <f t="shared" si="9"/>
        <v>379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2745</v>
      </c>
      <c r="W417" s="541" t="s">
        <v>2746</v>
      </c>
      <c r="X417" s="516" t="s">
        <v>876</v>
      </c>
      <c r="Y417" s="542">
        <v>37308</v>
      </c>
      <c r="Z417" s="543">
        <f t="shared" ca="1" si="10"/>
        <v>23</v>
      </c>
      <c r="AA417" s="534" t="s">
        <v>2747</v>
      </c>
      <c r="AB417" s="516" t="s">
        <v>2748</v>
      </c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2750</v>
      </c>
      <c r="AJ417" s="516" t="s">
        <v>903</v>
      </c>
      <c r="AK417" s="516" t="s">
        <v>860</v>
      </c>
      <c r="AL417" s="544"/>
      <c r="AM417" s="544"/>
    </row>
    <row r="418" spans="3:39" ht="18" customHeight="1">
      <c r="C418" s="516">
        <v>397</v>
      </c>
      <c r="D418" s="516" t="s">
        <v>2751</v>
      </c>
      <c r="E418" s="516">
        <f t="shared" si="9"/>
        <v>380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2752</v>
      </c>
      <c r="W418" s="541" t="s">
        <v>2753</v>
      </c>
      <c r="X418" s="516" t="s">
        <v>876</v>
      </c>
      <c r="Y418" s="542">
        <v>37265</v>
      </c>
      <c r="Z418" s="543">
        <f t="shared" ca="1" si="10"/>
        <v>24</v>
      </c>
      <c r="AA418" s="534" t="s">
        <v>2754</v>
      </c>
      <c r="AB418" s="516" t="s">
        <v>2755</v>
      </c>
      <c r="AC418" s="516" t="s">
        <v>842</v>
      </c>
      <c r="AD418" s="516" t="s">
        <v>843</v>
      </c>
      <c r="AE418" s="534" t="s">
        <v>815</v>
      </c>
      <c r="AF418" s="534" t="s">
        <v>2756</v>
      </c>
      <c r="AG418" s="534" t="s">
        <v>2756</v>
      </c>
      <c r="AH418" s="516"/>
      <c r="AI418" s="516" t="s">
        <v>2443</v>
      </c>
      <c r="AJ418" s="516" t="s">
        <v>903</v>
      </c>
      <c r="AK418" s="516"/>
      <c r="AL418" s="544"/>
      <c r="AM418" s="544"/>
    </row>
    <row r="419" spans="3:39" ht="18" customHeight="1">
      <c r="C419" s="516">
        <v>398</v>
      </c>
      <c r="D419" s="516" t="s">
        <v>2757</v>
      </c>
      <c r="E419" s="516">
        <f t="shared" si="9"/>
        <v>381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2758</v>
      </c>
      <c r="W419" s="541" t="s">
        <v>2759</v>
      </c>
      <c r="X419" s="516" t="s">
        <v>876</v>
      </c>
      <c r="Y419" s="542">
        <v>38907</v>
      </c>
      <c r="Z419" s="543">
        <f t="shared" ca="1" si="10"/>
        <v>19</v>
      </c>
      <c r="AA419" s="534" t="s">
        <v>2760</v>
      </c>
      <c r="AB419" s="516" t="s">
        <v>2761</v>
      </c>
      <c r="AC419" s="516" t="s">
        <v>842</v>
      </c>
      <c r="AD419" s="516" t="s">
        <v>843</v>
      </c>
      <c r="AE419" s="534" t="s">
        <v>815</v>
      </c>
      <c r="AF419" s="534" t="s">
        <v>815</v>
      </c>
      <c r="AG419" s="534" t="s">
        <v>2762</v>
      </c>
      <c r="AH419" s="516"/>
      <c r="AI419" s="516" t="s">
        <v>1936</v>
      </c>
      <c r="AJ419" s="516" t="s">
        <v>903</v>
      </c>
      <c r="AK419" s="516"/>
      <c r="AL419" s="544"/>
      <c r="AM419" s="544"/>
    </row>
    <row r="420" spans="3:39" ht="18" customHeight="1">
      <c r="C420" s="516">
        <v>399</v>
      </c>
      <c r="D420" s="516" t="s">
        <v>2763</v>
      </c>
      <c r="E420" s="516">
        <f t="shared" si="9"/>
        <v>382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437</v>
      </c>
      <c r="W420" s="541" t="s">
        <v>2764</v>
      </c>
      <c r="X420" s="516" t="s">
        <v>876</v>
      </c>
      <c r="Y420" s="542" t="s">
        <v>2765</v>
      </c>
      <c r="Z420" s="543">
        <f t="shared" ca="1" si="10"/>
        <v>24</v>
      </c>
      <c r="AA420" s="534" t="s">
        <v>2766</v>
      </c>
      <c r="AB420" s="516" t="s">
        <v>2767</v>
      </c>
      <c r="AC420" s="516" t="s">
        <v>842</v>
      </c>
      <c r="AD420" s="516" t="s">
        <v>843</v>
      </c>
      <c r="AE420" s="534" t="s">
        <v>1256</v>
      </c>
      <c r="AF420" s="534" t="s">
        <v>1256</v>
      </c>
      <c r="AG420" s="534" t="s">
        <v>2768</v>
      </c>
      <c r="AH420" s="516"/>
      <c r="AI420" s="516" t="s">
        <v>2672</v>
      </c>
      <c r="AJ420" s="516" t="s">
        <v>976</v>
      </c>
      <c r="AK420" s="516"/>
      <c r="AL420" s="544"/>
      <c r="AM420" s="544"/>
    </row>
    <row r="421" spans="3:39" ht="18" customHeight="1">
      <c r="C421" s="516">
        <v>400</v>
      </c>
      <c r="D421" s="617" t="s">
        <v>2769</v>
      </c>
      <c r="E421" s="516">
        <f t="shared" si="9"/>
        <v>383</v>
      </c>
      <c r="F421" s="618" t="s">
        <v>981</v>
      </c>
      <c r="G421" s="618" t="s">
        <v>2584</v>
      </c>
      <c r="H421" s="619" t="s">
        <v>1144</v>
      </c>
      <c r="I421" s="619" t="s">
        <v>107</v>
      </c>
      <c r="J421" s="619" t="s">
        <v>1144</v>
      </c>
      <c r="K421" s="619" t="s">
        <v>2686</v>
      </c>
      <c r="L421" s="619" t="s">
        <v>2687</v>
      </c>
      <c r="M421" s="620" t="s">
        <v>2688</v>
      </c>
      <c r="N421" s="621"/>
      <c r="O421" s="621"/>
      <c r="P421" s="622" t="s">
        <v>938</v>
      </c>
      <c r="Q421" s="623"/>
      <c r="R421" s="617"/>
      <c r="S421" s="617"/>
      <c r="T421" s="617"/>
      <c r="U421" s="617" t="s">
        <v>874</v>
      </c>
      <c r="V421" s="622" t="s">
        <v>2770</v>
      </c>
      <c r="W421" s="624" t="s">
        <v>2771</v>
      </c>
      <c r="X421" s="617" t="s">
        <v>876</v>
      </c>
      <c r="Y421" s="625">
        <v>37308</v>
      </c>
      <c r="Z421" s="626">
        <f t="shared" ca="1" si="10"/>
        <v>23</v>
      </c>
      <c r="AA421" s="618" t="s">
        <v>2747</v>
      </c>
      <c r="AB421" s="627"/>
      <c r="AC421" s="617" t="s">
        <v>842</v>
      </c>
      <c r="AD421" s="617" t="s">
        <v>843</v>
      </c>
      <c r="AE421" s="618" t="s">
        <v>815</v>
      </c>
      <c r="AF421" s="618" t="s">
        <v>1552</v>
      </c>
      <c r="AG421" s="618" t="s">
        <v>2749</v>
      </c>
      <c r="AH421" s="617"/>
      <c r="AI421" s="617" t="s">
        <v>1827</v>
      </c>
      <c r="AJ421" s="617" t="s">
        <v>903</v>
      </c>
      <c r="AK421" s="572" t="s">
        <v>1284</v>
      </c>
      <c r="AL421" s="617"/>
      <c r="AM421" s="617"/>
    </row>
    <row r="422" spans="3:39" ht="18" customHeight="1">
      <c r="C422" s="516">
        <v>401</v>
      </c>
      <c r="D422" s="516" t="s">
        <v>2772</v>
      </c>
      <c r="E422" s="516">
        <f t="shared" si="9"/>
        <v>384</v>
      </c>
      <c r="F422" s="534" t="s">
        <v>981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48" t="s">
        <v>978</v>
      </c>
      <c r="Q422" s="539"/>
      <c r="R422" s="516" t="s">
        <v>49</v>
      </c>
      <c r="S422" s="516" t="s">
        <v>168</v>
      </c>
      <c r="T422" s="516"/>
      <c r="U422" s="516" t="s">
        <v>874</v>
      </c>
      <c r="V422" s="548" t="s">
        <v>328</v>
      </c>
      <c r="W422" s="541" t="s">
        <v>2774</v>
      </c>
      <c r="X422" s="516" t="s">
        <v>876</v>
      </c>
      <c r="Y422" s="542">
        <v>36536</v>
      </c>
      <c r="Z422" s="543">
        <f t="shared" ca="1" si="10"/>
        <v>26</v>
      </c>
      <c r="AA422" s="534" t="s">
        <v>2775</v>
      </c>
      <c r="AB422" s="516" t="s">
        <v>2776</v>
      </c>
      <c r="AC422" s="516" t="s">
        <v>842</v>
      </c>
      <c r="AD422" s="516" t="s">
        <v>843</v>
      </c>
      <c r="AE422" s="534" t="s">
        <v>815</v>
      </c>
      <c r="AF422" s="534" t="s">
        <v>1267</v>
      </c>
      <c r="AG422" s="534" t="s">
        <v>1268</v>
      </c>
      <c r="AH422" s="516"/>
      <c r="AI422" s="516"/>
      <c r="AJ422" s="516" t="s">
        <v>832</v>
      </c>
      <c r="AK422" s="516"/>
      <c r="AL422" s="544"/>
      <c r="AM422" s="544"/>
    </row>
    <row r="423" spans="3:39" ht="18" customHeight="1">
      <c r="C423" s="516">
        <v>402</v>
      </c>
      <c r="D423" s="516" t="s">
        <v>2773</v>
      </c>
      <c r="E423" s="516">
        <f t="shared" si="9"/>
        <v>385</v>
      </c>
      <c r="F423" s="534" t="s">
        <v>981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 t="s">
        <v>62</v>
      </c>
      <c r="S423" s="516" t="s">
        <v>548</v>
      </c>
      <c r="T423" s="516"/>
      <c r="U423" s="516" t="s">
        <v>874</v>
      </c>
      <c r="V423" s="538" t="s">
        <v>342</v>
      </c>
      <c r="W423" s="541" t="s">
        <v>2777</v>
      </c>
      <c r="X423" s="516" t="s">
        <v>876</v>
      </c>
      <c r="Y423" s="542">
        <v>35989</v>
      </c>
      <c r="Z423" s="543">
        <f t="shared" ca="1" si="10"/>
        <v>27</v>
      </c>
      <c r="AA423" s="534" t="s">
        <v>2778</v>
      </c>
      <c r="AB423" s="516" t="s">
        <v>2779</v>
      </c>
      <c r="AC423" s="516" t="s">
        <v>842</v>
      </c>
      <c r="AD423" s="516" t="s">
        <v>851</v>
      </c>
      <c r="AE423" s="534" t="s">
        <v>815</v>
      </c>
      <c r="AF423" s="606" t="s">
        <v>815</v>
      </c>
      <c r="AG423" s="534" t="s">
        <v>2525</v>
      </c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403</v>
      </c>
      <c r="D424" s="516" t="s">
        <v>2780</v>
      </c>
      <c r="E424" s="516">
        <f t="shared" si="9"/>
        <v>386</v>
      </c>
      <c r="F424" s="534" t="s">
        <v>981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2781</v>
      </c>
      <c r="W424" s="541" t="s">
        <v>2782</v>
      </c>
      <c r="X424" s="516" t="s">
        <v>876</v>
      </c>
      <c r="Y424" s="542">
        <v>31694</v>
      </c>
      <c r="Z424" s="543">
        <f t="shared" ca="1" si="10"/>
        <v>39</v>
      </c>
      <c r="AA424" s="534" t="s">
        <v>2783</v>
      </c>
      <c r="AB424" s="516" t="s">
        <v>2784</v>
      </c>
      <c r="AC424" s="516" t="s">
        <v>842</v>
      </c>
      <c r="AD424" s="516" t="s">
        <v>851</v>
      </c>
      <c r="AE424" s="534" t="s">
        <v>815</v>
      </c>
      <c r="AF424" s="534" t="s">
        <v>2785</v>
      </c>
      <c r="AG424" s="534"/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404</v>
      </c>
      <c r="D425" s="516" t="s">
        <v>2786</v>
      </c>
      <c r="E425" s="516">
        <f t="shared" si="9"/>
        <v>387</v>
      </c>
      <c r="F425" s="534" t="s">
        <v>981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369</v>
      </c>
      <c r="W425" s="541" t="s">
        <v>2787</v>
      </c>
      <c r="X425" s="516" t="s">
        <v>876</v>
      </c>
      <c r="Y425" s="542">
        <v>33359</v>
      </c>
      <c r="Z425" s="543">
        <f t="shared" ca="1" si="10"/>
        <v>34</v>
      </c>
      <c r="AA425" s="534" t="s">
        <v>2788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405</v>
      </c>
      <c r="D426" s="516" t="s">
        <v>2789</v>
      </c>
      <c r="E426" s="516">
        <f t="shared" si="9"/>
        <v>388</v>
      </c>
      <c r="F426" s="534" t="s">
        <v>981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382</v>
      </c>
      <c r="W426" s="541" t="s">
        <v>2790</v>
      </c>
      <c r="X426" s="516" t="s">
        <v>876</v>
      </c>
      <c r="Y426" s="542">
        <v>34616</v>
      </c>
      <c r="Z426" s="543">
        <f t="shared" ca="1" si="10"/>
        <v>31</v>
      </c>
      <c r="AA426" s="534" t="s">
        <v>2791</v>
      </c>
      <c r="AB426" s="516" t="s">
        <v>2792</v>
      </c>
      <c r="AC426" s="516" t="s">
        <v>842</v>
      </c>
      <c r="AD426" s="516" t="s">
        <v>851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406</v>
      </c>
      <c r="D427" s="516" t="s">
        <v>2793</v>
      </c>
      <c r="E427" s="516">
        <f t="shared" si="9"/>
        <v>389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394</v>
      </c>
      <c r="W427" s="541" t="s">
        <v>2794</v>
      </c>
      <c r="X427" s="516" t="s">
        <v>876</v>
      </c>
      <c r="Y427" s="542">
        <v>35621</v>
      </c>
      <c r="Z427" s="543">
        <f t="shared" ca="1" si="10"/>
        <v>28</v>
      </c>
      <c r="AA427" s="534" t="s">
        <v>2795</v>
      </c>
      <c r="AB427" s="516" t="s">
        <v>2796</v>
      </c>
      <c r="AC427" s="516" t="s">
        <v>842</v>
      </c>
      <c r="AD427" s="516" t="s">
        <v>851</v>
      </c>
      <c r="AE427" s="534" t="s">
        <v>815</v>
      </c>
      <c r="AF427" s="534" t="s">
        <v>2797</v>
      </c>
      <c r="AG427" s="534"/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407</v>
      </c>
      <c r="D428" s="516" t="s">
        <v>2798</v>
      </c>
      <c r="E428" s="516">
        <f t="shared" si="9"/>
        <v>390</v>
      </c>
      <c r="F428" s="534" t="s">
        <v>981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406</v>
      </c>
      <c r="W428" s="541" t="s">
        <v>2799</v>
      </c>
      <c r="X428" s="516" t="s">
        <v>876</v>
      </c>
      <c r="Y428" s="542" t="s">
        <v>2800</v>
      </c>
      <c r="Z428" s="543">
        <f t="shared" ca="1" si="10"/>
        <v>24</v>
      </c>
      <c r="AA428" s="534" t="s">
        <v>2801</v>
      </c>
      <c r="AB428" s="516" t="s">
        <v>2802</v>
      </c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2803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408</v>
      </c>
      <c r="D429" s="516" t="s">
        <v>2804</v>
      </c>
      <c r="E429" s="516">
        <f t="shared" si="9"/>
        <v>391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414</v>
      </c>
      <c r="W429" s="541" t="s">
        <v>2805</v>
      </c>
      <c r="X429" s="516" t="s">
        <v>876</v>
      </c>
      <c r="Y429" s="542" t="s">
        <v>2806</v>
      </c>
      <c r="Z429" s="543">
        <f t="shared" ca="1" si="10"/>
        <v>19</v>
      </c>
      <c r="AA429" s="534" t="s">
        <v>2807</v>
      </c>
      <c r="AB429" s="516" t="s">
        <v>2808</v>
      </c>
      <c r="AC429" s="516" t="s">
        <v>842</v>
      </c>
      <c r="AD429" s="516" t="s">
        <v>843</v>
      </c>
      <c r="AE429" s="534" t="s">
        <v>815</v>
      </c>
      <c r="AF429" s="534" t="s">
        <v>815</v>
      </c>
      <c r="AG429" s="534" t="s">
        <v>2809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409</v>
      </c>
      <c r="D430" s="516" t="s">
        <v>2810</v>
      </c>
      <c r="E430" s="516">
        <f t="shared" si="9"/>
        <v>392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59" t="s">
        <v>978</v>
      </c>
      <c r="Q430" s="539" t="s">
        <v>308</v>
      </c>
      <c r="R430" s="516"/>
      <c r="S430" s="516"/>
      <c r="T430" s="516"/>
      <c r="U430" s="516" t="s">
        <v>874</v>
      </c>
      <c r="V430" s="540" t="s">
        <v>2811</v>
      </c>
      <c r="W430" s="541" t="s">
        <v>2812</v>
      </c>
      <c r="X430" s="516" t="s">
        <v>876</v>
      </c>
      <c r="Y430" s="542">
        <v>35825</v>
      </c>
      <c r="Z430" s="543">
        <f t="shared" ca="1" si="10"/>
        <v>27</v>
      </c>
      <c r="AA430" s="534" t="s">
        <v>2813</v>
      </c>
      <c r="AB430" s="516"/>
      <c r="AC430" s="516" t="s">
        <v>842</v>
      </c>
      <c r="AD430" s="516" t="s">
        <v>843</v>
      </c>
      <c r="AE430" s="534" t="s">
        <v>815</v>
      </c>
      <c r="AF430" s="606" t="s">
        <v>815</v>
      </c>
      <c r="AG430" s="534" t="s">
        <v>1352</v>
      </c>
      <c r="AH430" s="516"/>
      <c r="AI430" s="516"/>
      <c r="AJ430" s="516" t="s">
        <v>971</v>
      </c>
      <c r="AK430" s="516"/>
      <c r="AL430" s="544"/>
      <c r="AM430" s="544"/>
    </row>
    <row r="431" spans="3:39" ht="18" customHeight="1">
      <c r="C431" s="516">
        <v>410</v>
      </c>
      <c r="D431" s="516" t="s">
        <v>2814</v>
      </c>
      <c r="E431" s="516">
        <f t="shared" si="9"/>
        <v>393</v>
      </c>
      <c r="F431" s="534" t="s">
        <v>981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629" t="s">
        <v>2816</v>
      </c>
      <c r="N431" s="537"/>
      <c r="O431" s="537"/>
      <c r="P431" s="548" t="s">
        <v>2817</v>
      </c>
      <c r="Q431" s="539"/>
      <c r="R431" s="516" t="s">
        <v>49</v>
      </c>
      <c r="S431" s="516" t="s">
        <v>168</v>
      </c>
      <c r="T431" s="516"/>
      <c r="U431" s="562" t="s">
        <v>788</v>
      </c>
      <c r="V431" s="548" t="s">
        <v>330</v>
      </c>
      <c r="W431" s="560" t="s">
        <v>2818</v>
      </c>
      <c r="X431" s="516" t="s">
        <v>876</v>
      </c>
      <c r="Y431" s="542">
        <v>32520</v>
      </c>
      <c r="Z431" s="543">
        <f t="shared" ca="1" si="10"/>
        <v>37</v>
      </c>
      <c r="AA431" s="534" t="s">
        <v>2819</v>
      </c>
      <c r="AB431" s="516" t="s">
        <v>2820</v>
      </c>
      <c r="AC431" s="516" t="s">
        <v>793</v>
      </c>
      <c r="AD431" s="516" t="s">
        <v>794</v>
      </c>
      <c r="AE431" s="534" t="s">
        <v>815</v>
      </c>
      <c r="AF431" s="534" t="s">
        <v>2785</v>
      </c>
      <c r="AG431" s="534" t="s">
        <v>2821</v>
      </c>
      <c r="AH431" s="516"/>
      <c r="AI431" s="516"/>
      <c r="AJ431" s="516" t="s">
        <v>1535</v>
      </c>
      <c r="AK431" s="516"/>
      <c r="AL431" s="544"/>
      <c r="AM431" s="544"/>
    </row>
    <row r="432" spans="3:39" ht="18" customHeight="1">
      <c r="C432" s="516">
        <v>411</v>
      </c>
      <c r="D432" s="516" t="s">
        <v>2815</v>
      </c>
      <c r="E432" s="516">
        <f t="shared" si="9"/>
        <v>394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38" t="s">
        <v>2817</v>
      </c>
      <c r="Q432" s="539"/>
      <c r="R432" s="516" t="s">
        <v>62</v>
      </c>
      <c r="S432" s="516" t="s">
        <v>548</v>
      </c>
      <c r="T432" s="516"/>
      <c r="U432" s="562" t="s">
        <v>874</v>
      </c>
      <c r="V432" s="538" t="s">
        <v>343</v>
      </c>
      <c r="W432" s="560" t="s">
        <v>2822</v>
      </c>
      <c r="X432" s="516" t="s">
        <v>876</v>
      </c>
      <c r="Y432" s="542">
        <v>35366</v>
      </c>
      <c r="Z432" s="543">
        <f t="shared" ca="1" si="10"/>
        <v>29</v>
      </c>
      <c r="AA432" s="534" t="s">
        <v>2823</v>
      </c>
      <c r="AB432" s="516" t="s">
        <v>2824</v>
      </c>
      <c r="AC432" s="516" t="s">
        <v>842</v>
      </c>
      <c r="AD432" s="516" t="s">
        <v>851</v>
      </c>
      <c r="AE432" s="534" t="s">
        <v>815</v>
      </c>
      <c r="AF432" s="606" t="s">
        <v>815</v>
      </c>
      <c r="AG432" s="534" t="s">
        <v>2825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412</v>
      </c>
      <c r="D433" s="516" t="s">
        <v>2816</v>
      </c>
      <c r="E433" s="516">
        <f t="shared" si="9"/>
        <v>395</v>
      </c>
      <c r="F433" s="534" t="s">
        <v>1310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788</v>
      </c>
      <c r="V433" s="549" t="s">
        <v>423</v>
      </c>
      <c r="W433" s="560" t="s">
        <v>2826</v>
      </c>
      <c r="X433" s="516" t="s">
        <v>876</v>
      </c>
      <c r="Y433" s="542">
        <v>38451</v>
      </c>
      <c r="Z433" s="543">
        <f t="shared" ca="1" si="10"/>
        <v>20</v>
      </c>
      <c r="AA433" s="534" t="s">
        <v>2827</v>
      </c>
      <c r="AB433" s="516" t="s">
        <v>2828</v>
      </c>
      <c r="AC433" s="516" t="s">
        <v>842</v>
      </c>
      <c r="AD433" s="516" t="s">
        <v>851</v>
      </c>
      <c r="AE433" s="534" t="s">
        <v>815</v>
      </c>
      <c r="AF433" s="534" t="s">
        <v>1400</v>
      </c>
      <c r="AG433" s="534" t="s">
        <v>2829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413</v>
      </c>
      <c r="D434" s="516" t="s">
        <v>2830</v>
      </c>
      <c r="E434" s="516">
        <f t="shared" si="9"/>
        <v>396</v>
      </c>
      <c r="F434" s="534" t="s">
        <v>981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50" t="s">
        <v>357</v>
      </c>
      <c r="W434" s="560" t="s">
        <v>2831</v>
      </c>
      <c r="X434" s="516" t="s">
        <v>876</v>
      </c>
      <c r="Y434" s="542">
        <v>33267</v>
      </c>
      <c r="Z434" s="543">
        <f t="shared" ca="1" si="10"/>
        <v>34</v>
      </c>
      <c r="AA434" s="534" t="s">
        <v>2832</v>
      </c>
      <c r="AB434" s="516" t="s">
        <v>2833</v>
      </c>
      <c r="AC434" s="516" t="s">
        <v>842</v>
      </c>
      <c r="AD434" s="516" t="s">
        <v>851</v>
      </c>
      <c r="AE434" s="534" t="s">
        <v>815</v>
      </c>
      <c r="AF434" s="606" t="s">
        <v>815</v>
      </c>
      <c r="AG434" s="534" t="s">
        <v>2834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414</v>
      </c>
      <c r="D435" s="516" t="s">
        <v>2835</v>
      </c>
      <c r="E435" s="516">
        <f t="shared" si="9"/>
        <v>397</v>
      </c>
      <c r="F435" s="534" t="s">
        <v>981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370</v>
      </c>
      <c r="W435" s="560" t="s">
        <v>2836</v>
      </c>
      <c r="X435" s="516" t="s">
        <v>876</v>
      </c>
      <c r="Y435" s="542">
        <v>33415</v>
      </c>
      <c r="Z435" s="543">
        <f t="shared" ca="1" si="10"/>
        <v>34</v>
      </c>
      <c r="AA435" s="534" t="s">
        <v>2837</v>
      </c>
      <c r="AB435" s="516" t="s">
        <v>2838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2839</v>
      </c>
      <c r="AH435" s="516" t="s">
        <v>1571</v>
      </c>
      <c r="AI435" s="516" t="s">
        <v>2840</v>
      </c>
      <c r="AJ435" s="516" t="s">
        <v>1852</v>
      </c>
      <c r="AK435" s="516"/>
      <c r="AL435" s="544"/>
      <c r="AM435" s="544"/>
    </row>
    <row r="436" spans="3:39" ht="18" customHeight="1">
      <c r="C436" s="516">
        <v>415</v>
      </c>
      <c r="D436" s="516" t="s">
        <v>2841</v>
      </c>
      <c r="E436" s="516">
        <f t="shared" si="9"/>
        <v>398</v>
      </c>
      <c r="F436" s="534" t="s">
        <v>981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383</v>
      </c>
      <c r="W436" s="560" t="s">
        <v>2842</v>
      </c>
      <c r="X436" s="516" t="s">
        <v>876</v>
      </c>
      <c r="Y436" s="542">
        <v>35523</v>
      </c>
      <c r="Z436" s="543">
        <f t="shared" ca="1" si="10"/>
        <v>28</v>
      </c>
      <c r="AA436" s="534" t="s">
        <v>2843</v>
      </c>
      <c r="AB436" s="516" t="s">
        <v>2844</v>
      </c>
      <c r="AC436" s="516" t="s">
        <v>842</v>
      </c>
      <c r="AD436" s="516" t="s">
        <v>851</v>
      </c>
      <c r="AE436" s="534" t="s">
        <v>815</v>
      </c>
      <c r="AF436" s="534" t="s">
        <v>2845</v>
      </c>
      <c r="AG436" s="534" t="s">
        <v>2846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416</v>
      </c>
      <c r="D437" s="516" t="s">
        <v>2847</v>
      </c>
      <c r="E437" s="516">
        <f t="shared" si="9"/>
        <v>399</v>
      </c>
      <c r="F437" s="534" t="s">
        <v>981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395</v>
      </c>
      <c r="W437" s="560" t="s">
        <v>2848</v>
      </c>
      <c r="X437" s="516" t="s">
        <v>876</v>
      </c>
      <c r="Y437" s="542">
        <v>35944</v>
      </c>
      <c r="Z437" s="543">
        <f t="shared" ca="1" si="10"/>
        <v>27</v>
      </c>
      <c r="AA437" s="534" t="s">
        <v>2849</v>
      </c>
      <c r="AB437" s="516" t="s">
        <v>2850</v>
      </c>
      <c r="AC437" s="516" t="s">
        <v>842</v>
      </c>
      <c r="AD437" s="516" t="s">
        <v>843</v>
      </c>
      <c r="AE437" s="534" t="s">
        <v>815</v>
      </c>
      <c r="AF437" s="534" t="s">
        <v>1400</v>
      </c>
      <c r="AG437" s="534" t="s">
        <v>2851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417</v>
      </c>
      <c r="D438" s="516" t="s">
        <v>2852</v>
      </c>
      <c r="E438" s="516">
        <f t="shared" si="9"/>
        <v>400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407</v>
      </c>
      <c r="W438" s="560" t="s">
        <v>2854</v>
      </c>
      <c r="X438" s="516" t="s">
        <v>876</v>
      </c>
      <c r="Y438" s="542">
        <v>36800</v>
      </c>
      <c r="Z438" s="543">
        <f t="shared" ca="1" si="10"/>
        <v>25</v>
      </c>
      <c r="AA438" s="534" t="s">
        <v>2855</v>
      </c>
      <c r="AB438" s="516" t="s">
        <v>2856</v>
      </c>
      <c r="AC438" s="516" t="s">
        <v>842</v>
      </c>
      <c r="AD438" s="516" t="s">
        <v>851</v>
      </c>
      <c r="AE438" s="534" t="s">
        <v>815</v>
      </c>
      <c r="AF438" s="534" t="s">
        <v>1552</v>
      </c>
      <c r="AG438" s="534" t="s">
        <v>2857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418</v>
      </c>
      <c r="D439" s="516" t="s">
        <v>2858</v>
      </c>
      <c r="E439" s="516">
        <f t="shared" si="9"/>
        <v>401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788</v>
      </c>
      <c r="V439" s="559" t="s">
        <v>415</v>
      </c>
      <c r="W439" s="560" t="s">
        <v>2859</v>
      </c>
      <c r="X439" s="516" t="s">
        <v>876</v>
      </c>
      <c r="Y439" s="542">
        <v>37404</v>
      </c>
      <c r="Z439" s="543">
        <f t="shared" ca="1" si="10"/>
        <v>23</v>
      </c>
      <c r="AA439" s="534" t="s">
        <v>2860</v>
      </c>
      <c r="AB439" s="516" t="s">
        <v>2861</v>
      </c>
      <c r="AC439" s="516" t="s">
        <v>842</v>
      </c>
      <c r="AD439" s="516" t="s">
        <v>851</v>
      </c>
      <c r="AE439" s="534" t="s">
        <v>815</v>
      </c>
      <c r="AF439" s="534" t="s">
        <v>1400</v>
      </c>
      <c r="AG439" s="534" t="s">
        <v>2862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419</v>
      </c>
      <c r="D440" s="516" t="s">
        <v>2814</v>
      </c>
      <c r="E440" s="516">
        <f t="shared" si="9"/>
        <v>401</v>
      </c>
      <c r="F440" s="534"/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48" t="s">
        <v>2864</v>
      </c>
      <c r="Q440" s="539"/>
      <c r="R440" s="516" t="s">
        <v>49</v>
      </c>
      <c r="S440" s="516" t="s">
        <v>168</v>
      </c>
      <c r="T440" s="516"/>
      <c r="U440" s="516"/>
      <c r="V440" s="550" t="s">
        <v>330</v>
      </c>
      <c r="W440" s="541" t="s">
        <v>2818</v>
      </c>
      <c r="X440" s="516" t="s">
        <v>876</v>
      </c>
      <c r="Y440" s="542">
        <v>32520</v>
      </c>
      <c r="Z440" s="543">
        <f t="shared" ca="1" si="10"/>
        <v>37</v>
      </c>
      <c r="AA440" s="534"/>
      <c r="AB440" s="516"/>
      <c r="AC440" s="516" t="s">
        <v>793</v>
      </c>
      <c r="AD440" s="516" t="s">
        <v>794</v>
      </c>
      <c r="AE440" s="534" t="s">
        <v>815</v>
      </c>
      <c r="AF440" s="534" t="s">
        <v>2785</v>
      </c>
      <c r="AG440" s="534" t="s">
        <v>2821</v>
      </c>
      <c r="AH440" s="516" t="s">
        <v>872</v>
      </c>
      <c r="AI440" s="516"/>
      <c r="AJ440" s="516"/>
      <c r="AK440" s="516"/>
      <c r="AL440" s="544"/>
      <c r="AM440" s="544"/>
    </row>
    <row r="441" spans="3:39" ht="18" customHeight="1">
      <c r="C441" s="516">
        <v>420</v>
      </c>
      <c r="D441" s="516" t="s">
        <v>2863</v>
      </c>
      <c r="E441" s="516">
        <f t="shared" si="9"/>
        <v>402</v>
      </c>
      <c r="F441" s="534" t="s">
        <v>981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 t="s">
        <v>62</v>
      </c>
      <c r="S441" s="516" t="s">
        <v>548</v>
      </c>
      <c r="T441" s="516"/>
      <c r="U441" s="516" t="s">
        <v>874</v>
      </c>
      <c r="V441" s="538" t="s">
        <v>344</v>
      </c>
      <c r="W441" s="541" t="s">
        <v>2865</v>
      </c>
      <c r="X441" s="516" t="s">
        <v>876</v>
      </c>
      <c r="Y441" s="542">
        <v>33996</v>
      </c>
      <c r="Z441" s="543">
        <f t="shared" ca="1" si="10"/>
        <v>33</v>
      </c>
      <c r="AA441" s="534" t="s">
        <v>2866</v>
      </c>
      <c r="AB441" s="516" t="s">
        <v>2867</v>
      </c>
      <c r="AC441" s="516" t="s">
        <v>842</v>
      </c>
      <c r="AD441" s="516" t="s">
        <v>851</v>
      </c>
      <c r="AE441" s="534" t="s">
        <v>815</v>
      </c>
      <c r="AF441" s="606" t="s">
        <v>815</v>
      </c>
      <c r="AG441" s="534" t="s">
        <v>2868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421</v>
      </c>
      <c r="D442" s="516" t="s">
        <v>2869</v>
      </c>
      <c r="E442" s="516">
        <f t="shared" si="9"/>
        <v>403</v>
      </c>
      <c r="F442" s="534" t="s">
        <v>981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/>
      <c r="R442" s="516"/>
      <c r="S442" s="516"/>
      <c r="T442" s="516"/>
      <c r="U442" s="516" t="s">
        <v>788</v>
      </c>
      <c r="V442" s="538" t="s">
        <v>408</v>
      </c>
      <c r="W442" s="541" t="s">
        <v>2870</v>
      </c>
      <c r="X442" s="516" t="s">
        <v>876</v>
      </c>
      <c r="Y442" s="542">
        <v>36875</v>
      </c>
      <c r="Z442" s="543">
        <f t="shared" ca="1" si="10"/>
        <v>25</v>
      </c>
      <c r="AA442" s="534" t="s">
        <v>2591</v>
      </c>
      <c r="AB442" s="516" t="s">
        <v>2871</v>
      </c>
      <c r="AC442" s="516" t="s">
        <v>842</v>
      </c>
      <c r="AD442" s="516" t="s">
        <v>794</v>
      </c>
      <c r="AE442" s="534" t="s">
        <v>815</v>
      </c>
      <c r="AF442" s="534" t="s">
        <v>2872</v>
      </c>
      <c r="AG442" s="534" t="s">
        <v>2873</v>
      </c>
      <c r="AH442" s="516"/>
      <c r="AI442" s="516"/>
      <c r="AJ442" s="516"/>
      <c r="AK442" s="516"/>
      <c r="AL442" s="544"/>
      <c r="AM442" s="544"/>
    </row>
    <row r="443" spans="3:39" ht="18" customHeight="1">
      <c r="C443" s="516">
        <v>422</v>
      </c>
      <c r="D443" s="516" t="s">
        <v>2874</v>
      </c>
      <c r="E443" s="516">
        <f t="shared" si="9"/>
        <v>404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2875</v>
      </c>
      <c r="W443" s="541" t="s">
        <v>2876</v>
      </c>
      <c r="X443" s="516" t="s">
        <v>876</v>
      </c>
      <c r="Y443" s="542">
        <v>35773</v>
      </c>
      <c r="Z443" s="543">
        <f t="shared" ca="1" si="10"/>
        <v>28</v>
      </c>
      <c r="AA443" s="534"/>
      <c r="AB443" s="516" t="s">
        <v>2877</v>
      </c>
      <c r="AC443" s="516" t="s">
        <v>842</v>
      </c>
      <c r="AD443" s="516" t="s">
        <v>851</v>
      </c>
      <c r="AE443" s="534" t="s">
        <v>815</v>
      </c>
      <c r="AF443" s="534" t="s">
        <v>815</v>
      </c>
      <c r="AG443" s="534" t="s">
        <v>2878</v>
      </c>
      <c r="AH443" s="516"/>
      <c r="AI443" s="516"/>
      <c r="AJ443" s="516" t="s">
        <v>1535</v>
      </c>
      <c r="AK443" s="516"/>
      <c r="AL443" s="544"/>
      <c r="AM443" s="544"/>
    </row>
    <row r="444" spans="3:39" ht="18" customHeight="1">
      <c r="C444" s="516">
        <v>423</v>
      </c>
      <c r="D444" s="516" t="s">
        <v>2879</v>
      </c>
      <c r="E444" s="516">
        <f t="shared" si="9"/>
        <v>405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 t="s">
        <v>308</v>
      </c>
      <c r="R444" s="516"/>
      <c r="S444" s="516"/>
      <c r="T444" s="516"/>
      <c r="U444" s="516" t="s">
        <v>788</v>
      </c>
      <c r="V444" s="538" t="s">
        <v>358</v>
      </c>
      <c r="W444" s="541" t="s">
        <v>2880</v>
      </c>
      <c r="X444" s="516" t="s">
        <v>876</v>
      </c>
      <c r="Y444" s="542">
        <v>35880</v>
      </c>
      <c r="Z444" s="543">
        <f t="shared" ca="1" si="10"/>
        <v>27</v>
      </c>
      <c r="AA444" s="534" t="s">
        <v>2881</v>
      </c>
      <c r="AB444" s="516" t="s">
        <v>2882</v>
      </c>
      <c r="AC444" s="516" t="s">
        <v>842</v>
      </c>
      <c r="AD444" s="516" t="s">
        <v>843</v>
      </c>
      <c r="AE444" s="534" t="s">
        <v>809</v>
      </c>
      <c r="AF444" s="534" t="s">
        <v>1400</v>
      </c>
      <c r="AG444" s="534" t="s">
        <v>2883</v>
      </c>
      <c r="AH444" s="516"/>
      <c r="AI444" s="516"/>
      <c r="AJ444" s="516" t="s">
        <v>1497</v>
      </c>
      <c r="AK444" s="516"/>
      <c r="AL444" s="544"/>
      <c r="AM444" s="544"/>
    </row>
    <row r="445" spans="3:39" ht="18" customHeight="1">
      <c r="C445" s="516">
        <v>424</v>
      </c>
      <c r="D445" s="516" t="s">
        <v>2884</v>
      </c>
      <c r="E445" s="516">
        <f t="shared" si="9"/>
        <v>406</v>
      </c>
      <c r="F445" s="534" t="s">
        <v>981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371</v>
      </c>
      <c r="W445" s="541" t="s">
        <v>2885</v>
      </c>
      <c r="X445" s="516" t="s">
        <v>876</v>
      </c>
      <c r="Y445" s="542">
        <v>36847</v>
      </c>
      <c r="Z445" s="543">
        <f t="shared" ca="1" si="10"/>
        <v>25</v>
      </c>
      <c r="AA445" s="534" t="s">
        <v>2886</v>
      </c>
      <c r="AB445" s="516" t="s">
        <v>2887</v>
      </c>
      <c r="AC445" s="516" t="s">
        <v>842</v>
      </c>
      <c r="AD445" s="516" t="s">
        <v>843</v>
      </c>
      <c r="AE445" s="534" t="s">
        <v>815</v>
      </c>
      <c r="AF445" s="534" t="s">
        <v>1400</v>
      </c>
      <c r="AG445" s="534" t="s">
        <v>2888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425</v>
      </c>
      <c r="D446" s="516" t="s">
        <v>2889</v>
      </c>
      <c r="E446" s="516">
        <f t="shared" si="9"/>
        <v>407</v>
      </c>
      <c r="F446" s="534" t="s">
        <v>981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384</v>
      </c>
      <c r="W446" s="541" t="s">
        <v>2890</v>
      </c>
      <c r="X446" s="516" t="s">
        <v>876</v>
      </c>
      <c r="Y446" s="542">
        <v>36970</v>
      </c>
      <c r="Z446" s="543">
        <f t="shared" ca="1" si="10"/>
        <v>24</v>
      </c>
      <c r="AA446" s="534" t="s">
        <v>2891</v>
      </c>
      <c r="AB446" s="516" t="s">
        <v>2892</v>
      </c>
      <c r="AC446" s="516" t="s">
        <v>842</v>
      </c>
      <c r="AD446" s="516" t="s">
        <v>843</v>
      </c>
      <c r="AE446" s="534" t="s">
        <v>815</v>
      </c>
      <c r="AF446" s="534" t="s">
        <v>815</v>
      </c>
      <c r="AG446" s="534" t="s">
        <v>1273</v>
      </c>
      <c r="AH446" s="516"/>
      <c r="AI446" s="516"/>
      <c r="AJ446" s="569" t="s">
        <v>1224</v>
      </c>
      <c r="AK446" s="516"/>
      <c r="AL446" s="544"/>
      <c r="AM446" s="544"/>
    </row>
    <row r="447" spans="3:39" ht="18" customHeight="1">
      <c r="C447" s="516">
        <v>426</v>
      </c>
      <c r="D447" s="516" t="s">
        <v>2893</v>
      </c>
      <c r="E447" s="516">
        <f t="shared" si="9"/>
        <v>408</v>
      </c>
      <c r="F447" s="534" t="s">
        <v>981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59" t="s">
        <v>2864</v>
      </c>
      <c r="Q447" s="539" t="s">
        <v>308</v>
      </c>
      <c r="R447" s="516"/>
      <c r="S447" s="516"/>
      <c r="T447" s="516"/>
      <c r="U447" s="516" t="s">
        <v>788</v>
      </c>
      <c r="V447" s="559" t="s">
        <v>396</v>
      </c>
      <c r="W447" s="541" t="s">
        <v>2894</v>
      </c>
      <c r="X447" s="516" t="s">
        <v>876</v>
      </c>
      <c r="Y447" s="542">
        <v>37663</v>
      </c>
      <c r="Z447" s="543">
        <f t="shared" ca="1" si="10"/>
        <v>22</v>
      </c>
      <c r="AA447" s="534" t="s">
        <v>2895</v>
      </c>
      <c r="AB447" s="516" t="s">
        <v>2896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2897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427</v>
      </c>
      <c r="D448" s="516" t="s">
        <v>2898</v>
      </c>
      <c r="E448" s="516">
        <f t="shared" si="9"/>
        <v>409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48" t="s">
        <v>787</v>
      </c>
      <c r="Q448" s="539"/>
      <c r="R448" s="516" t="s">
        <v>982</v>
      </c>
      <c r="S448" s="516" t="s">
        <v>163</v>
      </c>
      <c r="T448" s="516"/>
      <c r="U448" s="516" t="s">
        <v>874</v>
      </c>
      <c r="V448" s="548" t="s">
        <v>456</v>
      </c>
      <c r="W448" s="541" t="s">
        <v>2899</v>
      </c>
      <c r="X448" s="516" t="s">
        <v>876</v>
      </c>
      <c r="Y448" s="542">
        <v>25002</v>
      </c>
      <c r="Z448" s="543">
        <f t="shared" ca="1" si="10"/>
        <v>57</v>
      </c>
      <c r="AA448" s="534" t="s">
        <v>2900</v>
      </c>
      <c r="AB448" s="516" t="s">
        <v>2901</v>
      </c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428</v>
      </c>
      <c r="D449" s="516" t="s">
        <v>2902</v>
      </c>
      <c r="E449" s="516">
        <f t="shared" si="9"/>
        <v>410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898</v>
      </c>
      <c r="V449" s="538" t="s">
        <v>463</v>
      </c>
      <c r="W449" s="541" t="s">
        <v>2903</v>
      </c>
      <c r="X449" s="516" t="s">
        <v>876</v>
      </c>
      <c r="Y449" s="542">
        <v>19177</v>
      </c>
      <c r="Z449" s="543">
        <f t="shared" ca="1" si="10"/>
        <v>73</v>
      </c>
      <c r="AA449" s="534" t="s">
        <v>2904</v>
      </c>
      <c r="AB449" s="516" t="s">
        <v>2905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429</v>
      </c>
      <c r="D450" s="516" t="s">
        <v>2906</v>
      </c>
      <c r="E450" s="516">
        <f t="shared" si="9"/>
        <v>411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470</v>
      </c>
      <c r="W450" s="541" t="s">
        <v>2907</v>
      </c>
      <c r="X450" s="516" t="s">
        <v>876</v>
      </c>
      <c r="Y450" s="542">
        <v>18523</v>
      </c>
      <c r="Z450" s="543">
        <f t="shared" ca="1" si="10"/>
        <v>75</v>
      </c>
      <c r="AA450" s="534" t="s">
        <v>2908</v>
      </c>
      <c r="AB450" s="516" t="s">
        <v>2909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430</v>
      </c>
      <c r="D451" s="516" t="s">
        <v>2910</v>
      </c>
      <c r="E451" s="516">
        <f t="shared" si="9"/>
        <v>412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49</v>
      </c>
      <c r="T451" s="516"/>
      <c r="U451" s="516" t="s">
        <v>874</v>
      </c>
      <c r="V451" s="538" t="s">
        <v>473</v>
      </c>
      <c r="W451" s="541" t="s">
        <v>2911</v>
      </c>
      <c r="X451" s="516" t="s">
        <v>876</v>
      </c>
      <c r="Y451" s="542">
        <v>22938</v>
      </c>
      <c r="Z451" s="543">
        <f t="shared" ca="1" si="10"/>
        <v>63</v>
      </c>
      <c r="AA451" s="534" t="s">
        <v>2912</v>
      </c>
      <c r="AB451" s="516" t="s">
        <v>2913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431</v>
      </c>
      <c r="D452" s="516" t="s">
        <v>2914</v>
      </c>
      <c r="E452" s="516">
        <f t="shared" si="9"/>
        <v>413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168</v>
      </c>
      <c r="T452" s="516"/>
      <c r="U452" s="516" t="s">
        <v>874</v>
      </c>
      <c r="V452" s="538" t="s">
        <v>478</v>
      </c>
      <c r="W452" s="541" t="s">
        <v>2915</v>
      </c>
      <c r="X452" s="516" t="s">
        <v>876</v>
      </c>
      <c r="Y452" s="542">
        <v>23418</v>
      </c>
      <c r="Z452" s="543">
        <f t="shared" ca="1" si="10"/>
        <v>61</v>
      </c>
      <c r="AA452" s="534" t="s">
        <v>2916</v>
      </c>
      <c r="AB452" s="516" t="s">
        <v>2917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432</v>
      </c>
      <c r="D453" s="516" t="s">
        <v>2918</v>
      </c>
      <c r="E453" s="516">
        <f t="shared" si="9"/>
        <v>414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59" t="s">
        <v>787</v>
      </c>
      <c r="Q453" s="539"/>
      <c r="R453" s="516" t="s">
        <v>163</v>
      </c>
      <c r="S453" s="516" t="s">
        <v>500</v>
      </c>
      <c r="T453" s="516"/>
      <c r="U453" s="516" t="s">
        <v>874</v>
      </c>
      <c r="V453" s="559" t="s">
        <v>498</v>
      </c>
      <c r="W453" s="541" t="s">
        <v>2919</v>
      </c>
      <c r="X453" s="516" t="s">
        <v>876</v>
      </c>
      <c r="Y453" s="542">
        <v>22147</v>
      </c>
      <c r="Z453" s="543">
        <f t="shared" ca="1" si="10"/>
        <v>65</v>
      </c>
      <c r="AA453" s="534" t="s">
        <v>2920</v>
      </c>
      <c r="AB453" s="516" t="s">
        <v>2921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433</v>
      </c>
      <c r="D454" s="516" t="s">
        <v>987</v>
      </c>
      <c r="E454" s="516">
        <f t="shared" si="9"/>
        <v>414</v>
      </c>
      <c r="F454" s="534"/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48" t="s">
        <v>828</v>
      </c>
      <c r="Q454" s="539"/>
      <c r="R454" s="516" t="s">
        <v>49</v>
      </c>
      <c r="S454" s="516" t="s">
        <v>49</v>
      </c>
      <c r="T454" s="516"/>
      <c r="U454" s="516"/>
      <c r="V454" s="548" t="s">
        <v>75</v>
      </c>
      <c r="W454" s="541" t="s">
        <v>988</v>
      </c>
      <c r="X454" s="516" t="s">
        <v>790</v>
      </c>
      <c r="Y454" s="542">
        <v>19202</v>
      </c>
      <c r="Z454" s="543">
        <f t="shared" ca="1" si="10"/>
        <v>73</v>
      </c>
      <c r="AA454" s="534" t="s">
        <v>989</v>
      </c>
      <c r="AB454" s="516" t="s">
        <v>2924</v>
      </c>
      <c r="AC454" s="516" t="s">
        <v>802</v>
      </c>
      <c r="AD454" s="516" t="s">
        <v>794</v>
      </c>
      <c r="AE454" s="534" t="s">
        <v>809</v>
      </c>
      <c r="AF454" s="534" t="s">
        <v>795</v>
      </c>
      <c r="AG454" s="534" t="s">
        <v>804</v>
      </c>
      <c r="AH454" s="516" t="s">
        <v>872</v>
      </c>
      <c r="AI454" s="516"/>
      <c r="AJ454" s="516"/>
      <c r="AK454" s="516"/>
      <c r="AL454" s="544"/>
      <c r="AM454" s="544"/>
    </row>
    <row r="455" spans="3:39" ht="18" customHeight="1">
      <c r="C455" s="516">
        <v>434</v>
      </c>
      <c r="D455" s="516" t="s">
        <v>2922</v>
      </c>
      <c r="E455" s="516">
        <f t="shared" si="9"/>
        <v>415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 t="s">
        <v>62</v>
      </c>
      <c r="S455" s="516" t="s">
        <v>62</v>
      </c>
      <c r="T455" s="516"/>
      <c r="U455" s="516" t="s">
        <v>898</v>
      </c>
      <c r="V455" s="538" t="s">
        <v>464</v>
      </c>
      <c r="W455" s="541" t="s">
        <v>2925</v>
      </c>
      <c r="X455" s="516" t="s">
        <v>790</v>
      </c>
      <c r="Y455" s="542">
        <v>19613</v>
      </c>
      <c r="Z455" s="543">
        <f t="shared" ca="1" si="10"/>
        <v>72</v>
      </c>
      <c r="AA455" s="534" t="s">
        <v>2926</v>
      </c>
      <c r="AB455" s="516" t="s">
        <v>2927</v>
      </c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/>
      <c r="AK455" s="516"/>
      <c r="AL455" s="544"/>
      <c r="AM455" s="544"/>
    </row>
    <row r="456" spans="3:39" ht="18" customHeight="1">
      <c r="C456" s="516">
        <v>435</v>
      </c>
      <c r="D456" s="516" t="s">
        <v>2923</v>
      </c>
      <c r="E456" s="516">
        <f t="shared" si="9"/>
        <v>416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2928</v>
      </c>
      <c r="W456" s="541" t="s">
        <v>2929</v>
      </c>
      <c r="X456" s="516" t="s">
        <v>790</v>
      </c>
      <c r="Y456" s="542">
        <v>19281</v>
      </c>
      <c r="Z456" s="543">
        <f t="shared" ca="1" si="10"/>
        <v>73</v>
      </c>
      <c r="AA456" s="534" t="s">
        <v>2930</v>
      </c>
      <c r="AB456" s="516" t="s">
        <v>2931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74" t="s">
        <v>743</v>
      </c>
      <c r="AH456" s="516"/>
      <c r="AI456" s="516"/>
      <c r="AJ456" s="516" t="s">
        <v>844</v>
      </c>
      <c r="AK456" s="516"/>
      <c r="AL456" s="544"/>
      <c r="AM456" s="544"/>
    </row>
    <row r="457" spans="3:39" ht="18" customHeight="1">
      <c r="C457" s="516">
        <v>436</v>
      </c>
      <c r="D457" s="516" t="s">
        <v>2932</v>
      </c>
      <c r="E457" s="516">
        <f t="shared" si="9"/>
        <v>417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474</v>
      </c>
      <c r="W457" s="541" t="s">
        <v>2933</v>
      </c>
      <c r="X457" s="516" t="s">
        <v>790</v>
      </c>
      <c r="Y457" s="542">
        <v>30981</v>
      </c>
      <c r="Z457" s="543">
        <f t="shared" ca="1" si="10"/>
        <v>41</v>
      </c>
      <c r="AA457" s="594" t="s">
        <v>2934</v>
      </c>
      <c r="AB457" s="516" t="s">
        <v>2935</v>
      </c>
      <c r="AC457" s="516" t="s">
        <v>2936</v>
      </c>
      <c r="AD457" s="516" t="s">
        <v>794</v>
      </c>
      <c r="AE457" s="534" t="s">
        <v>236</v>
      </c>
      <c r="AF457" s="534" t="s">
        <v>236</v>
      </c>
      <c r="AG457" s="534" t="s">
        <v>865</v>
      </c>
      <c r="AH457" s="516"/>
      <c r="AI457" s="516"/>
      <c r="AJ457" s="516"/>
      <c r="AK457" s="516"/>
      <c r="AL457" s="544"/>
      <c r="AM457" s="544"/>
    </row>
    <row r="458" spans="3:39" ht="18" customHeight="1">
      <c r="C458" s="516">
        <v>437</v>
      </c>
      <c r="D458" s="516" t="s">
        <v>2937</v>
      </c>
      <c r="E458" s="516">
        <f t="shared" si="9"/>
        <v>418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2938</v>
      </c>
      <c r="W458" s="541" t="s">
        <v>2939</v>
      </c>
      <c r="X458" s="516" t="s">
        <v>790</v>
      </c>
      <c r="Y458" s="542">
        <v>26339</v>
      </c>
      <c r="Z458" s="543">
        <f t="shared" ca="1" si="10"/>
        <v>53</v>
      </c>
      <c r="AA458" s="534" t="s">
        <v>2940</v>
      </c>
      <c r="AB458" s="516" t="s">
        <v>2941</v>
      </c>
      <c r="AC458" s="516" t="s">
        <v>802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 t="s">
        <v>832</v>
      </c>
      <c r="AK458" s="516"/>
      <c r="AL458" s="544"/>
      <c r="AM458" s="544"/>
    </row>
    <row r="459" spans="3:39" ht="18" customHeight="1">
      <c r="C459" s="516">
        <v>438</v>
      </c>
      <c r="D459" s="516" t="s">
        <v>2942</v>
      </c>
      <c r="E459" s="516">
        <f t="shared" si="9"/>
        <v>419</v>
      </c>
      <c r="F459" s="534" t="s">
        <v>1822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2943</v>
      </c>
      <c r="W459" s="541" t="s">
        <v>2944</v>
      </c>
      <c r="X459" s="516" t="s">
        <v>790</v>
      </c>
      <c r="Y459" s="542">
        <v>22088</v>
      </c>
      <c r="Z459" s="543">
        <f t="shared" ca="1" si="10"/>
        <v>65</v>
      </c>
      <c r="AA459" s="534" t="s">
        <v>2945</v>
      </c>
      <c r="AB459" s="516" t="s">
        <v>2946</v>
      </c>
      <c r="AC459" s="516" t="s">
        <v>842</v>
      </c>
      <c r="AD459" s="516" t="s">
        <v>851</v>
      </c>
      <c r="AE459" s="534" t="s">
        <v>809</v>
      </c>
      <c r="AF459" s="534" t="s">
        <v>809</v>
      </c>
      <c r="AG459" s="534" t="s">
        <v>2085</v>
      </c>
      <c r="AH459" s="516"/>
      <c r="AI459" s="516"/>
      <c r="AJ459" s="516" t="s">
        <v>844</v>
      </c>
      <c r="AK459" s="516" t="s">
        <v>1863</v>
      </c>
      <c r="AL459" s="544"/>
      <c r="AM459" s="544"/>
    </row>
    <row r="460" spans="3:39" ht="18" customHeight="1">
      <c r="C460" s="516">
        <v>439</v>
      </c>
      <c r="D460" s="516" t="s">
        <v>2947</v>
      </c>
      <c r="E460" s="516">
        <f t="shared" si="9"/>
        <v>420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2948</v>
      </c>
      <c r="W460" s="541" t="s">
        <v>2949</v>
      </c>
      <c r="X460" s="516" t="s">
        <v>790</v>
      </c>
      <c r="Y460" s="542">
        <v>31482</v>
      </c>
      <c r="Z460" s="543">
        <f t="shared" ca="1" si="10"/>
        <v>39</v>
      </c>
      <c r="AA460" s="594" t="s">
        <v>2950</v>
      </c>
      <c r="AB460" s="516"/>
      <c r="AC460" s="516" t="s">
        <v>842</v>
      </c>
      <c r="AD460" s="516" t="s">
        <v>843</v>
      </c>
      <c r="AE460" s="534" t="s">
        <v>236</v>
      </c>
      <c r="AF460" s="534" t="s">
        <v>236</v>
      </c>
      <c r="AG460" s="534" t="s">
        <v>865</v>
      </c>
      <c r="AH460" s="516"/>
      <c r="AI460" s="516" t="s">
        <v>2951</v>
      </c>
      <c r="AJ460" s="516"/>
      <c r="AK460" s="516" t="s">
        <v>860</v>
      </c>
      <c r="AL460" s="544"/>
      <c r="AM460" s="544"/>
    </row>
    <row r="461" spans="3:39" ht="18" customHeight="1">
      <c r="C461" s="516">
        <v>440</v>
      </c>
      <c r="D461" s="516" t="s">
        <v>2952</v>
      </c>
      <c r="E461" s="516">
        <f t="shared" si="9"/>
        <v>421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2953</v>
      </c>
      <c r="W461" s="541" t="s">
        <v>2954</v>
      </c>
      <c r="X461" s="516" t="s">
        <v>790</v>
      </c>
      <c r="Y461" s="542">
        <v>32188</v>
      </c>
      <c r="Z461" s="543">
        <f t="shared" ca="1" si="10"/>
        <v>37</v>
      </c>
      <c r="AA461" s="534" t="s">
        <v>2955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2529</v>
      </c>
      <c r="AG461" s="534" t="s">
        <v>1289</v>
      </c>
      <c r="AH461" s="516"/>
      <c r="AI461" s="516" t="s">
        <v>2951</v>
      </c>
      <c r="AJ461" s="516" t="s">
        <v>844</v>
      </c>
      <c r="AK461" s="516" t="s">
        <v>860</v>
      </c>
      <c r="AL461" s="544"/>
      <c r="AM461" s="544"/>
    </row>
    <row r="462" spans="3:39" ht="18" customHeight="1">
      <c r="C462" s="516">
        <v>441</v>
      </c>
      <c r="D462" s="516" t="s">
        <v>2956</v>
      </c>
      <c r="E462" s="516">
        <f t="shared" si="9"/>
        <v>422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2957</v>
      </c>
      <c r="W462" s="541" t="s">
        <v>2958</v>
      </c>
      <c r="X462" s="516" t="s">
        <v>790</v>
      </c>
      <c r="Y462" s="542">
        <v>26922</v>
      </c>
      <c r="Z462" s="543">
        <f t="shared" ca="1" si="10"/>
        <v>52</v>
      </c>
      <c r="AA462" s="534" t="s">
        <v>2959</v>
      </c>
      <c r="AB462" s="516" t="s">
        <v>2960</v>
      </c>
      <c r="AC462" s="516" t="s">
        <v>842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 t="s">
        <v>2951</v>
      </c>
      <c r="AJ462" s="516"/>
      <c r="AK462" s="516" t="s">
        <v>860</v>
      </c>
      <c r="AL462" s="544"/>
      <c r="AM462" s="544"/>
    </row>
    <row r="463" spans="3:39" ht="18" customHeight="1">
      <c r="C463" s="516">
        <v>442</v>
      </c>
      <c r="D463" s="516" t="s">
        <v>2961</v>
      </c>
      <c r="E463" s="516">
        <f t="shared" si="9"/>
        <v>423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59" t="s">
        <v>828</v>
      </c>
      <c r="Q463" s="539"/>
      <c r="R463" s="516"/>
      <c r="S463" s="516"/>
      <c r="T463" s="516"/>
      <c r="U463" s="516" t="s">
        <v>799</v>
      </c>
      <c r="V463" s="559" t="s">
        <v>2962</v>
      </c>
      <c r="W463" s="541" t="s">
        <v>2963</v>
      </c>
      <c r="X463" s="516" t="s">
        <v>790</v>
      </c>
      <c r="Y463" s="542">
        <v>27828</v>
      </c>
      <c r="Z463" s="543">
        <f t="shared" ca="1" si="10"/>
        <v>49</v>
      </c>
      <c r="AA463" s="534" t="s">
        <v>2964</v>
      </c>
      <c r="AB463" s="516"/>
      <c r="AC463" s="516" t="s">
        <v>842</v>
      </c>
      <c r="AD463" s="516" t="s">
        <v>851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443</v>
      </c>
      <c r="D464" s="516" t="s">
        <v>2965</v>
      </c>
      <c r="E464" s="516">
        <f t="shared" si="9"/>
        <v>424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48" t="s">
        <v>938</v>
      </c>
      <c r="Q464" s="539"/>
      <c r="R464" s="516" t="s">
        <v>49</v>
      </c>
      <c r="S464" s="516" t="s">
        <v>49</v>
      </c>
      <c r="T464" s="516"/>
      <c r="U464" s="516" t="s">
        <v>898</v>
      </c>
      <c r="V464" s="548" t="s">
        <v>457</v>
      </c>
      <c r="W464" s="541" t="s">
        <v>2968</v>
      </c>
      <c r="X464" s="516" t="s">
        <v>876</v>
      </c>
      <c r="Y464" s="542">
        <v>17838</v>
      </c>
      <c r="Z464" s="543">
        <f t="shared" ca="1" si="10"/>
        <v>77</v>
      </c>
      <c r="AA464" s="534" t="s">
        <v>2969</v>
      </c>
      <c r="AB464" s="516" t="s">
        <v>2970</v>
      </c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444</v>
      </c>
      <c r="D465" s="516" t="s">
        <v>2966</v>
      </c>
      <c r="E465" s="516">
        <f t="shared" si="9"/>
        <v>425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 t="s">
        <v>62</v>
      </c>
      <c r="S465" s="516" t="s">
        <v>62</v>
      </c>
      <c r="T465" s="516"/>
      <c r="U465" s="516" t="s">
        <v>898</v>
      </c>
      <c r="V465" s="538" t="s">
        <v>465</v>
      </c>
      <c r="W465" s="541" t="s">
        <v>2971</v>
      </c>
      <c r="X465" s="516" t="s">
        <v>876</v>
      </c>
      <c r="Y465" s="542">
        <v>19108</v>
      </c>
      <c r="Z465" s="543">
        <f t="shared" ca="1" si="10"/>
        <v>73</v>
      </c>
      <c r="AA465" s="534" t="s">
        <v>2972</v>
      </c>
      <c r="AB465" s="516" t="s">
        <v>2973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445</v>
      </c>
      <c r="D466" s="516" t="s">
        <v>990</v>
      </c>
      <c r="E466" s="516">
        <f t="shared" si="9"/>
        <v>425</v>
      </c>
      <c r="F466" s="534"/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/>
      <c r="V466" s="538" t="s">
        <v>87</v>
      </c>
      <c r="W466" s="541" t="s">
        <v>991</v>
      </c>
      <c r="X466" s="516" t="s">
        <v>876</v>
      </c>
      <c r="Y466" s="542">
        <v>19466</v>
      </c>
      <c r="Z466" s="543">
        <f t="shared" ca="1" si="10"/>
        <v>72</v>
      </c>
      <c r="AA466" s="534" t="s">
        <v>992</v>
      </c>
      <c r="AB466" s="516" t="s">
        <v>993</v>
      </c>
      <c r="AC466" s="516" t="s">
        <v>802</v>
      </c>
      <c r="AD466" s="516" t="s">
        <v>794</v>
      </c>
      <c r="AE466" s="534" t="s">
        <v>809</v>
      </c>
      <c r="AF466" s="534" t="s">
        <v>795</v>
      </c>
      <c r="AG466" s="534" t="s">
        <v>804</v>
      </c>
      <c r="AH466" s="516" t="s">
        <v>872</v>
      </c>
      <c r="AI466" s="516"/>
      <c r="AJ466" s="516"/>
      <c r="AK466" s="516"/>
      <c r="AL466" s="544"/>
      <c r="AM466" s="544"/>
    </row>
    <row r="467" spans="3:39" ht="18" customHeight="1">
      <c r="C467" s="516">
        <v>446</v>
      </c>
      <c r="D467" s="516" t="s">
        <v>2967</v>
      </c>
      <c r="E467" s="516">
        <f t="shared" si="9"/>
        <v>426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 t="s">
        <v>874</v>
      </c>
      <c r="V467" s="538" t="s">
        <v>475</v>
      </c>
      <c r="W467" s="541" t="s">
        <v>2974</v>
      </c>
      <c r="X467" s="516" t="s">
        <v>876</v>
      </c>
      <c r="Y467" s="542">
        <v>22921</v>
      </c>
      <c r="Z467" s="543">
        <f t="shared" ca="1" si="10"/>
        <v>63</v>
      </c>
      <c r="AA467" s="534" t="s">
        <v>2975</v>
      </c>
      <c r="AB467" s="516" t="s">
        <v>2976</v>
      </c>
      <c r="AC467" s="516" t="s">
        <v>802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447</v>
      </c>
      <c r="D468" s="516" t="s">
        <v>2977</v>
      </c>
      <c r="E468" s="516">
        <f t="shared" si="9"/>
        <v>427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898</v>
      </c>
      <c r="V468" s="538" t="s">
        <v>479</v>
      </c>
      <c r="W468" s="541" t="s">
        <v>2978</v>
      </c>
      <c r="X468" s="516" t="s">
        <v>876</v>
      </c>
      <c r="Y468" s="542">
        <v>18123</v>
      </c>
      <c r="Z468" s="543">
        <f t="shared" ca="1" si="10"/>
        <v>76</v>
      </c>
      <c r="AA468" s="534" t="s">
        <v>2979</v>
      </c>
      <c r="AB468" s="516" t="s">
        <v>2980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448</v>
      </c>
      <c r="D469" s="516" t="s">
        <v>2981</v>
      </c>
      <c r="E469" s="516">
        <f t="shared" si="9"/>
        <v>428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485</v>
      </c>
      <c r="W469" s="541" t="s">
        <v>2982</v>
      </c>
      <c r="X469" s="516" t="s">
        <v>876</v>
      </c>
      <c r="Y469" s="542">
        <v>20191</v>
      </c>
      <c r="Z469" s="543">
        <f t="shared" ca="1" si="10"/>
        <v>70</v>
      </c>
      <c r="AA469" s="534">
        <v>77774810054</v>
      </c>
      <c r="AB469" s="516" t="s">
        <v>2983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449</v>
      </c>
      <c r="D470" s="516" t="s">
        <v>2984</v>
      </c>
      <c r="E470" s="516">
        <f t="shared" si="9"/>
        <v>429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874</v>
      </c>
      <c r="V470" s="538" t="s">
        <v>486</v>
      </c>
      <c r="W470" s="541" t="s">
        <v>2985</v>
      </c>
      <c r="X470" s="516" t="s">
        <v>876</v>
      </c>
      <c r="Y470" s="542">
        <v>20487</v>
      </c>
      <c r="Z470" s="543">
        <f t="shared" ca="1" si="10"/>
        <v>69</v>
      </c>
      <c r="AA470" s="534" t="s">
        <v>2986</v>
      </c>
      <c r="AB470" s="628"/>
      <c r="AC470" s="516" t="s">
        <v>842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 t="s">
        <v>2987</v>
      </c>
      <c r="AJ470" s="516"/>
      <c r="AK470" s="516" t="s">
        <v>2988</v>
      </c>
      <c r="AL470" s="544"/>
      <c r="AM470" s="544"/>
    </row>
    <row r="471" spans="3:39" ht="18" customHeight="1">
      <c r="C471" s="516">
        <v>450</v>
      </c>
      <c r="D471" s="516" t="s">
        <v>2989</v>
      </c>
      <c r="E471" s="516">
        <f t="shared" si="9"/>
        <v>430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2990</v>
      </c>
      <c r="W471" s="541" t="s">
        <v>2991</v>
      </c>
      <c r="X471" s="516" t="s">
        <v>876</v>
      </c>
      <c r="Y471" s="542">
        <v>26857</v>
      </c>
      <c r="Z471" s="543">
        <f t="shared" ca="1" si="10"/>
        <v>52</v>
      </c>
      <c r="AA471" s="534" t="s">
        <v>2992</v>
      </c>
      <c r="AB471" s="571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34" t="s">
        <v>865</v>
      </c>
      <c r="AH471" s="516"/>
      <c r="AI471" s="516" t="s">
        <v>2951</v>
      </c>
      <c r="AJ471" s="516"/>
      <c r="AK471" s="516" t="s">
        <v>860</v>
      </c>
      <c r="AL471" s="544"/>
      <c r="AM471" s="544"/>
    </row>
    <row r="472" spans="3:39" ht="18" customHeight="1">
      <c r="C472" s="516">
        <v>451</v>
      </c>
      <c r="D472" s="516" t="s">
        <v>2993</v>
      </c>
      <c r="E472" s="516">
        <f t="shared" si="9"/>
        <v>431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2994</v>
      </c>
      <c r="W472" s="541" t="s">
        <v>2995</v>
      </c>
      <c r="X472" s="516" t="s">
        <v>876</v>
      </c>
      <c r="Y472" s="542">
        <v>27734</v>
      </c>
      <c r="Z472" s="543">
        <f t="shared" ca="1" si="10"/>
        <v>50</v>
      </c>
      <c r="AA472" s="534" t="s">
        <v>2996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2997</v>
      </c>
      <c r="AJ472" s="516"/>
      <c r="AK472" s="516"/>
      <c r="AL472" s="544"/>
      <c r="AM472" s="544"/>
    </row>
    <row r="473" spans="3:39" ht="18" customHeight="1">
      <c r="C473" s="516">
        <v>452</v>
      </c>
      <c r="D473" s="516" t="s">
        <v>2998</v>
      </c>
      <c r="E473" s="516">
        <f t="shared" si="9"/>
        <v>432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59" t="s">
        <v>938</v>
      </c>
      <c r="Q473" s="539"/>
      <c r="R473" s="516"/>
      <c r="S473" s="516"/>
      <c r="T473" s="516"/>
      <c r="U473" s="516" t="s">
        <v>788</v>
      </c>
      <c r="V473" s="559" t="s">
        <v>2999</v>
      </c>
      <c r="W473" s="541" t="s">
        <v>3000</v>
      </c>
      <c r="X473" s="516" t="s">
        <v>876</v>
      </c>
      <c r="Y473" s="542">
        <v>36934</v>
      </c>
      <c r="Z473" s="543">
        <f t="shared" ca="1" si="10"/>
        <v>24</v>
      </c>
      <c r="AA473" s="534" t="s">
        <v>3001</v>
      </c>
      <c r="AB473" s="571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/>
      <c r="AI473" s="516" t="s">
        <v>2951</v>
      </c>
      <c r="AJ473" s="516"/>
      <c r="AK473" s="516" t="s">
        <v>860</v>
      </c>
      <c r="AL473" s="544"/>
      <c r="AM473" s="544"/>
    </row>
    <row r="474" spans="3:39" ht="18" customHeight="1">
      <c r="C474" s="516">
        <v>453</v>
      </c>
      <c r="D474" s="516" t="s">
        <v>2902</v>
      </c>
      <c r="E474" s="516">
        <f t="shared" si="9"/>
        <v>432</v>
      </c>
      <c r="F474" s="534"/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48" t="s">
        <v>978</v>
      </c>
      <c r="Q474" s="539"/>
      <c r="R474" s="516" t="s">
        <v>49</v>
      </c>
      <c r="S474" s="516" t="s">
        <v>168</v>
      </c>
      <c r="T474" s="516"/>
      <c r="U474" s="516"/>
      <c r="V474" s="548" t="s">
        <v>463</v>
      </c>
      <c r="W474" s="541" t="s">
        <v>2903</v>
      </c>
      <c r="X474" s="516" t="s">
        <v>876</v>
      </c>
      <c r="Y474" s="542">
        <v>19031</v>
      </c>
      <c r="Z474" s="543">
        <f t="shared" ca="1" si="10"/>
        <v>73</v>
      </c>
      <c r="AA474" s="534" t="s">
        <v>2904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 t="s">
        <v>872</v>
      </c>
      <c r="AI474" s="516"/>
      <c r="AJ474" s="516"/>
      <c r="AK474" s="516"/>
      <c r="AL474" s="544"/>
      <c r="AM474" s="544"/>
    </row>
    <row r="475" spans="3:39" ht="18" customHeight="1">
      <c r="C475" s="516">
        <v>454</v>
      </c>
      <c r="D475" s="516" t="s">
        <v>3002</v>
      </c>
      <c r="E475" s="516">
        <f t="shared" si="9"/>
        <v>433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 t="s">
        <v>62</v>
      </c>
      <c r="S475" s="516" t="s">
        <v>62</v>
      </c>
      <c r="T475" s="516"/>
      <c r="U475" s="516" t="s">
        <v>874</v>
      </c>
      <c r="V475" s="538" t="s">
        <v>3003</v>
      </c>
      <c r="W475" s="541" t="s">
        <v>3004</v>
      </c>
      <c r="X475" s="516" t="s">
        <v>876</v>
      </c>
      <c r="Y475" s="542">
        <v>20886</v>
      </c>
      <c r="Z475" s="543">
        <f t="shared" ca="1" si="10"/>
        <v>68</v>
      </c>
      <c r="AA475" s="594" t="s">
        <v>3005</v>
      </c>
      <c r="AB475" s="516" t="s">
        <v>3006</v>
      </c>
      <c r="AC475" s="516" t="s">
        <v>842</v>
      </c>
      <c r="AD475" s="516" t="s">
        <v>851</v>
      </c>
      <c r="AE475" s="534" t="s">
        <v>236</v>
      </c>
      <c r="AF475" s="534" t="s">
        <v>236</v>
      </c>
      <c r="AG475" s="574" t="s">
        <v>743</v>
      </c>
      <c r="AH475" s="516"/>
      <c r="AI475" s="516"/>
      <c r="AJ475" s="516" t="s">
        <v>1535</v>
      </c>
      <c r="AK475" s="516"/>
      <c r="AL475" s="544"/>
      <c r="AM475" s="544"/>
    </row>
    <row r="476" spans="3:39" ht="18" customHeight="1">
      <c r="C476" s="516">
        <v>455</v>
      </c>
      <c r="D476" s="516" t="s">
        <v>3007</v>
      </c>
      <c r="E476" s="516">
        <f t="shared" si="9"/>
        <v>434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898</v>
      </c>
      <c r="V476" s="538" t="s">
        <v>3008</v>
      </c>
      <c r="W476" s="541" t="s">
        <v>3009</v>
      </c>
      <c r="X476" s="516" t="s">
        <v>876</v>
      </c>
      <c r="Y476" s="542">
        <v>19423</v>
      </c>
      <c r="Z476" s="543">
        <f t="shared" ca="1" si="10"/>
        <v>72</v>
      </c>
      <c r="AA476" s="534" t="s">
        <v>3010</v>
      </c>
      <c r="AB476" s="516" t="s">
        <v>3011</v>
      </c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456</v>
      </c>
      <c r="D477" s="516" t="s">
        <v>3012</v>
      </c>
      <c r="E477" s="516">
        <f t="shared" si="9"/>
        <v>435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476</v>
      </c>
      <c r="W477" s="541" t="s">
        <v>3013</v>
      </c>
      <c r="X477" s="516" t="s">
        <v>876</v>
      </c>
      <c r="Y477" s="542">
        <v>20639</v>
      </c>
      <c r="Z477" s="543">
        <f t="shared" ca="1" si="10"/>
        <v>69</v>
      </c>
      <c r="AA477" s="534" t="s">
        <v>3014</v>
      </c>
      <c r="AB477" s="516" t="s">
        <v>3015</v>
      </c>
      <c r="AC477" s="516" t="s">
        <v>842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/>
      <c r="AK477" s="516"/>
      <c r="AL477" s="544"/>
      <c r="AM477" s="544"/>
    </row>
    <row r="478" spans="3:39" ht="18" customHeight="1">
      <c r="C478" s="516">
        <v>457</v>
      </c>
      <c r="D478" s="516" t="s">
        <v>3016</v>
      </c>
      <c r="E478" s="516">
        <f t="shared" si="9"/>
        <v>436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898</v>
      </c>
      <c r="V478" s="538" t="s">
        <v>3017</v>
      </c>
      <c r="W478" s="541" t="s">
        <v>3018</v>
      </c>
      <c r="X478" s="516" t="s">
        <v>876</v>
      </c>
      <c r="Y478" s="542">
        <v>20280</v>
      </c>
      <c r="Z478" s="543">
        <f t="shared" ca="1" si="10"/>
        <v>70</v>
      </c>
      <c r="AA478" s="534" t="s">
        <v>3019</v>
      </c>
      <c r="AB478" s="516" t="s">
        <v>3020</v>
      </c>
      <c r="AC478" s="516" t="s">
        <v>802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 t="s">
        <v>1863</v>
      </c>
      <c r="AL478" s="544"/>
      <c r="AM478" s="544"/>
    </row>
    <row r="479" spans="3:39" ht="18" customHeight="1">
      <c r="C479" s="516">
        <v>458</v>
      </c>
      <c r="D479" s="516" t="s">
        <v>3021</v>
      </c>
      <c r="E479" s="516">
        <f t="shared" si="9"/>
        <v>437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3022</v>
      </c>
      <c r="W479" s="541" t="s">
        <v>3023</v>
      </c>
      <c r="X479" s="516" t="s">
        <v>876</v>
      </c>
      <c r="Y479" s="542">
        <v>22315</v>
      </c>
      <c r="Z479" s="543">
        <f t="shared" ca="1" si="10"/>
        <v>64</v>
      </c>
      <c r="AA479" s="534" t="s">
        <v>3024</v>
      </c>
      <c r="AB479" s="516" t="s">
        <v>3025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/>
      <c r="AH479" s="516"/>
      <c r="AI479" s="516"/>
      <c r="AJ479" s="516" t="s">
        <v>832</v>
      </c>
      <c r="AK479" s="516"/>
      <c r="AL479" s="544"/>
      <c r="AM479" s="544"/>
    </row>
    <row r="480" spans="3:39" ht="18" customHeight="1">
      <c r="C480" s="516">
        <v>459</v>
      </c>
      <c r="D480" s="516" t="s">
        <v>3026</v>
      </c>
      <c r="E480" s="516">
        <f t="shared" si="9"/>
        <v>438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3027</v>
      </c>
      <c r="W480" s="541" t="s">
        <v>3028</v>
      </c>
      <c r="X480" s="516" t="s">
        <v>876</v>
      </c>
      <c r="Y480" s="542">
        <v>28525</v>
      </c>
      <c r="Z480" s="543">
        <f t="shared" ca="1" si="10"/>
        <v>47</v>
      </c>
      <c r="AA480" s="534" t="s">
        <v>3029</v>
      </c>
      <c r="AB480" s="516" t="s">
        <v>3030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 t="s">
        <v>865</v>
      </c>
      <c r="AH480" s="516"/>
      <c r="AI480" s="516"/>
      <c r="AJ480" s="516" t="s">
        <v>844</v>
      </c>
      <c r="AK480" s="516"/>
      <c r="AL480" s="544"/>
      <c r="AM480" s="544"/>
    </row>
    <row r="481" spans="3:39" ht="18" customHeight="1">
      <c r="C481" s="516">
        <v>460</v>
      </c>
      <c r="D481" s="516" t="s">
        <v>3031</v>
      </c>
      <c r="E481" s="516">
        <f t="shared" si="9"/>
        <v>439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3032</v>
      </c>
      <c r="W481" s="541" t="s">
        <v>3033</v>
      </c>
      <c r="X481" s="516" t="s">
        <v>876</v>
      </c>
      <c r="Y481" s="542">
        <v>32231</v>
      </c>
      <c r="Z481" s="543">
        <f t="shared" ca="1" si="10"/>
        <v>37</v>
      </c>
      <c r="AA481" s="534" t="s">
        <v>3034</v>
      </c>
      <c r="AB481" s="516" t="s">
        <v>3035</v>
      </c>
      <c r="AC481" s="516" t="s">
        <v>842</v>
      </c>
      <c r="AD481" s="516" t="s">
        <v>851</v>
      </c>
      <c r="AE481" s="534" t="s">
        <v>236</v>
      </c>
      <c r="AF481" s="534" t="s">
        <v>236</v>
      </c>
      <c r="AG481" s="534"/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461</v>
      </c>
      <c r="D482" s="516" t="s">
        <v>3036</v>
      </c>
      <c r="E482" s="516">
        <f t="shared" si="9"/>
        <v>440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489</v>
      </c>
      <c r="W482" s="541" t="s">
        <v>3037</v>
      </c>
      <c r="X482" s="516" t="s">
        <v>876</v>
      </c>
      <c r="Y482" s="542">
        <v>24589</v>
      </c>
      <c r="Z482" s="543">
        <f t="shared" ca="1" si="10"/>
        <v>58</v>
      </c>
      <c r="AA482" s="594" t="s">
        <v>3038</v>
      </c>
      <c r="AB482" s="628"/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 t="s">
        <v>865</v>
      </c>
      <c r="AH482" s="516"/>
      <c r="AI482" s="516"/>
      <c r="AJ482" s="516" t="s">
        <v>1535</v>
      </c>
      <c r="AK482" s="516"/>
      <c r="AL482" s="544"/>
      <c r="AM482" s="544"/>
    </row>
    <row r="483" spans="3:39" ht="18" customHeight="1">
      <c r="C483" s="516">
        <v>462</v>
      </c>
      <c r="D483" s="516" t="s">
        <v>3039</v>
      </c>
      <c r="E483" s="516">
        <f t="shared" si="9"/>
        <v>441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3040</v>
      </c>
      <c r="W483" s="541" t="s">
        <v>3041</v>
      </c>
      <c r="X483" s="516" t="s">
        <v>876</v>
      </c>
      <c r="Y483" s="542">
        <v>25240</v>
      </c>
      <c r="Z483" s="543">
        <f t="shared" ca="1" si="10"/>
        <v>56</v>
      </c>
      <c r="AA483" s="534" t="s">
        <v>3042</v>
      </c>
      <c r="AB483" s="571"/>
      <c r="AC483" s="516" t="s">
        <v>842</v>
      </c>
      <c r="AD483" s="516" t="s">
        <v>843</v>
      </c>
      <c r="AE483" s="534" t="s">
        <v>236</v>
      </c>
      <c r="AF483" s="534" t="s">
        <v>236</v>
      </c>
      <c r="AG483" s="534" t="s">
        <v>865</v>
      </c>
      <c r="AH483" s="516"/>
      <c r="AI483" s="516" t="s">
        <v>3043</v>
      </c>
      <c r="AJ483" s="516" t="s">
        <v>832</v>
      </c>
      <c r="AK483" s="516" t="s">
        <v>860</v>
      </c>
      <c r="AL483" s="544"/>
      <c r="AM483" s="544"/>
    </row>
    <row r="484" spans="3:39" ht="18" customHeight="1">
      <c r="C484" s="516">
        <v>463</v>
      </c>
      <c r="D484" s="516" t="s">
        <v>3044</v>
      </c>
      <c r="E484" s="516">
        <f t="shared" si="9"/>
        <v>442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3045</v>
      </c>
      <c r="W484" s="541" t="s">
        <v>3046</v>
      </c>
      <c r="X484" s="516" t="s">
        <v>876</v>
      </c>
      <c r="Y484" s="542">
        <v>26317</v>
      </c>
      <c r="Z484" s="543">
        <f t="shared" ca="1" si="10"/>
        <v>54</v>
      </c>
      <c r="AA484" s="534" t="s">
        <v>3047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3048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464</v>
      </c>
      <c r="D485" s="516" t="s">
        <v>3049</v>
      </c>
      <c r="E485" s="516">
        <f t="shared" si="9"/>
        <v>443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59" t="s">
        <v>978</v>
      </c>
      <c r="Q485" s="539"/>
      <c r="R485" s="516"/>
      <c r="S485" s="516"/>
      <c r="T485" s="516"/>
      <c r="U485" s="516" t="s">
        <v>874</v>
      </c>
      <c r="V485" s="559" t="s">
        <v>3050</v>
      </c>
      <c r="W485" s="541" t="s">
        <v>3051</v>
      </c>
      <c r="X485" s="516" t="s">
        <v>876</v>
      </c>
      <c r="Y485" s="542">
        <v>22333</v>
      </c>
      <c r="Z485" s="543">
        <f t="shared" ca="1" si="10"/>
        <v>64</v>
      </c>
      <c r="AA485" s="534" t="s">
        <v>3052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/>
      <c r="AH485" s="516"/>
      <c r="AI485" s="516" t="s">
        <v>3053</v>
      </c>
      <c r="AJ485" s="516" t="s">
        <v>844</v>
      </c>
      <c r="AK485" s="572" t="s">
        <v>1284</v>
      </c>
      <c r="AL485" s="544"/>
      <c r="AM485" s="544"/>
    </row>
    <row r="486" spans="3:39" ht="18" customHeight="1">
      <c r="C486" s="516">
        <v>465</v>
      </c>
      <c r="D486" s="516" t="s">
        <v>2906</v>
      </c>
      <c r="E486" s="516">
        <f t="shared" si="9"/>
        <v>443</v>
      </c>
      <c r="F486" s="534"/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48" t="s">
        <v>2372</v>
      </c>
      <c r="Q486" s="539"/>
      <c r="R486" s="516" t="s">
        <v>49</v>
      </c>
      <c r="S486" s="516" t="s">
        <v>168</v>
      </c>
      <c r="T486" s="516"/>
      <c r="U486" s="516"/>
      <c r="V486" s="548" t="s">
        <v>470</v>
      </c>
      <c r="W486" s="541" t="s">
        <v>2907</v>
      </c>
      <c r="X486" s="516" t="s">
        <v>876</v>
      </c>
      <c r="Y486" s="542">
        <v>18523</v>
      </c>
      <c r="Z486" s="543">
        <f t="shared" ca="1" si="10"/>
        <v>75</v>
      </c>
      <c r="AA486" s="534" t="s">
        <v>2908</v>
      </c>
      <c r="AB486" s="516" t="s">
        <v>2909</v>
      </c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 t="s">
        <v>872</v>
      </c>
      <c r="AI486" s="516"/>
      <c r="AJ486" s="516"/>
      <c r="AK486" s="516"/>
      <c r="AL486" s="544"/>
      <c r="AM486" s="544"/>
    </row>
    <row r="487" spans="3:39" ht="18" customHeight="1">
      <c r="C487" s="516">
        <v>466</v>
      </c>
      <c r="D487" s="516" t="s">
        <v>3055</v>
      </c>
      <c r="E487" s="516">
        <f t="shared" si="9"/>
        <v>444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 t="s">
        <v>62</v>
      </c>
      <c r="S487" s="516" t="s">
        <v>548</v>
      </c>
      <c r="T487" s="516"/>
      <c r="U487" s="516" t="s">
        <v>898</v>
      </c>
      <c r="V487" s="538" t="s">
        <v>501</v>
      </c>
      <c r="W487" s="541" t="s">
        <v>3056</v>
      </c>
      <c r="X487" s="516" t="s">
        <v>876</v>
      </c>
      <c r="Y487" s="542">
        <v>19573</v>
      </c>
      <c r="Z487" s="543">
        <f t="shared" ca="1" si="10"/>
        <v>72</v>
      </c>
      <c r="AA487" s="534" t="s">
        <v>3057</v>
      </c>
      <c r="AB487" s="516" t="s">
        <v>3058</v>
      </c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3059</v>
      </c>
      <c r="AH487" s="516"/>
      <c r="AI487" s="516"/>
      <c r="AJ487" s="516" t="s">
        <v>867</v>
      </c>
      <c r="AK487" s="516"/>
      <c r="AL487" s="544"/>
      <c r="AM487" s="544"/>
    </row>
    <row r="488" spans="3:39" ht="18" customHeight="1">
      <c r="C488" s="516">
        <v>467</v>
      </c>
      <c r="D488" s="516" t="s">
        <v>3060</v>
      </c>
      <c r="E488" s="516">
        <f t="shared" si="9"/>
        <v>445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898</v>
      </c>
      <c r="V488" s="538" t="s">
        <v>509</v>
      </c>
      <c r="W488" s="541" t="s">
        <v>3061</v>
      </c>
      <c r="X488" s="516" t="s">
        <v>876</v>
      </c>
      <c r="Y488" s="542">
        <v>19429</v>
      </c>
      <c r="Z488" s="543">
        <f t="shared" ca="1" si="10"/>
        <v>72</v>
      </c>
      <c r="AA488" s="534" t="s">
        <v>3062</v>
      </c>
      <c r="AB488" s="516" t="s">
        <v>3063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3064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468</v>
      </c>
      <c r="D489" s="516" t="s">
        <v>3065</v>
      </c>
      <c r="E489" s="516">
        <f t="shared" si="9"/>
        <v>446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517</v>
      </c>
      <c r="W489" s="541" t="s">
        <v>3066</v>
      </c>
      <c r="X489" s="516" t="s">
        <v>876</v>
      </c>
      <c r="Y489" s="542">
        <v>19754</v>
      </c>
      <c r="Z489" s="543">
        <f t="shared" ca="1" si="10"/>
        <v>71</v>
      </c>
      <c r="AA489" s="534" t="s">
        <v>3067</v>
      </c>
      <c r="AB489" s="516" t="s">
        <v>3068</v>
      </c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3069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469</v>
      </c>
      <c r="D490" s="516" t="s">
        <v>3070</v>
      </c>
      <c r="E490" s="516">
        <f t="shared" si="9"/>
        <v>447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525</v>
      </c>
      <c r="W490" s="541" t="s">
        <v>3071</v>
      </c>
      <c r="X490" s="516" t="s">
        <v>876</v>
      </c>
      <c r="Y490" s="542">
        <v>27624</v>
      </c>
      <c r="Z490" s="543">
        <f t="shared" ca="1" si="10"/>
        <v>50</v>
      </c>
      <c r="AA490" s="534" t="s">
        <v>3072</v>
      </c>
      <c r="AB490" s="516" t="s">
        <v>3073</v>
      </c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865</v>
      </c>
      <c r="AH490" s="516"/>
      <c r="AI490" s="516" t="s">
        <v>3074</v>
      </c>
      <c r="AJ490" s="516"/>
      <c r="AK490" s="516"/>
      <c r="AL490" s="544"/>
      <c r="AM490" s="544"/>
    </row>
    <row r="491" spans="3:39" ht="18" customHeight="1">
      <c r="C491" s="516">
        <v>470</v>
      </c>
      <c r="D491" s="516" t="s">
        <v>3075</v>
      </c>
      <c r="E491" s="516">
        <f t="shared" si="9"/>
        <v>448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3076</v>
      </c>
      <c r="W491" s="541" t="s">
        <v>3077</v>
      </c>
      <c r="X491" s="516" t="s">
        <v>876</v>
      </c>
      <c r="Y491" s="542">
        <v>31364</v>
      </c>
      <c r="Z491" s="543">
        <f t="shared" ca="1" si="10"/>
        <v>40</v>
      </c>
      <c r="AA491" s="534" t="s">
        <v>3078</v>
      </c>
      <c r="AB491" s="516" t="s">
        <v>3079</v>
      </c>
      <c r="AC491" s="516" t="s">
        <v>842</v>
      </c>
      <c r="AD491" s="516" t="s">
        <v>843</v>
      </c>
      <c r="AE491" s="534" t="s">
        <v>236</v>
      </c>
      <c r="AF491" s="534" t="s">
        <v>2529</v>
      </c>
      <c r="AG491" s="534" t="s">
        <v>1289</v>
      </c>
      <c r="AH491" s="516"/>
      <c r="AI491" s="516"/>
      <c r="AJ491" s="516" t="s">
        <v>844</v>
      </c>
      <c r="AK491" s="516"/>
      <c r="AL491" s="544"/>
      <c r="AM491" s="544"/>
    </row>
    <row r="492" spans="3:39" ht="18" customHeight="1">
      <c r="C492" s="516">
        <v>471</v>
      </c>
      <c r="D492" s="516" t="s">
        <v>3080</v>
      </c>
      <c r="E492" s="516">
        <f t="shared" si="9"/>
        <v>449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3081</v>
      </c>
      <c r="W492" s="541" t="s">
        <v>3082</v>
      </c>
      <c r="X492" s="516" t="s">
        <v>876</v>
      </c>
      <c r="Y492" s="542">
        <v>21555</v>
      </c>
      <c r="Z492" s="543">
        <f t="shared" ca="1" si="10"/>
        <v>67</v>
      </c>
      <c r="AA492" s="534" t="s">
        <v>3083</v>
      </c>
      <c r="AB492" s="516" t="s">
        <v>3084</v>
      </c>
      <c r="AC492" s="516" t="s">
        <v>802</v>
      </c>
      <c r="AD492" s="516" t="s">
        <v>794</v>
      </c>
      <c r="AE492" s="534" t="s">
        <v>236</v>
      </c>
      <c r="AF492" s="534" t="s">
        <v>236</v>
      </c>
      <c r="AG492" s="534" t="s">
        <v>865</v>
      </c>
      <c r="AH492" s="516"/>
      <c r="AI492" s="516"/>
      <c r="AJ492" s="516" t="s">
        <v>867</v>
      </c>
      <c r="AK492" s="516"/>
      <c r="AL492" s="544"/>
      <c r="AM492" s="544"/>
    </row>
    <row r="493" spans="3:39" ht="18" customHeight="1">
      <c r="C493" s="516">
        <v>472</v>
      </c>
      <c r="D493" s="516" t="s">
        <v>3085</v>
      </c>
      <c r="E493" s="516">
        <f t="shared" si="9"/>
        <v>450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544</v>
      </c>
      <c r="W493" s="541" t="s">
        <v>3086</v>
      </c>
      <c r="X493" s="516" t="s">
        <v>876</v>
      </c>
      <c r="Y493" s="542">
        <v>21988</v>
      </c>
      <c r="Z493" s="543">
        <f t="shared" ca="1" si="10"/>
        <v>65</v>
      </c>
      <c r="AA493" s="534" t="s">
        <v>3087</v>
      </c>
      <c r="AB493" s="516" t="s">
        <v>3088</v>
      </c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473</v>
      </c>
      <c r="D494" s="516" t="s">
        <v>3089</v>
      </c>
      <c r="E494" s="516">
        <f t="shared" si="9"/>
        <v>451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898</v>
      </c>
      <c r="V494" s="538" t="s">
        <v>3090</v>
      </c>
      <c r="W494" s="541" t="s">
        <v>3091</v>
      </c>
      <c r="X494" s="516" t="s">
        <v>876</v>
      </c>
      <c r="Y494" s="542">
        <v>18799</v>
      </c>
      <c r="Z494" s="543">
        <f t="shared" ca="1" si="10"/>
        <v>74</v>
      </c>
      <c r="AA494" s="534" t="s">
        <v>3092</v>
      </c>
      <c r="AB494" s="516" t="s">
        <v>3093</v>
      </c>
      <c r="AC494" s="516" t="s">
        <v>842</v>
      </c>
      <c r="AD494" s="516" t="s">
        <v>794</v>
      </c>
      <c r="AE494" s="534" t="s">
        <v>236</v>
      </c>
      <c r="AF494" s="534" t="s">
        <v>236</v>
      </c>
      <c r="AG494" s="534" t="s">
        <v>3064</v>
      </c>
      <c r="AH494" s="516"/>
      <c r="AI494" s="516" t="s">
        <v>3094</v>
      </c>
      <c r="AJ494" s="516" t="s">
        <v>867</v>
      </c>
      <c r="AK494" s="516" t="s">
        <v>860</v>
      </c>
      <c r="AL494" s="544"/>
      <c r="AM494" s="544"/>
    </row>
    <row r="495" spans="3:39" ht="18" customHeight="1">
      <c r="C495" s="516">
        <v>474</v>
      </c>
      <c r="D495" s="516" t="s">
        <v>3095</v>
      </c>
      <c r="E495" s="516">
        <f t="shared" si="9"/>
        <v>452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3096</v>
      </c>
      <c r="W495" s="541" t="s">
        <v>3097</v>
      </c>
      <c r="X495" s="516" t="s">
        <v>876</v>
      </c>
      <c r="Y495" s="542">
        <v>19719</v>
      </c>
      <c r="Z495" s="543">
        <f t="shared" ca="1" si="10"/>
        <v>72</v>
      </c>
      <c r="AA495" s="534" t="s">
        <v>3098</v>
      </c>
      <c r="AB495" s="516" t="s">
        <v>3099</v>
      </c>
      <c r="AC495" s="516" t="s">
        <v>842</v>
      </c>
      <c r="AD495" s="516" t="s">
        <v>843</v>
      </c>
      <c r="AE495" s="534" t="s">
        <v>236</v>
      </c>
      <c r="AF495" s="534" t="s">
        <v>236</v>
      </c>
      <c r="AG495" s="534" t="s">
        <v>3069</v>
      </c>
      <c r="AH495" s="516"/>
      <c r="AI495" s="516" t="s">
        <v>3100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475</v>
      </c>
      <c r="D496" s="516" t="s">
        <v>3101</v>
      </c>
      <c r="E496" s="516">
        <f t="shared" si="9"/>
        <v>453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59" t="s">
        <v>2372</v>
      </c>
      <c r="Q496" s="539"/>
      <c r="R496" s="516"/>
      <c r="S496" s="516"/>
      <c r="T496" s="516"/>
      <c r="U496" s="516" t="s">
        <v>874</v>
      </c>
      <c r="V496" s="559" t="s">
        <v>559</v>
      </c>
      <c r="W496" s="541" t="s">
        <v>3102</v>
      </c>
      <c r="X496" s="516" t="s">
        <v>876</v>
      </c>
      <c r="Y496" s="542">
        <v>23913</v>
      </c>
      <c r="Z496" s="543">
        <f t="shared" ca="1" si="10"/>
        <v>60</v>
      </c>
      <c r="AA496" s="534" t="s">
        <v>3103</v>
      </c>
      <c r="AB496" s="516" t="s">
        <v>3104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865</v>
      </c>
      <c r="AH496" s="516"/>
      <c r="AI496" s="516" t="s">
        <v>3105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476</v>
      </c>
      <c r="D497" s="516" t="s">
        <v>2906</v>
      </c>
      <c r="E497" s="516">
        <f t="shared" si="9"/>
        <v>453</v>
      </c>
      <c r="F497" s="534"/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48" t="s">
        <v>2425</v>
      </c>
      <c r="Q497" s="539"/>
      <c r="R497" s="516" t="s">
        <v>49</v>
      </c>
      <c r="S497" s="516" t="s">
        <v>168</v>
      </c>
      <c r="T497" s="516"/>
      <c r="U497" s="516"/>
      <c r="V497" s="548" t="s">
        <v>470</v>
      </c>
      <c r="W497" s="541" t="s">
        <v>2907</v>
      </c>
      <c r="X497" s="516" t="s">
        <v>876</v>
      </c>
      <c r="Y497" s="542">
        <v>18523</v>
      </c>
      <c r="Z497" s="543">
        <f t="shared" ca="1" si="10"/>
        <v>75</v>
      </c>
      <c r="AA497" s="534" t="s">
        <v>2908</v>
      </c>
      <c r="AB497" s="516"/>
      <c r="AC497" s="516" t="s">
        <v>802</v>
      </c>
      <c r="AD497" s="516" t="s">
        <v>794</v>
      </c>
      <c r="AE497" s="534" t="s">
        <v>236</v>
      </c>
      <c r="AF497" s="534" t="s">
        <v>236</v>
      </c>
      <c r="AG497" s="534" t="s">
        <v>865</v>
      </c>
      <c r="AH497" s="516" t="s">
        <v>872</v>
      </c>
      <c r="AI497" s="516"/>
      <c r="AJ497" s="516"/>
      <c r="AK497" s="516"/>
      <c r="AL497" s="544"/>
      <c r="AM497" s="544"/>
    </row>
    <row r="498" spans="3:39" ht="18" customHeight="1">
      <c r="C498" s="516">
        <v>477</v>
      </c>
      <c r="D498" s="516" t="s">
        <v>3106</v>
      </c>
      <c r="E498" s="516">
        <f t="shared" si="9"/>
        <v>454</v>
      </c>
      <c r="F498" s="534" t="s">
        <v>1001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898</v>
      </c>
      <c r="V498" s="538" t="s">
        <v>502</v>
      </c>
      <c r="W498" s="541" t="s">
        <v>3107</v>
      </c>
      <c r="X498" s="516" t="s">
        <v>876</v>
      </c>
      <c r="Y498" s="542">
        <v>19948</v>
      </c>
      <c r="Z498" s="543">
        <f t="shared" ca="1" si="10"/>
        <v>71</v>
      </c>
      <c r="AA498" s="534" t="s">
        <v>3108</v>
      </c>
      <c r="AB498" s="516" t="s">
        <v>3109</v>
      </c>
      <c r="AC498" s="516" t="s">
        <v>842</v>
      </c>
      <c r="AD498" s="516" t="s">
        <v>851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478</v>
      </c>
      <c r="D499" s="516" t="s">
        <v>3110</v>
      </c>
      <c r="E499" s="516">
        <f t="shared" si="9"/>
        <v>455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874</v>
      </c>
      <c r="V499" s="538" t="s">
        <v>510</v>
      </c>
      <c r="W499" s="541" t="s">
        <v>3111</v>
      </c>
      <c r="X499" s="516" t="s">
        <v>876</v>
      </c>
      <c r="Y499" s="542">
        <v>20806</v>
      </c>
      <c r="Z499" s="543">
        <f t="shared" ca="1" si="10"/>
        <v>69</v>
      </c>
      <c r="AA499" s="534" t="s">
        <v>3112</v>
      </c>
      <c r="AB499" s="516" t="s">
        <v>3113</v>
      </c>
      <c r="AC499" s="516" t="s">
        <v>842</v>
      </c>
      <c r="AD499" s="516" t="s">
        <v>843</v>
      </c>
      <c r="AE499" s="534" t="s">
        <v>713</v>
      </c>
      <c r="AF499" s="534" t="s">
        <v>713</v>
      </c>
      <c r="AG499" s="534" t="s">
        <v>3114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479</v>
      </c>
      <c r="D500" s="516" t="s">
        <v>3115</v>
      </c>
      <c r="E500" s="516">
        <f t="shared" si="9"/>
        <v>456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518</v>
      </c>
      <c r="W500" s="541" t="s">
        <v>3116</v>
      </c>
      <c r="X500" s="516" t="s">
        <v>876</v>
      </c>
      <c r="Y500" s="542">
        <v>21342</v>
      </c>
      <c r="Z500" s="543">
        <f t="shared" ca="1" si="10"/>
        <v>67</v>
      </c>
      <c r="AA500" s="534" t="s">
        <v>3117</v>
      </c>
      <c r="AB500" s="516" t="s">
        <v>3118</v>
      </c>
      <c r="AC500" s="516" t="s">
        <v>842</v>
      </c>
      <c r="AD500" s="516" t="s">
        <v>851</v>
      </c>
      <c r="AE500" s="534" t="s">
        <v>236</v>
      </c>
      <c r="AF500" s="552" t="s">
        <v>236</v>
      </c>
      <c r="AG500" s="552" t="s">
        <v>865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480</v>
      </c>
      <c r="D501" s="516" t="s">
        <v>3119</v>
      </c>
      <c r="E501" s="516">
        <f t="shared" si="9"/>
        <v>457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526</v>
      </c>
      <c r="W501" s="541" t="s">
        <v>3120</v>
      </c>
      <c r="X501" s="516" t="s">
        <v>876</v>
      </c>
      <c r="Y501" s="542">
        <v>22495</v>
      </c>
      <c r="Z501" s="543">
        <f t="shared" ca="1" si="10"/>
        <v>64</v>
      </c>
      <c r="AA501" s="534" t="s">
        <v>3121</v>
      </c>
      <c r="AB501" s="516" t="s">
        <v>3122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481</v>
      </c>
      <c r="D502" s="516" t="s">
        <v>3123</v>
      </c>
      <c r="E502" s="516">
        <f t="shared" si="9"/>
        <v>458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59" t="s">
        <v>2425</v>
      </c>
      <c r="Q502" s="539" t="s">
        <v>308</v>
      </c>
      <c r="R502" s="516"/>
      <c r="S502" s="516"/>
      <c r="T502" s="516"/>
      <c r="U502" s="516" t="s">
        <v>874</v>
      </c>
      <c r="V502" s="559" t="s">
        <v>533</v>
      </c>
      <c r="W502" s="541" t="s">
        <v>3124</v>
      </c>
      <c r="X502" s="516" t="s">
        <v>876</v>
      </c>
      <c r="Y502" s="542">
        <v>23608</v>
      </c>
      <c r="Z502" s="543">
        <f t="shared" ca="1" si="10"/>
        <v>61</v>
      </c>
      <c r="AA502" s="534" t="s">
        <v>3125</v>
      </c>
      <c r="AB502" s="516" t="s">
        <v>3126</v>
      </c>
      <c r="AC502" s="516" t="s">
        <v>842</v>
      </c>
      <c r="AD502" s="516" t="s">
        <v>843</v>
      </c>
      <c r="AE502" s="534" t="s">
        <v>236</v>
      </c>
      <c r="AF502" s="552" t="s">
        <v>236</v>
      </c>
      <c r="AG502" s="534" t="s">
        <v>3127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482</v>
      </c>
      <c r="D503" s="516" t="s">
        <v>2914</v>
      </c>
      <c r="E503" s="516">
        <f t="shared" si="9"/>
        <v>458</v>
      </c>
      <c r="F503" s="534"/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48" t="s">
        <v>3129</v>
      </c>
      <c r="Q503" s="539"/>
      <c r="R503" s="516" t="s">
        <v>49</v>
      </c>
      <c r="S503" s="516" t="s">
        <v>168</v>
      </c>
      <c r="T503" s="516"/>
      <c r="U503" s="516"/>
      <c r="V503" s="548" t="s">
        <v>478</v>
      </c>
      <c r="W503" s="541" t="s">
        <v>2915</v>
      </c>
      <c r="X503" s="516" t="s">
        <v>876</v>
      </c>
      <c r="Y503" s="542">
        <v>23418</v>
      </c>
      <c r="Z503" s="543">
        <f t="shared" ca="1" si="10"/>
        <v>61</v>
      </c>
      <c r="AA503" s="534" t="s">
        <v>2916</v>
      </c>
      <c r="AB503" s="516"/>
      <c r="AC503" s="516" t="s">
        <v>842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 t="s">
        <v>872</v>
      </c>
      <c r="AI503" s="516"/>
      <c r="AJ503" s="516"/>
      <c r="AK503" s="516"/>
      <c r="AL503" s="544"/>
      <c r="AM503" s="544"/>
    </row>
    <row r="504" spans="3:39" ht="18" customHeight="1">
      <c r="C504" s="516">
        <v>483</v>
      </c>
      <c r="D504" s="516" t="s">
        <v>3128</v>
      </c>
      <c r="E504" s="516">
        <f t="shared" si="9"/>
        <v>459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 t="s">
        <v>62</v>
      </c>
      <c r="S504" s="516" t="s">
        <v>548</v>
      </c>
      <c r="T504" s="516"/>
      <c r="U504" s="516" t="s">
        <v>874</v>
      </c>
      <c r="V504" s="538" t="s">
        <v>503</v>
      </c>
      <c r="W504" s="541" t="s">
        <v>3130</v>
      </c>
      <c r="X504" s="516" t="s">
        <v>876</v>
      </c>
      <c r="Y504" s="542">
        <v>29204</v>
      </c>
      <c r="Z504" s="543">
        <f t="shared" ca="1" si="10"/>
        <v>46</v>
      </c>
      <c r="AA504" s="534" t="s">
        <v>3131</v>
      </c>
      <c r="AB504" s="516" t="s">
        <v>3132</v>
      </c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865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484</v>
      </c>
      <c r="D505" s="516" t="s">
        <v>3133</v>
      </c>
      <c r="E505" s="516">
        <f t="shared" si="9"/>
        <v>460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511</v>
      </c>
      <c r="W505" s="541" t="s">
        <v>3134</v>
      </c>
      <c r="X505" s="516" t="s">
        <v>876</v>
      </c>
      <c r="Y505" s="542">
        <v>33409</v>
      </c>
      <c r="Z505" s="543">
        <f t="shared" ca="1" si="10"/>
        <v>34</v>
      </c>
      <c r="AA505" s="534" t="s">
        <v>3135</v>
      </c>
      <c r="AB505" s="516" t="s">
        <v>3136</v>
      </c>
      <c r="AC505" s="516" t="s">
        <v>802</v>
      </c>
      <c r="AD505" s="516" t="s">
        <v>794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/>
      <c r="AK505" s="516"/>
      <c r="AL505" s="544"/>
      <c r="AM505" s="544"/>
    </row>
    <row r="506" spans="3:39" ht="18" customHeight="1">
      <c r="C506" s="516">
        <v>485</v>
      </c>
      <c r="D506" s="516" t="s">
        <v>3137</v>
      </c>
      <c r="E506" s="516">
        <f t="shared" si="9"/>
        <v>461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519</v>
      </c>
      <c r="W506" s="541" t="s">
        <v>3138</v>
      </c>
      <c r="X506" s="516" t="s">
        <v>876</v>
      </c>
      <c r="Y506" s="542">
        <v>31186</v>
      </c>
      <c r="Z506" s="543">
        <f t="shared" ca="1" si="10"/>
        <v>40</v>
      </c>
      <c r="AA506" s="534" t="s">
        <v>3139</v>
      </c>
      <c r="AB506" s="516" t="s">
        <v>3140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486</v>
      </c>
      <c r="D507" s="516" t="s">
        <v>3141</v>
      </c>
      <c r="E507" s="516">
        <f t="shared" si="9"/>
        <v>462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527</v>
      </c>
      <c r="W507" s="541" t="s">
        <v>3142</v>
      </c>
      <c r="X507" s="516" t="s">
        <v>876</v>
      </c>
      <c r="Y507" s="542">
        <v>27491</v>
      </c>
      <c r="Z507" s="543">
        <f t="shared" ca="1" si="10"/>
        <v>50</v>
      </c>
      <c r="AA507" s="534" t="s">
        <v>3143</v>
      </c>
      <c r="AB507" s="516" t="s">
        <v>3144</v>
      </c>
      <c r="AC507" s="516" t="s">
        <v>842</v>
      </c>
      <c r="AD507" s="516" t="s">
        <v>851</v>
      </c>
      <c r="AE507" s="534" t="s">
        <v>236</v>
      </c>
      <c r="AF507" s="534" t="s">
        <v>236</v>
      </c>
      <c r="AG507" s="534" t="s">
        <v>3145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487</v>
      </c>
      <c r="D508" s="516" t="s">
        <v>3146</v>
      </c>
      <c r="E508" s="516">
        <f t="shared" si="9"/>
        <v>463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534</v>
      </c>
      <c r="W508" s="541" t="s">
        <v>3147</v>
      </c>
      <c r="X508" s="516" t="s">
        <v>876</v>
      </c>
      <c r="Y508" s="542">
        <v>28459</v>
      </c>
      <c r="Z508" s="543">
        <f t="shared" ca="1" si="10"/>
        <v>48</v>
      </c>
      <c r="AA508" s="534" t="s">
        <v>3148</v>
      </c>
      <c r="AB508" s="516" t="s">
        <v>3149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3150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488</v>
      </c>
      <c r="D509" s="516" t="s">
        <v>3151</v>
      </c>
      <c r="E509" s="516">
        <f t="shared" si="9"/>
        <v>464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540</v>
      </c>
      <c r="W509" s="541" t="s">
        <v>3152</v>
      </c>
      <c r="X509" s="516" t="s">
        <v>876</v>
      </c>
      <c r="Y509" s="542">
        <v>29948</v>
      </c>
      <c r="Z509" s="543">
        <f t="shared" ca="1" si="10"/>
        <v>44</v>
      </c>
      <c r="AA509" s="534" t="s">
        <v>3153</v>
      </c>
      <c r="AB509" s="516" t="s">
        <v>3154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865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489</v>
      </c>
      <c r="D510" s="516" t="s">
        <v>3155</v>
      </c>
      <c r="E510" s="516">
        <f t="shared" si="9"/>
        <v>465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545</v>
      </c>
      <c r="W510" s="541" t="s">
        <v>3156</v>
      </c>
      <c r="X510" s="516" t="s">
        <v>876</v>
      </c>
      <c r="Y510" s="542">
        <v>30545</v>
      </c>
      <c r="Z510" s="543">
        <f t="shared" ca="1" si="10"/>
        <v>42</v>
      </c>
      <c r="AA510" s="534" t="s">
        <v>3157</v>
      </c>
      <c r="AB510" s="516" t="s">
        <v>3158</v>
      </c>
      <c r="AC510" s="516" t="s">
        <v>802</v>
      </c>
      <c r="AD510" s="516" t="s">
        <v>794</v>
      </c>
      <c r="AE510" s="534" t="s">
        <v>236</v>
      </c>
      <c r="AF510" s="534" t="s">
        <v>236</v>
      </c>
      <c r="AG510" s="534" t="s">
        <v>3159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490</v>
      </c>
      <c r="D511" s="516" t="s">
        <v>3160</v>
      </c>
      <c r="E511" s="516">
        <f t="shared" si="9"/>
        <v>466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551</v>
      </c>
      <c r="W511" s="541" t="s">
        <v>3161</v>
      </c>
      <c r="X511" s="516" t="s">
        <v>876</v>
      </c>
      <c r="Y511" s="542">
        <v>34130</v>
      </c>
      <c r="Z511" s="543">
        <f t="shared" ca="1" si="10"/>
        <v>32</v>
      </c>
      <c r="AA511" s="534" t="s">
        <v>3162</v>
      </c>
      <c r="AB511" s="628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3163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491</v>
      </c>
      <c r="D512" s="516" t="s">
        <v>3164</v>
      </c>
      <c r="E512" s="516">
        <f t="shared" si="9"/>
        <v>467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3165</v>
      </c>
      <c r="W512" s="541" t="s">
        <v>3166</v>
      </c>
      <c r="X512" s="516" t="s">
        <v>876</v>
      </c>
      <c r="Y512" s="542">
        <v>29575</v>
      </c>
      <c r="Z512" s="543">
        <f t="shared" ca="1" si="10"/>
        <v>45</v>
      </c>
      <c r="AA512" s="534" t="s">
        <v>3167</v>
      </c>
      <c r="AB512" s="571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/>
      <c r="AI512" s="516" t="s">
        <v>3100</v>
      </c>
      <c r="AJ512" s="516" t="s">
        <v>867</v>
      </c>
      <c r="AK512" s="516" t="s">
        <v>860</v>
      </c>
      <c r="AL512" s="544"/>
      <c r="AM512" s="544"/>
    </row>
    <row r="513" spans="3:39" ht="18" customHeight="1">
      <c r="C513" s="516">
        <v>492</v>
      </c>
      <c r="D513" s="516" t="s">
        <v>3168</v>
      </c>
      <c r="E513" s="516">
        <f t="shared" si="9"/>
        <v>468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3169</v>
      </c>
      <c r="W513" s="541" t="s">
        <v>3170</v>
      </c>
      <c r="X513" s="516" t="s">
        <v>876</v>
      </c>
      <c r="Y513" s="542">
        <v>22440</v>
      </c>
      <c r="Z513" s="543">
        <f t="shared" ca="1" si="10"/>
        <v>64</v>
      </c>
      <c r="AA513" s="534" t="s">
        <v>3171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3172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493</v>
      </c>
      <c r="D514" s="516" t="s">
        <v>3173</v>
      </c>
      <c r="E514" s="516">
        <f t="shared" si="9"/>
        <v>469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3174</v>
      </c>
      <c r="W514" s="541" t="s">
        <v>3175</v>
      </c>
      <c r="X514" s="516" t="s">
        <v>876</v>
      </c>
      <c r="Y514" s="542">
        <v>26500</v>
      </c>
      <c r="Z514" s="543">
        <f t="shared" ca="1" si="10"/>
        <v>53</v>
      </c>
      <c r="AA514" s="534" t="s">
        <v>3176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494</v>
      </c>
      <c r="D515" s="516" t="s">
        <v>3177</v>
      </c>
      <c r="E515" s="516">
        <f t="shared" si="9"/>
        <v>470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59" t="s">
        <v>3129</v>
      </c>
      <c r="Q515" s="539"/>
      <c r="R515" s="516"/>
      <c r="S515" s="516"/>
      <c r="T515" s="516"/>
      <c r="U515" s="516" t="s">
        <v>874</v>
      </c>
      <c r="V515" s="559" t="s">
        <v>3178</v>
      </c>
      <c r="W515" s="541" t="s">
        <v>3179</v>
      </c>
      <c r="X515" s="516" t="s">
        <v>876</v>
      </c>
      <c r="Y515" s="542">
        <v>33645</v>
      </c>
      <c r="Z515" s="543">
        <f t="shared" ca="1" si="10"/>
        <v>33</v>
      </c>
      <c r="AA515" s="534" t="s">
        <v>3180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3181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495</v>
      </c>
      <c r="D516" s="516" t="s">
        <v>2914</v>
      </c>
      <c r="E516" s="516">
        <f t="shared" si="9"/>
        <v>470</v>
      </c>
      <c r="F516" s="534"/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48" t="s">
        <v>3183</v>
      </c>
      <c r="Q516" s="539"/>
      <c r="R516" s="516" t="s">
        <v>49</v>
      </c>
      <c r="S516" s="516" t="s">
        <v>168</v>
      </c>
      <c r="T516" s="516"/>
      <c r="U516" s="516"/>
      <c r="V516" s="548" t="s">
        <v>478</v>
      </c>
      <c r="W516" s="541" t="s">
        <v>2915</v>
      </c>
      <c r="X516" s="516" t="s">
        <v>876</v>
      </c>
      <c r="Y516" s="542">
        <v>23418</v>
      </c>
      <c r="Z516" s="543">
        <f t="shared" ca="1" si="10"/>
        <v>61</v>
      </c>
      <c r="AA516" s="534" t="s">
        <v>2916</v>
      </c>
      <c r="AB516" s="516" t="s">
        <v>2917</v>
      </c>
      <c r="AC516" s="516" t="s">
        <v>842</v>
      </c>
      <c r="AD516" s="516" t="s">
        <v>794</v>
      </c>
      <c r="AE516" s="534" t="s">
        <v>236</v>
      </c>
      <c r="AF516" s="534" t="s">
        <v>236</v>
      </c>
      <c r="AG516" s="534" t="s">
        <v>865</v>
      </c>
      <c r="AH516" s="516" t="s">
        <v>872</v>
      </c>
      <c r="AI516" s="516"/>
      <c r="AJ516" s="516"/>
      <c r="AK516" s="516"/>
      <c r="AL516" s="544"/>
      <c r="AM516" s="544"/>
    </row>
    <row r="517" spans="3:39" ht="18" customHeight="1">
      <c r="C517" s="516">
        <v>496</v>
      </c>
      <c r="D517" s="516" t="s">
        <v>3182</v>
      </c>
      <c r="E517" s="516">
        <f t="shared" si="9"/>
        <v>471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504</v>
      </c>
      <c r="W517" s="541" t="s">
        <v>3184</v>
      </c>
      <c r="X517" s="516" t="s">
        <v>876</v>
      </c>
      <c r="Y517" s="542">
        <v>22251</v>
      </c>
      <c r="Z517" s="543">
        <f t="shared" ca="1" si="10"/>
        <v>65</v>
      </c>
      <c r="AA517" s="534" t="s">
        <v>3185</v>
      </c>
      <c r="AB517" s="516" t="s">
        <v>3186</v>
      </c>
      <c r="AC517" s="516" t="s">
        <v>842</v>
      </c>
      <c r="AD517" s="516" t="s">
        <v>851</v>
      </c>
      <c r="AE517" s="534" t="s">
        <v>942</v>
      </c>
      <c r="AF517" s="534" t="s">
        <v>942</v>
      </c>
      <c r="AG517" s="534" t="s">
        <v>2179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497</v>
      </c>
      <c r="D518" s="516" t="s">
        <v>3187</v>
      </c>
      <c r="E518" s="516">
        <f t="shared" si="9"/>
        <v>472</v>
      </c>
      <c r="F518" s="534" t="s">
        <v>1841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512</v>
      </c>
      <c r="W518" s="541" t="s">
        <v>3188</v>
      </c>
      <c r="X518" s="516" t="s">
        <v>876</v>
      </c>
      <c r="Y518" s="542">
        <v>23509</v>
      </c>
      <c r="Z518" s="543">
        <f t="shared" ca="1" si="10"/>
        <v>61</v>
      </c>
      <c r="AA518" s="534" t="s">
        <v>3189</v>
      </c>
      <c r="AB518" s="516" t="s">
        <v>3190</v>
      </c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1846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498</v>
      </c>
      <c r="D519" s="516" t="s">
        <v>3191</v>
      </c>
      <c r="E519" s="516">
        <f t="shared" si="9"/>
        <v>473</v>
      </c>
      <c r="F519" s="534" t="s">
        <v>1841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520</v>
      </c>
      <c r="W519" s="541" t="s">
        <v>3192</v>
      </c>
      <c r="X519" s="516" t="s">
        <v>876</v>
      </c>
      <c r="Y519" s="542">
        <v>24081</v>
      </c>
      <c r="Z519" s="543">
        <f t="shared" ca="1" si="10"/>
        <v>60</v>
      </c>
      <c r="AA519" s="534" t="s">
        <v>3193</v>
      </c>
      <c r="AB519" s="516" t="s">
        <v>3194</v>
      </c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74" t="s">
        <v>744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499</v>
      </c>
      <c r="D520" s="516" t="s">
        <v>3195</v>
      </c>
      <c r="E520" s="516">
        <f t="shared" si="9"/>
        <v>474</v>
      </c>
      <c r="F520" s="534" t="s">
        <v>1841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528</v>
      </c>
      <c r="W520" s="541" t="s">
        <v>3196</v>
      </c>
      <c r="X520" s="516" t="s">
        <v>876</v>
      </c>
      <c r="Y520" s="542">
        <v>25716</v>
      </c>
      <c r="Z520" s="543">
        <f t="shared" ca="1" si="10"/>
        <v>55</v>
      </c>
      <c r="AA520" s="534" t="s">
        <v>3197</v>
      </c>
      <c r="AB520" s="516" t="s">
        <v>3198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34" t="s">
        <v>3199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500</v>
      </c>
      <c r="D521" s="516" t="s">
        <v>3200</v>
      </c>
      <c r="E521" s="516">
        <f t="shared" si="9"/>
        <v>475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535</v>
      </c>
      <c r="W521" s="541" t="s">
        <v>3201</v>
      </c>
      <c r="X521" s="516" t="s">
        <v>876</v>
      </c>
      <c r="Y521" s="542">
        <v>26041</v>
      </c>
      <c r="Z521" s="543">
        <f t="shared" ca="1" si="10"/>
        <v>54</v>
      </c>
      <c r="AA521" s="534" t="s">
        <v>3202</v>
      </c>
      <c r="AB521" s="516" t="s">
        <v>3203</v>
      </c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501</v>
      </c>
      <c r="D522" s="516" t="s">
        <v>3204</v>
      </c>
      <c r="E522" s="516">
        <f t="shared" si="9"/>
        <v>476</v>
      </c>
      <c r="F522" s="534" t="s">
        <v>1841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541</v>
      </c>
      <c r="W522" s="541" t="s">
        <v>3205</v>
      </c>
      <c r="X522" s="516" t="s">
        <v>876</v>
      </c>
      <c r="Y522" s="542">
        <v>26626</v>
      </c>
      <c r="Z522" s="543">
        <f t="shared" ca="1" si="10"/>
        <v>53</v>
      </c>
      <c r="AA522" s="534" t="s">
        <v>3206</v>
      </c>
      <c r="AB522" s="571"/>
      <c r="AC522" s="516" t="s">
        <v>842</v>
      </c>
      <c r="AD522" s="516" t="s">
        <v>843</v>
      </c>
      <c r="AE522" s="534" t="s">
        <v>236</v>
      </c>
      <c r="AF522" s="534" t="s">
        <v>236</v>
      </c>
      <c r="AG522" s="534" t="s">
        <v>3207</v>
      </c>
      <c r="AH522" s="516"/>
      <c r="AI522" s="516" t="s">
        <v>2511</v>
      </c>
      <c r="AJ522" s="565" t="s">
        <v>1087</v>
      </c>
      <c r="AK522" s="516"/>
      <c r="AL522" s="544"/>
      <c r="AM522" s="544"/>
    </row>
    <row r="523" spans="3:39" ht="18" customHeight="1">
      <c r="C523" s="516">
        <v>502</v>
      </c>
      <c r="D523" s="516" t="s">
        <v>3208</v>
      </c>
      <c r="E523" s="516">
        <f t="shared" si="9"/>
        <v>477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546</v>
      </c>
      <c r="W523" s="541" t="s">
        <v>3209</v>
      </c>
      <c r="X523" s="516" t="s">
        <v>876</v>
      </c>
      <c r="Y523" s="542">
        <v>27940</v>
      </c>
      <c r="Z523" s="543">
        <f t="shared" ca="1" si="10"/>
        <v>49</v>
      </c>
      <c r="AA523" s="534" t="s">
        <v>3210</v>
      </c>
      <c r="AB523" s="516" t="s">
        <v>3211</v>
      </c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3212</v>
      </c>
      <c r="AH523" s="516"/>
      <c r="AI523" s="516"/>
      <c r="AJ523" s="565" t="s">
        <v>1087</v>
      </c>
      <c r="AK523" s="516"/>
      <c r="AL523" s="544"/>
      <c r="AM523" s="544"/>
    </row>
    <row r="524" spans="3:39" ht="18" customHeight="1">
      <c r="C524" s="516">
        <v>503</v>
      </c>
      <c r="D524" s="516" t="s">
        <v>3213</v>
      </c>
      <c r="E524" s="516">
        <f t="shared" si="9"/>
        <v>478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59" t="s">
        <v>3183</v>
      </c>
      <c r="Q524" s="539" t="s">
        <v>308</v>
      </c>
      <c r="R524" s="516"/>
      <c r="S524" s="516"/>
      <c r="T524" s="516"/>
      <c r="U524" s="516" t="s">
        <v>874</v>
      </c>
      <c r="V524" s="559" t="s">
        <v>552</v>
      </c>
      <c r="W524" s="541" t="s">
        <v>3214</v>
      </c>
      <c r="X524" s="516" t="s">
        <v>876</v>
      </c>
      <c r="Y524" s="542">
        <v>31512</v>
      </c>
      <c r="Z524" s="543">
        <f t="shared" ca="1" si="10"/>
        <v>39</v>
      </c>
      <c r="AA524" s="534" t="s">
        <v>3215</v>
      </c>
      <c r="AB524" s="516" t="s">
        <v>3216</v>
      </c>
      <c r="AC524" s="516" t="s">
        <v>842</v>
      </c>
      <c r="AD524" s="516" t="s">
        <v>843</v>
      </c>
      <c r="AE524" s="534" t="s">
        <v>809</v>
      </c>
      <c r="AF524" s="534" t="s">
        <v>809</v>
      </c>
      <c r="AG524" s="534" t="s">
        <v>2085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504</v>
      </c>
      <c r="D525" s="516" t="s">
        <v>2918</v>
      </c>
      <c r="E525" s="516">
        <f t="shared" si="9"/>
        <v>478</v>
      </c>
      <c r="F525" s="534"/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629" t="s">
        <v>3218</v>
      </c>
      <c r="N525" s="537"/>
      <c r="O525" s="537"/>
      <c r="P525" s="548" t="s">
        <v>938</v>
      </c>
      <c r="Q525" s="539"/>
      <c r="R525" s="516" t="s">
        <v>163</v>
      </c>
      <c r="S525" s="516" t="s">
        <v>500</v>
      </c>
      <c r="T525" s="516" t="s">
        <v>49</v>
      </c>
      <c r="U525" s="516"/>
      <c r="V525" s="548" t="s">
        <v>498</v>
      </c>
      <c r="W525" s="541" t="s">
        <v>2919</v>
      </c>
      <c r="X525" s="516" t="s">
        <v>876</v>
      </c>
      <c r="Y525" s="542">
        <v>22147</v>
      </c>
      <c r="Z525" s="543">
        <f t="shared" ca="1" si="10"/>
        <v>65</v>
      </c>
      <c r="AA525" s="534" t="s">
        <v>2920</v>
      </c>
      <c r="AB525" s="516"/>
      <c r="AC525" s="516" t="s">
        <v>842</v>
      </c>
      <c r="AD525" s="516" t="s">
        <v>794</v>
      </c>
      <c r="AE525" s="534" t="s">
        <v>236</v>
      </c>
      <c r="AF525" s="534" t="s">
        <v>236</v>
      </c>
      <c r="AG525" s="534" t="s">
        <v>865</v>
      </c>
      <c r="AH525" s="516" t="s">
        <v>872</v>
      </c>
      <c r="AI525" s="516"/>
      <c r="AJ525" s="516"/>
      <c r="AK525" s="516"/>
      <c r="AL525" s="544"/>
      <c r="AM525" s="544"/>
    </row>
    <row r="526" spans="3:39" ht="18" customHeight="1">
      <c r="C526" s="516">
        <v>505</v>
      </c>
      <c r="D526" s="516" t="s">
        <v>3217</v>
      </c>
      <c r="E526" s="516">
        <f t="shared" si="9"/>
        <v>479</v>
      </c>
      <c r="F526" s="534" t="s">
        <v>1822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38" t="s">
        <v>938</v>
      </c>
      <c r="Q526" s="539"/>
      <c r="R526" s="516" t="s">
        <v>62</v>
      </c>
      <c r="S526" s="516" t="s">
        <v>548</v>
      </c>
      <c r="T526" s="516"/>
      <c r="U526" s="516" t="s">
        <v>874</v>
      </c>
      <c r="V526" s="538" t="s">
        <v>3220</v>
      </c>
      <c r="W526" s="541" t="s">
        <v>3221</v>
      </c>
      <c r="X526" s="516" t="s">
        <v>876</v>
      </c>
      <c r="Y526" s="542">
        <v>22474</v>
      </c>
      <c r="Z526" s="543">
        <f t="shared" ca="1" si="10"/>
        <v>64</v>
      </c>
      <c r="AA526" s="534" t="s">
        <v>3222</v>
      </c>
      <c r="AB526" s="516" t="s">
        <v>3223</v>
      </c>
      <c r="AC526" s="516" t="s">
        <v>842</v>
      </c>
      <c r="AD526" s="516" t="s">
        <v>851</v>
      </c>
      <c r="AE526" s="534" t="s">
        <v>942</v>
      </c>
      <c r="AF526" s="534" t="s">
        <v>942</v>
      </c>
      <c r="AG526" s="534" t="s">
        <v>2179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506</v>
      </c>
      <c r="D527" s="516" t="s">
        <v>3224</v>
      </c>
      <c r="E527" s="516">
        <f t="shared" si="9"/>
        <v>480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3225</v>
      </c>
      <c r="W527" s="541" t="s">
        <v>3226</v>
      </c>
      <c r="X527" s="516" t="s">
        <v>876</v>
      </c>
      <c r="Y527" s="542">
        <v>18510</v>
      </c>
      <c r="Z527" s="543">
        <f t="shared" ca="1" si="10"/>
        <v>75</v>
      </c>
      <c r="AA527" s="534" t="s">
        <v>3227</v>
      </c>
      <c r="AB527" s="516" t="s">
        <v>3228</v>
      </c>
      <c r="AC527" s="516" t="s">
        <v>842</v>
      </c>
      <c r="AD527" s="516" t="s">
        <v>851</v>
      </c>
      <c r="AE527" s="534" t="s">
        <v>236</v>
      </c>
      <c r="AF527" s="534" t="s">
        <v>236</v>
      </c>
      <c r="AG527" s="534" t="s">
        <v>3229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507</v>
      </c>
      <c r="D528" s="516" t="s">
        <v>3230</v>
      </c>
      <c r="E528" s="516">
        <f t="shared" si="9"/>
        <v>481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874</v>
      </c>
      <c r="V528" s="538" t="s">
        <v>3231</v>
      </c>
      <c r="W528" s="541" t="s">
        <v>3232</v>
      </c>
      <c r="X528" s="516" t="s">
        <v>876</v>
      </c>
      <c r="Y528" s="542">
        <v>20474</v>
      </c>
      <c r="Z528" s="543">
        <f t="shared" ca="1" si="10"/>
        <v>70</v>
      </c>
      <c r="AA528" s="534" t="s">
        <v>3233</v>
      </c>
      <c r="AB528" s="516" t="s">
        <v>3234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743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1:39" ht="18" customHeight="1">
      <c r="C529" s="516">
        <v>508</v>
      </c>
      <c r="D529" s="516" t="s">
        <v>3235</v>
      </c>
      <c r="E529" s="516">
        <f t="shared" si="9"/>
        <v>482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3236</v>
      </c>
      <c r="W529" s="541" t="s">
        <v>3237</v>
      </c>
      <c r="X529" s="516" t="s">
        <v>876</v>
      </c>
      <c r="Y529" s="542">
        <v>22535</v>
      </c>
      <c r="Z529" s="543">
        <f t="shared" ca="1" si="10"/>
        <v>64</v>
      </c>
      <c r="AA529" s="534" t="s">
        <v>3238</v>
      </c>
      <c r="AB529" s="516" t="s">
        <v>3239</v>
      </c>
      <c r="AC529" s="516" t="s">
        <v>842</v>
      </c>
      <c r="AD529" s="516" t="s">
        <v>843</v>
      </c>
      <c r="AE529" s="534" t="s">
        <v>236</v>
      </c>
      <c r="AF529" s="534" t="s">
        <v>236</v>
      </c>
      <c r="AG529" s="534" t="s">
        <v>3240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1:39" ht="18" customHeight="1">
      <c r="C530" s="516">
        <v>509</v>
      </c>
      <c r="D530" s="516" t="s">
        <v>3241</v>
      </c>
      <c r="E530" s="516">
        <f t="shared" si="9"/>
        <v>483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3242</v>
      </c>
      <c r="W530" s="541" t="s">
        <v>3243</v>
      </c>
      <c r="X530" s="516" t="s">
        <v>876</v>
      </c>
      <c r="Y530" s="542">
        <v>22940</v>
      </c>
      <c r="Z530" s="543">
        <f t="shared" ca="1" si="10"/>
        <v>63</v>
      </c>
      <c r="AA530" s="534" t="s">
        <v>3244</v>
      </c>
      <c r="AB530" s="516" t="s">
        <v>3245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74" t="s">
        <v>3246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1:39" ht="18" customHeight="1">
      <c r="C531" s="516">
        <v>510</v>
      </c>
      <c r="D531" s="516" t="s">
        <v>3218</v>
      </c>
      <c r="E531" s="516">
        <f t="shared" si="9"/>
        <v>484</v>
      </c>
      <c r="F531" s="534" t="s">
        <v>1822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 t="s">
        <v>62</v>
      </c>
      <c r="S531" s="516" t="s">
        <v>548</v>
      </c>
      <c r="T531" s="516"/>
      <c r="U531" s="516" t="s">
        <v>898</v>
      </c>
      <c r="V531" s="538" t="s">
        <v>3247</v>
      </c>
      <c r="W531" s="541" t="s">
        <v>3248</v>
      </c>
      <c r="X531" s="516" t="s">
        <v>876</v>
      </c>
      <c r="Y531" s="542">
        <v>20435</v>
      </c>
      <c r="Z531" s="543">
        <f t="shared" ca="1" si="10"/>
        <v>70</v>
      </c>
      <c r="AA531" s="534" t="s">
        <v>3249</v>
      </c>
      <c r="AB531" s="516" t="s">
        <v>3250</v>
      </c>
      <c r="AC531" s="516" t="s">
        <v>842</v>
      </c>
      <c r="AD531" s="516" t="s">
        <v>851</v>
      </c>
      <c r="AE531" s="534" t="s">
        <v>942</v>
      </c>
      <c r="AF531" s="534" t="s">
        <v>942</v>
      </c>
      <c r="AG531" s="534" t="s">
        <v>2179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1:39" ht="18" customHeight="1">
      <c r="C532" s="516">
        <v>511</v>
      </c>
      <c r="D532" s="516" t="s">
        <v>3251</v>
      </c>
      <c r="E532" s="516">
        <f t="shared" si="9"/>
        <v>485</v>
      </c>
      <c r="F532" s="534" t="s">
        <v>981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/>
      <c r="S532" s="516"/>
      <c r="T532" s="516"/>
      <c r="U532" s="516" t="s">
        <v>898</v>
      </c>
      <c r="V532" s="538" t="s">
        <v>3252</v>
      </c>
      <c r="W532" s="541" t="s">
        <v>3253</v>
      </c>
      <c r="X532" s="516" t="s">
        <v>876</v>
      </c>
      <c r="Y532" s="542">
        <v>18484</v>
      </c>
      <c r="Z532" s="543">
        <f t="shared" ca="1" si="10"/>
        <v>75</v>
      </c>
      <c r="AA532" s="534" t="s">
        <v>3254</v>
      </c>
      <c r="AB532" s="516" t="s">
        <v>3255</v>
      </c>
      <c r="AC532" s="516" t="s">
        <v>802</v>
      </c>
      <c r="AD532" s="516" t="s">
        <v>794</v>
      </c>
      <c r="AE532" s="534" t="s">
        <v>815</v>
      </c>
      <c r="AF532" s="534" t="s">
        <v>1400</v>
      </c>
      <c r="AG532" s="534" t="s">
        <v>3256</v>
      </c>
      <c r="AH532" s="516"/>
      <c r="AI532" s="516"/>
      <c r="AJ532" s="516" t="s">
        <v>903</v>
      </c>
      <c r="AK532" s="516"/>
      <c r="AL532" s="544"/>
      <c r="AM532" s="544"/>
    </row>
    <row r="533" spans="1:39" ht="18" customHeight="1">
      <c r="C533" s="516">
        <v>512</v>
      </c>
      <c r="D533" s="516" t="s">
        <v>3257</v>
      </c>
      <c r="E533" s="516">
        <f t="shared" si="9"/>
        <v>486</v>
      </c>
      <c r="F533" s="534" t="s">
        <v>981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874</v>
      </c>
      <c r="V533" s="538" t="s">
        <v>3258</v>
      </c>
      <c r="W533" s="541" t="s">
        <v>3259</v>
      </c>
      <c r="X533" s="516" t="s">
        <v>876</v>
      </c>
      <c r="Y533" s="542">
        <v>22162</v>
      </c>
      <c r="Z533" s="543">
        <f t="shared" ca="1" si="10"/>
        <v>65</v>
      </c>
      <c r="AA533" s="534" t="s">
        <v>3222</v>
      </c>
      <c r="AB533" s="516" t="s">
        <v>3260</v>
      </c>
      <c r="AC533" s="516" t="s">
        <v>802</v>
      </c>
      <c r="AD533" s="516" t="s">
        <v>794</v>
      </c>
      <c r="AE533" s="534" t="s">
        <v>815</v>
      </c>
      <c r="AF533" s="606" t="s">
        <v>815</v>
      </c>
      <c r="AG533" s="534" t="s">
        <v>2496</v>
      </c>
      <c r="AH533" s="516"/>
      <c r="AI533" s="516"/>
      <c r="AJ533" s="516" t="s">
        <v>903</v>
      </c>
      <c r="AK533" s="516"/>
      <c r="AL533" s="544"/>
      <c r="AM533" s="544"/>
    </row>
    <row r="534" spans="1:39" ht="18" customHeight="1">
      <c r="C534" s="516">
        <v>513</v>
      </c>
      <c r="D534" s="516" t="s">
        <v>3261</v>
      </c>
      <c r="E534" s="516">
        <f t="shared" si="9"/>
        <v>487</v>
      </c>
      <c r="F534" s="534" t="s">
        <v>981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3262</v>
      </c>
      <c r="W534" s="541" t="s">
        <v>3263</v>
      </c>
      <c r="X534" s="516" t="s">
        <v>876</v>
      </c>
      <c r="Y534" s="542">
        <v>23624</v>
      </c>
      <c r="Z534" s="543">
        <f t="shared" ca="1" si="10"/>
        <v>61</v>
      </c>
      <c r="AA534" s="534" t="s">
        <v>3264</v>
      </c>
      <c r="AB534" s="516" t="s">
        <v>3265</v>
      </c>
      <c r="AC534" s="516" t="s">
        <v>842</v>
      </c>
      <c r="AD534" s="516" t="s">
        <v>843</v>
      </c>
      <c r="AE534" s="534" t="s">
        <v>815</v>
      </c>
      <c r="AF534" s="606" t="s">
        <v>815</v>
      </c>
      <c r="AG534" s="534" t="s">
        <v>2383</v>
      </c>
      <c r="AH534" s="516"/>
      <c r="AI534" s="516"/>
      <c r="AJ534" s="516" t="s">
        <v>903</v>
      </c>
      <c r="AK534" s="516"/>
      <c r="AL534" s="544"/>
      <c r="AM534" s="544"/>
    </row>
    <row r="535" spans="1:39" ht="18" customHeight="1">
      <c r="C535" s="516">
        <v>514</v>
      </c>
      <c r="D535" s="516" t="s">
        <v>3266</v>
      </c>
      <c r="E535" s="516">
        <f t="shared" si="9"/>
        <v>488</v>
      </c>
      <c r="F535" s="534" t="s">
        <v>1001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 t="s">
        <v>308</v>
      </c>
      <c r="R535" s="516"/>
      <c r="S535" s="516"/>
      <c r="T535" s="516"/>
      <c r="U535" s="516" t="s">
        <v>898</v>
      </c>
      <c r="V535" s="538" t="s">
        <v>3267</v>
      </c>
      <c r="W535" s="541" t="s">
        <v>3268</v>
      </c>
      <c r="X535" s="516" t="s">
        <v>876</v>
      </c>
      <c r="Y535" s="542">
        <v>16115</v>
      </c>
      <c r="Z535" s="543">
        <f t="shared" ca="1" si="10"/>
        <v>81</v>
      </c>
      <c r="AA535" s="534" t="s">
        <v>3269</v>
      </c>
      <c r="AB535" s="516" t="s">
        <v>3270</v>
      </c>
      <c r="AC535" s="516" t="s">
        <v>842</v>
      </c>
      <c r="AD535" s="516" t="s">
        <v>843</v>
      </c>
      <c r="AE535" s="534" t="s">
        <v>236</v>
      </c>
      <c r="AF535" s="534" t="s">
        <v>236</v>
      </c>
      <c r="AG535" s="534" t="s">
        <v>865</v>
      </c>
      <c r="AH535" s="516"/>
      <c r="AI535" s="516"/>
      <c r="AJ535" s="593" t="s">
        <v>1950</v>
      </c>
      <c r="AK535" s="516"/>
      <c r="AL535" s="544"/>
      <c r="AM535" s="544"/>
    </row>
    <row r="536" spans="1:39" ht="18" customHeight="1">
      <c r="C536" s="516">
        <v>515</v>
      </c>
      <c r="D536" s="516" t="s">
        <v>3271</v>
      </c>
      <c r="E536" s="516">
        <f t="shared" si="9"/>
        <v>489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59" t="s">
        <v>938</v>
      </c>
      <c r="Q536" s="539" t="s">
        <v>308</v>
      </c>
      <c r="R536" s="516"/>
      <c r="S536" s="516"/>
      <c r="T536" s="516"/>
      <c r="U536" s="516" t="s">
        <v>874</v>
      </c>
      <c r="V536" s="559" t="s">
        <v>564</v>
      </c>
      <c r="W536" s="541" t="s">
        <v>3272</v>
      </c>
      <c r="X536" s="516" t="s">
        <v>876</v>
      </c>
      <c r="Y536" s="542">
        <v>23037</v>
      </c>
      <c r="Z536" s="543">
        <f t="shared" ca="1" si="10"/>
        <v>63</v>
      </c>
      <c r="AA536" s="534" t="s">
        <v>3273</v>
      </c>
      <c r="AB536" s="516" t="s">
        <v>3274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1:39" ht="18" customHeight="1">
      <c r="C537" s="516">
        <v>516</v>
      </c>
      <c r="D537" s="516" t="s">
        <v>3291</v>
      </c>
      <c r="E537" s="516">
        <f t="shared" si="9"/>
        <v>490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656" t="s">
        <v>3293</v>
      </c>
      <c r="M537" s="536"/>
      <c r="N537" s="537"/>
      <c r="O537" s="537"/>
      <c r="P537" s="548" t="s">
        <v>787</v>
      </c>
      <c r="Q537" s="539"/>
      <c r="R537" s="516" t="s">
        <v>982</v>
      </c>
      <c r="S537" s="516" t="s">
        <v>163</v>
      </c>
      <c r="T537" s="516" t="s">
        <v>49</v>
      </c>
      <c r="U537" s="516" t="s">
        <v>874</v>
      </c>
      <c r="V537" s="548" t="s">
        <v>459</v>
      </c>
      <c r="W537" s="541" t="s">
        <v>3294</v>
      </c>
      <c r="X537" s="516" t="s">
        <v>876</v>
      </c>
      <c r="Y537" s="542">
        <v>28590</v>
      </c>
      <c r="Z537" s="543">
        <f t="shared" ca="1" si="10"/>
        <v>47</v>
      </c>
      <c r="AA537" s="594" t="s">
        <v>3295</v>
      </c>
      <c r="AB537" s="516" t="s">
        <v>3296</v>
      </c>
      <c r="AC537" s="516" t="s">
        <v>802</v>
      </c>
      <c r="AD537" s="516" t="s">
        <v>794</v>
      </c>
      <c r="AE537" s="534" t="s">
        <v>236</v>
      </c>
      <c r="AF537" s="534" t="s">
        <v>236</v>
      </c>
      <c r="AG537" s="534" t="s">
        <v>3297</v>
      </c>
      <c r="AH537" s="516"/>
      <c r="AI537" s="516"/>
      <c r="AJ537" s="516"/>
      <c r="AK537" s="516" t="s">
        <v>1863</v>
      </c>
      <c r="AL537" s="544"/>
      <c r="AM537" s="544"/>
    </row>
    <row r="538" spans="1:39" ht="18" customHeight="1">
      <c r="C538" s="516">
        <v>517</v>
      </c>
      <c r="D538" s="516" t="s">
        <v>2149</v>
      </c>
      <c r="E538" s="516">
        <f t="shared" si="9"/>
        <v>491</v>
      </c>
      <c r="F538" s="534" t="s">
        <v>1841</v>
      </c>
      <c r="G538" s="534" t="s">
        <v>783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38" t="s">
        <v>787</v>
      </c>
      <c r="Q538" s="539"/>
      <c r="R538" s="516" t="s">
        <v>49</v>
      </c>
      <c r="S538" s="516" t="s">
        <v>168</v>
      </c>
      <c r="T538" s="516"/>
      <c r="U538" s="516" t="s">
        <v>788</v>
      </c>
      <c r="V538" s="559" t="s">
        <v>174</v>
      </c>
      <c r="W538" s="541" t="s">
        <v>2151</v>
      </c>
      <c r="X538" s="516" t="s">
        <v>876</v>
      </c>
      <c r="Y538" s="542">
        <v>36505</v>
      </c>
      <c r="Z538" s="543">
        <f t="shared" ca="1" si="10"/>
        <v>26</v>
      </c>
      <c r="AA538" s="534" t="s">
        <v>2152</v>
      </c>
      <c r="AB538" s="516" t="s">
        <v>3304</v>
      </c>
      <c r="AC538" s="516" t="s">
        <v>793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 t="s">
        <v>1535</v>
      </c>
      <c r="AK538" s="516"/>
      <c r="AL538" s="544"/>
      <c r="AM538" s="544"/>
    </row>
    <row r="539" spans="1:39" ht="18" customHeight="1">
      <c r="C539" s="516">
        <v>518</v>
      </c>
      <c r="D539" s="516" t="s">
        <v>3293</v>
      </c>
      <c r="E539" s="516">
        <f t="shared" si="9"/>
        <v>492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62</v>
      </c>
      <c r="S539" s="516" t="s">
        <v>548</v>
      </c>
      <c r="T539" s="516"/>
      <c r="U539" s="516" t="s">
        <v>788</v>
      </c>
      <c r="V539" s="538" t="s">
        <v>3298</v>
      </c>
      <c r="W539" s="541" t="s">
        <v>3299</v>
      </c>
      <c r="X539" s="516" t="s">
        <v>876</v>
      </c>
      <c r="Y539" s="542">
        <v>36654</v>
      </c>
      <c r="Z539" s="543">
        <f t="shared" ca="1" si="10"/>
        <v>25</v>
      </c>
      <c r="AA539" s="534" t="s">
        <v>3300</v>
      </c>
      <c r="AB539" s="516" t="s">
        <v>3301</v>
      </c>
      <c r="AC539" s="516" t="s">
        <v>842</v>
      </c>
      <c r="AD539" s="516" t="s">
        <v>851</v>
      </c>
      <c r="AE539" s="534" t="s">
        <v>236</v>
      </c>
      <c r="AF539" s="534" t="s">
        <v>236</v>
      </c>
      <c r="AG539" s="534" t="s">
        <v>3302</v>
      </c>
      <c r="AH539" s="516"/>
      <c r="AI539" s="516" t="s">
        <v>3303</v>
      </c>
      <c r="AJ539" s="516" t="s">
        <v>903</v>
      </c>
      <c r="AK539" s="516" t="s">
        <v>1863</v>
      </c>
      <c r="AL539" s="544"/>
      <c r="AM539" s="544"/>
    </row>
    <row r="540" spans="1:39" ht="18" customHeight="1">
      <c r="C540" s="516">
        <v>519</v>
      </c>
      <c r="D540" s="516" t="s">
        <v>3305</v>
      </c>
      <c r="E540" s="516">
        <f t="shared" si="9"/>
        <v>493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/>
      <c r="S540" s="516"/>
      <c r="T540" s="516"/>
      <c r="U540" s="516" t="s">
        <v>874</v>
      </c>
      <c r="V540" s="538" t="s">
        <v>3306</v>
      </c>
      <c r="W540" s="541" t="s">
        <v>3307</v>
      </c>
      <c r="X540" s="516" t="s">
        <v>876</v>
      </c>
      <c r="Y540" s="542">
        <v>32251</v>
      </c>
      <c r="Z540" s="543">
        <f t="shared" ca="1" si="10"/>
        <v>37</v>
      </c>
      <c r="AA540" s="534" t="s">
        <v>3308</v>
      </c>
      <c r="AB540" s="516" t="s">
        <v>3309</v>
      </c>
      <c r="AC540" s="516" t="s">
        <v>842</v>
      </c>
      <c r="AD540" s="516" t="s">
        <v>843</v>
      </c>
      <c r="AE540" s="534" t="s">
        <v>236</v>
      </c>
      <c r="AF540" s="534" t="s">
        <v>1797</v>
      </c>
      <c r="AG540" s="534" t="s">
        <v>3310</v>
      </c>
      <c r="AH540" s="516"/>
      <c r="AI540" s="516" t="s">
        <v>1827</v>
      </c>
      <c r="AJ540" s="516" t="s">
        <v>903</v>
      </c>
      <c r="AK540" s="516" t="s">
        <v>860</v>
      </c>
      <c r="AL540" s="544"/>
      <c r="AM540" s="544"/>
    </row>
    <row r="541" spans="1:39" ht="18" customHeight="1">
      <c r="C541" s="516">
        <v>520</v>
      </c>
      <c r="D541" s="516" t="s">
        <v>3311</v>
      </c>
      <c r="E541" s="516">
        <f t="shared" si="9"/>
        <v>494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788</v>
      </c>
      <c r="V541" s="538" t="s">
        <v>3312</v>
      </c>
      <c r="W541" s="541" t="s">
        <v>3313</v>
      </c>
      <c r="X541" s="516" t="s">
        <v>876</v>
      </c>
      <c r="Y541" s="542">
        <v>37018</v>
      </c>
      <c r="Z541" s="543">
        <f t="shared" ca="1" si="10"/>
        <v>24</v>
      </c>
      <c r="AA541" s="534" t="s">
        <v>3314</v>
      </c>
      <c r="AB541" s="571"/>
      <c r="AC541" s="516" t="s">
        <v>842</v>
      </c>
      <c r="AD541" s="516" t="s">
        <v>843</v>
      </c>
      <c r="AE541" s="534" t="s">
        <v>236</v>
      </c>
      <c r="AF541" s="534" t="s">
        <v>236</v>
      </c>
      <c r="AG541" s="534" t="s">
        <v>3315</v>
      </c>
      <c r="AH541" s="516"/>
      <c r="AI541" s="516" t="s">
        <v>3316</v>
      </c>
      <c r="AJ541" s="516" t="s">
        <v>903</v>
      </c>
      <c r="AK541" s="516" t="s">
        <v>860</v>
      </c>
      <c r="AL541" s="544"/>
      <c r="AM541" s="544"/>
    </row>
    <row r="542" spans="1:39" ht="18" customHeight="1">
      <c r="C542" s="516">
        <v>521</v>
      </c>
      <c r="D542" s="516" t="s">
        <v>3317</v>
      </c>
      <c r="E542" s="516">
        <f t="shared" si="9"/>
        <v>495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59" t="s">
        <v>787</v>
      </c>
      <c r="Q542" s="539"/>
      <c r="R542" s="516"/>
      <c r="S542" s="516"/>
      <c r="T542" s="516"/>
      <c r="U542" s="516" t="s">
        <v>788</v>
      </c>
      <c r="V542" s="559" t="s">
        <v>3318</v>
      </c>
      <c r="W542" s="541" t="s">
        <v>3319</v>
      </c>
      <c r="X542" s="516" t="s">
        <v>876</v>
      </c>
      <c r="Y542" s="542">
        <v>34632</v>
      </c>
      <c r="Z542" s="543">
        <f t="shared" ca="1" si="10"/>
        <v>31</v>
      </c>
      <c r="AA542" s="534" t="s">
        <v>3320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3297</v>
      </c>
      <c r="AH542" s="516" t="s">
        <v>1571</v>
      </c>
      <c r="AI542" s="516" t="s">
        <v>3321</v>
      </c>
      <c r="AJ542" s="516" t="s">
        <v>903</v>
      </c>
      <c r="AK542" s="516" t="s">
        <v>3322</v>
      </c>
      <c r="AL542" s="544"/>
      <c r="AM542" s="544"/>
    </row>
    <row r="543" spans="1:39" ht="18" customHeight="1">
      <c r="A543" s="173"/>
      <c r="B543" s="173"/>
      <c r="C543" s="516">
        <v>522</v>
      </c>
      <c r="D543" s="516" t="s">
        <v>3323</v>
      </c>
      <c r="E543" s="516">
        <f>SUBTOTAL(103,$U$21:U543)</f>
        <v>496</v>
      </c>
      <c r="F543" s="630" t="s">
        <v>1841</v>
      </c>
      <c r="G543" s="534" t="s">
        <v>3292</v>
      </c>
      <c r="H543" s="535" t="s">
        <v>3291</v>
      </c>
      <c r="I543" s="535" t="s">
        <v>3324</v>
      </c>
      <c r="J543" s="535" t="s">
        <v>3291</v>
      </c>
      <c r="K543" s="656" t="s">
        <v>3323</v>
      </c>
      <c r="L543" s="535" t="s">
        <v>786</v>
      </c>
      <c r="M543" s="554"/>
      <c r="N543" s="567"/>
      <c r="O543" s="567"/>
      <c r="P543" s="556" t="s">
        <v>828</v>
      </c>
      <c r="Q543" s="568"/>
      <c r="R543" s="628" t="s">
        <v>49</v>
      </c>
      <c r="S543" s="516" t="s">
        <v>49</v>
      </c>
      <c r="T543" s="554"/>
      <c r="U543" s="598" t="s">
        <v>874</v>
      </c>
      <c r="V543" s="556" t="s">
        <v>505</v>
      </c>
      <c r="W543" s="599" t="s">
        <v>3325</v>
      </c>
      <c r="X543" s="516" t="s">
        <v>876</v>
      </c>
      <c r="Y543" s="542">
        <v>28886</v>
      </c>
      <c r="Z543" s="543">
        <f t="shared" ca="1" si="10"/>
        <v>46</v>
      </c>
      <c r="AA543" s="516" t="s">
        <v>3326</v>
      </c>
      <c r="AB543" s="516" t="s">
        <v>3327</v>
      </c>
      <c r="AC543" s="516" t="s">
        <v>842</v>
      </c>
      <c r="AD543" s="516" t="s">
        <v>843</v>
      </c>
      <c r="AE543" s="516" t="s">
        <v>236</v>
      </c>
      <c r="AF543" s="516" t="s">
        <v>236</v>
      </c>
      <c r="AG543" s="574" t="s">
        <v>3246</v>
      </c>
      <c r="AH543" s="554"/>
      <c r="AI543" s="554"/>
      <c r="AJ543" s="516" t="s">
        <v>976</v>
      </c>
      <c r="AK543" s="516" t="s">
        <v>1863</v>
      </c>
      <c r="AL543" s="554"/>
      <c r="AM543" s="554"/>
    </row>
    <row r="544" spans="1:39" ht="18" customHeight="1">
      <c r="C544" s="516">
        <v>523</v>
      </c>
      <c r="D544" s="516" t="s">
        <v>3328</v>
      </c>
      <c r="E544" s="516">
        <f t="shared" ref="E544:E741" si="11">SUBTOTAL(103,$U$21:U544)</f>
        <v>497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656" t="s">
        <v>3323</v>
      </c>
      <c r="L544" s="535" t="s">
        <v>786</v>
      </c>
      <c r="M544" s="536"/>
      <c r="N544" s="537"/>
      <c r="O544" s="537"/>
      <c r="P544" s="538" t="s">
        <v>828</v>
      </c>
      <c r="Q544" s="539"/>
      <c r="R544" s="516"/>
      <c r="S544" s="516"/>
      <c r="T544" s="516"/>
      <c r="U544" s="516" t="s">
        <v>898</v>
      </c>
      <c r="V544" s="538" t="s">
        <v>3329</v>
      </c>
      <c r="W544" s="541" t="s">
        <v>3330</v>
      </c>
      <c r="X544" s="516" t="s">
        <v>876</v>
      </c>
      <c r="Y544" s="542">
        <v>18216</v>
      </c>
      <c r="Z544" s="543">
        <f t="shared" ca="1" si="10"/>
        <v>76</v>
      </c>
      <c r="AA544" s="534" t="s">
        <v>3331</v>
      </c>
      <c r="AB544" s="516" t="s">
        <v>3332</v>
      </c>
      <c r="AC544" s="516" t="s">
        <v>802</v>
      </c>
      <c r="AD544" s="516" t="s">
        <v>794</v>
      </c>
      <c r="AE544" s="534" t="s">
        <v>809</v>
      </c>
      <c r="AF544" s="534" t="s">
        <v>236</v>
      </c>
      <c r="AG544" s="534" t="s">
        <v>865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524</v>
      </c>
      <c r="D545" s="516" t="s">
        <v>3333</v>
      </c>
      <c r="E545" s="516">
        <f t="shared" si="11"/>
        <v>498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656" t="s">
        <v>3323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471</v>
      </c>
      <c r="W545" s="541" t="s">
        <v>3334</v>
      </c>
      <c r="X545" s="516" t="s">
        <v>876</v>
      </c>
      <c r="Y545" s="542">
        <v>18323</v>
      </c>
      <c r="Z545" s="543">
        <f t="shared" ca="1" si="10"/>
        <v>75</v>
      </c>
      <c r="AA545" s="534" t="s">
        <v>3335</v>
      </c>
      <c r="AB545" s="516" t="s">
        <v>3336</v>
      </c>
      <c r="AC545" s="516" t="s">
        <v>802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525</v>
      </c>
      <c r="D546" s="516" t="s">
        <v>3337</v>
      </c>
      <c r="E546" s="516">
        <f t="shared" si="11"/>
        <v>499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656" t="s">
        <v>3323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49" t="s">
        <v>477</v>
      </c>
      <c r="W546" s="541" t="s">
        <v>3338</v>
      </c>
      <c r="X546" s="516" t="s">
        <v>876</v>
      </c>
      <c r="Y546" s="542">
        <v>18840</v>
      </c>
      <c r="Z546" s="543">
        <f t="shared" ca="1" si="10"/>
        <v>74</v>
      </c>
      <c r="AA546" s="534" t="s">
        <v>3339</v>
      </c>
      <c r="AB546" s="516" t="s">
        <v>3340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526</v>
      </c>
      <c r="D547" s="516" t="s">
        <v>3341</v>
      </c>
      <c r="E547" s="516">
        <f t="shared" si="11"/>
        <v>500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656" t="s">
        <v>3323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874</v>
      </c>
      <c r="V547" s="550" t="s">
        <v>460</v>
      </c>
      <c r="W547" s="541" t="s">
        <v>3342</v>
      </c>
      <c r="X547" s="516" t="s">
        <v>876</v>
      </c>
      <c r="Y547" s="542">
        <v>23643</v>
      </c>
      <c r="Z547" s="543">
        <f t="shared" ca="1" si="10"/>
        <v>61</v>
      </c>
      <c r="AA547" s="534" t="s">
        <v>3343</v>
      </c>
      <c r="AB547" s="516" t="s">
        <v>3344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527</v>
      </c>
      <c r="D548" s="516" t="s">
        <v>3345</v>
      </c>
      <c r="E548" s="516">
        <f t="shared" si="11"/>
        <v>501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656" t="s">
        <v>3323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10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528</v>
      </c>
      <c r="D549" s="516" t="s">
        <v>3349</v>
      </c>
      <c r="E549" s="516">
        <f t="shared" si="11"/>
        <v>502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656" t="s">
        <v>3323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10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529</v>
      </c>
      <c r="D550" s="516" t="s">
        <v>3354</v>
      </c>
      <c r="E550" s="516">
        <f t="shared" si="11"/>
        <v>503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10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530</v>
      </c>
      <c r="D551" s="516" t="s">
        <v>3359</v>
      </c>
      <c r="E551" s="516">
        <f t="shared" si="11"/>
        <v>504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10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3297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531</v>
      </c>
      <c r="D552" s="516" t="s">
        <v>3364</v>
      </c>
      <c r="E552" s="516">
        <f t="shared" si="11"/>
        <v>505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10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532</v>
      </c>
      <c r="D553" s="516" t="s">
        <v>3370</v>
      </c>
      <c r="E553" s="516">
        <f t="shared" si="11"/>
        <v>506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10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533</v>
      </c>
      <c r="D554" s="516" t="s">
        <v>3375</v>
      </c>
      <c r="E554" s="516">
        <f t="shared" si="11"/>
        <v>507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10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534</v>
      </c>
      <c r="D555" s="516" t="s">
        <v>3379</v>
      </c>
      <c r="E555" s="516">
        <f t="shared" si="11"/>
        <v>508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10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535</v>
      </c>
      <c r="D556" s="516" t="s">
        <v>3384</v>
      </c>
      <c r="E556" s="516">
        <f t="shared" si="11"/>
        <v>509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10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536</v>
      </c>
      <c r="D557" s="516" t="s">
        <v>3385</v>
      </c>
      <c r="E557" s="516">
        <f t="shared" si="11"/>
        <v>510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10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537</v>
      </c>
      <c r="D558" s="516" t="s">
        <v>3393</v>
      </c>
      <c r="E558" s="516">
        <f t="shared" si="11"/>
        <v>511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10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538</v>
      </c>
      <c r="D559" s="516" t="s">
        <v>3399</v>
      </c>
      <c r="E559" s="516">
        <f t="shared" si="11"/>
        <v>512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10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539</v>
      </c>
      <c r="D560" s="516" t="s">
        <v>3404</v>
      </c>
      <c r="E560" s="516">
        <f t="shared" si="11"/>
        <v>513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10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540</v>
      </c>
      <c r="D561" s="516" t="s">
        <v>3410</v>
      </c>
      <c r="E561" s="516">
        <f t="shared" si="11"/>
        <v>514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10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541</v>
      </c>
      <c r="D562" s="516" t="s">
        <v>3416</v>
      </c>
      <c r="E562" s="516">
        <f t="shared" si="11"/>
        <v>515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10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542</v>
      </c>
      <c r="D563" s="516" t="s">
        <v>3420</v>
      </c>
      <c r="E563" s="516">
        <f t="shared" si="11"/>
        <v>516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10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543</v>
      </c>
      <c r="D564" s="516" t="s">
        <v>3426</v>
      </c>
      <c r="E564" s="516">
        <f t="shared" si="11"/>
        <v>517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10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544</v>
      </c>
      <c r="D565" s="516" t="s">
        <v>3427</v>
      </c>
      <c r="E565" s="516">
        <f t="shared" si="11"/>
        <v>518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10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545</v>
      </c>
      <c r="D566" s="516" t="s">
        <v>3436</v>
      </c>
      <c r="E566" s="516">
        <f t="shared" si="11"/>
        <v>519</v>
      </c>
      <c r="F566" s="534" t="s">
        <v>981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10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546</v>
      </c>
      <c r="D567" s="516" t="s">
        <v>3441</v>
      </c>
      <c r="E567" s="516">
        <f t="shared" si="11"/>
        <v>520</v>
      </c>
      <c r="F567" s="534" t="s">
        <v>981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10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547</v>
      </c>
      <c r="D568" s="516" t="s">
        <v>3445</v>
      </c>
      <c r="E568" s="516">
        <f t="shared" si="11"/>
        <v>521</v>
      </c>
      <c r="F568" s="534" t="s">
        <v>981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10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548</v>
      </c>
      <c r="D569" s="516" t="s">
        <v>3450</v>
      </c>
      <c r="E569" s="516">
        <f t="shared" si="11"/>
        <v>522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10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549</v>
      </c>
      <c r="D570" s="516" t="s">
        <v>3454</v>
      </c>
      <c r="E570" s="516">
        <f t="shared" si="11"/>
        <v>523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/>
      <c r="S570" s="516"/>
      <c r="T570" s="516"/>
      <c r="U570" s="562" t="s">
        <v>874</v>
      </c>
      <c r="V570" s="538" t="s">
        <v>513</v>
      </c>
      <c r="W570" s="560" t="s">
        <v>3455</v>
      </c>
      <c r="X570" s="516" t="s">
        <v>876</v>
      </c>
      <c r="Y570" s="542">
        <v>31368</v>
      </c>
      <c r="Z570" s="543">
        <f t="shared" ca="1" si="10"/>
        <v>40</v>
      </c>
      <c r="AA570" s="534" t="s">
        <v>3456</v>
      </c>
      <c r="AB570" s="516" t="s">
        <v>3457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550</v>
      </c>
      <c r="D571" s="516" t="s">
        <v>3458</v>
      </c>
      <c r="E571" s="516">
        <f t="shared" si="11"/>
        <v>524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3459</v>
      </c>
      <c r="W571" s="560" t="s">
        <v>3460</v>
      </c>
      <c r="X571" s="516" t="s">
        <v>876</v>
      </c>
      <c r="Y571" s="542">
        <v>32528</v>
      </c>
      <c r="Z571" s="543">
        <f t="shared" ca="1" si="10"/>
        <v>37</v>
      </c>
      <c r="AA571" s="534" t="s">
        <v>3461</v>
      </c>
      <c r="AB571" s="516" t="s">
        <v>3462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74" t="s">
        <v>3463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551</v>
      </c>
      <c r="D572" s="516" t="s">
        <v>3464</v>
      </c>
      <c r="E572" s="516">
        <f t="shared" si="11"/>
        <v>525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529</v>
      </c>
      <c r="W572" s="560" t="s">
        <v>3465</v>
      </c>
      <c r="X572" s="516" t="s">
        <v>876</v>
      </c>
      <c r="Y572" s="542">
        <v>33412</v>
      </c>
      <c r="Z572" s="543">
        <f t="shared" ca="1" si="10"/>
        <v>34</v>
      </c>
      <c r="AA572" s="534" t="s">
        <v>3466</v>
      </c>
      <c r="AB572" s="516" t="s">
        <v>3467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552</v>
      </c>
      <c r="D573" s="516" t="s">
        <v>3468</v>
      </c>
      <c r="E573" s="516">
        <f t="shared" si="11"/>
        <v>526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40" t="s">
        <v>536</v>
      </c>
      <c r="W573" s="560" t="s">
        <v>3469</v>
      </c>
      <c r="X573" s="516" t="s">
        <v>876</v>
      </c>
      <c r="Y573" s="542">
        <v>32543</v>
      </c>
      <c r="Z573" s="543">
        <f t="shared" ca="1" si="10"/>
        <v>36</v>
      </c>
      <c r="AA573" s="534" t="s">
        <v>3470</v>
      </c>
      <c r="AB573" s="516"/>
      <c r="AC573" s="516" t="s">
        <v>842</v>
      </c>
      <c r="AD573" s="516" t="s">
        <v>843</v>
      </c>
      <c r="AE573" s="534" t="s">
        <v>942</v>
      </c>
      <c r="AF573" s="534" t="s">
        <v>942</v>
      </c>
      <c r="AG573" s="534" t="s">
        <v>3471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553</v>
      </c>
      <c r="D574" s="516" t="s">
        <v>3472</v>
      </c>
      <c r="E574" s="516">
        <f t="shared" si="11"/>
        <v>527</v>
      </c>
      <c r="F574" s="534" t="s">
        <v>811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 t="s">
        <v>308</v>
      </c>
      <c r="R574" s="516"/>
      <c r="S574" s="516"/>
      <c r="T574" s="516"/>
      <c r="U574" s="562" t="s">
        <v>874</v>
      </c>
      <c r="V574" s="602" t="s">
        <v>3473</v>
      </c>
      <c r="W574" s="560" t="s">
        <v>3474</v>
      </c>
      <c r="X574" s="516" t="s">
        <v>876</v>
      </c>
      <c r="Y574" s="542">
        <v>32597</v>
      </c>
      <c r="Z574" s="543">
        <f t="shared" ca="1" si="10"/>
        <v>36</v>
      </c>
      <c r="AA574" s="534" t="s">
        <v>3475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2179</v>
      </c>
      <c r="AH574" s="516"/>
      <c r="AI574" s="516"/>
      <c r="AJ574" s="631" t="s">
        <v>1438</v>
      </c>
      <c r="AK574" s="516"/>
      <c r="AL574" s="544"/>
      <c r="AM574" s="544"/>
    </row>
    <row r="575" spans="3:39" ht="18" customHeight="1">
      <c r="C575" s="516">
        <v>554</v>
      </c>
      <c r="D575" s="516" t="s">
        <v>3476</v>
      </c>
      <c r="E575" s="516">
        <f t="shared" si="11"/>
        <v>528</v>
      </c>
      <c r="F575" s="534" t="s">
        <v>1001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563" t="s">
        <v>3477</v>
      </c>
      <c r="W575" s="560" t="s">
        <v>3478</v>
      </c>
      <c r="X575" s="516" t="s">
        <v>876</v>
      </c>
      <c r="Y575" s="542"/>
      <c r="Z575" s="543"/>
      <c r="AA575" s="534"/>
      <c r="AB575" s="516" t="s">
        <v>3479</v>
      </c>
      <c r="AC575" s="516" t="s">
        <v>842</v>
      </c>
      <c r="AD575" s="516" t="s">
        <v>843</v>
      </c>
      <c r="AE575" s="534"/>
      <c r="AF575" s="534"/>
      <c r="AG575" s="534"/>
      <c r="AH575" s="516"/>
      <c r="AI575" s="516"/>
      <c r="AJ575" s="631" t="s">
        <v>1224</v>
      </c>
      <c r="AK575" s="516"/>
      <c r="AL575" s="544"/>
      <c r="AM575" s="544"/>
    </row>
    <row r="576" spans="3:39" ht="18" customHeight="1">
      <c r="C576" s="516">
        <v>555</v>
      </c>
      <c r="D576" s="516" t="s">
        <v>2910</v>
      </c>
      <c r="E576" s="516">
        <f t="shared" si="11"/>
        <v>528</v>
      </c>
      <c r="F576" s="534"/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48" t="s">
        <v>828</v>
      </c>
      <c r="Q576" s="539"/>
      <c r="R576" s="516" t="s">
        <v>49</v>
      </c>
      <c r="S576" s="516" t="s">
        <v>49</v>
      </c>
      <c r="T576" s="516"/>
      <c r="U576" s="516"/>
      <c r="V576" s="548" t="s">
        <v>473</v>
      </c>
      <c r="W576" s="541" t="s">
        <v>2911</v>
      </c>
      <c r="X576" s="516" t="s">
        <v>876</v>
      </c>
      <c r="Y576" s="542">
        <v>22938</v>
      </c>
      <c r="Z576" s="543">
        <f t="shared" ref="Z576:Z741" ca="1" si="12">DATEDIF(Y576,TODAY(),"Y")</f>
        <v>63</v>
      </c>
      <c r="AA576" s="534" t="s">
        <v>2912</v>
      </c>
      <c r="AB576" s="516"/>
      <c r="AC576" s="516" t="s">
        <v>802</v>
      </c>
      <c r="AD576" s="516" t="s">
        <v>794</v>
      </c>
      <c r="AE576" s="534" t="s">
        <v>236</v>
      </c>
      <c r="AF576" s="534" t="s">
        <v>236</v>
      </c>
      <c r="AG576" s="534" t="s">
        <v>865</v>
      </c>
      <c r="AH576" s="516" t="s">
        <v>872</v>
      </c>
      <c r="AI576" s="516"/>
      <c r="AJ576" s="516"/>
      <c r="AK576" s="516"/>
      <c r="AL576" s="544"/>
      <c r="AM576" s="544"/>
    </row>
    <row r="577" spans="3:39" ht="18" customHeight="1">
      <c r="C577" s="516">
        <v>556</v>
      </c>
      <c r="D577" s="516" t="s">
        <v>3480</v>
      </c>
      <c r="E577" s="516">
        <f t="shared" si="11"/>
        <v>529</v>
      </c>
      <c r="F577" s="534" t="s">
        <v>1841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/>
      <c r="R577" s="516"/>
      <c r="S577" s="516"/>
      <c r="T577" s="516"/>
      <c r="U577" s="516" t="s">
        <v>874</v>
      </c>
      <c r="V577" s="538" t="s">
        <v>514</v>
      </c>
      <c r="W577" s="541" t="s">
        <v>3481</v>
      </c>
      <c r="X577" s="516" t="s">
        <v>876</v>
      </c>
      <c r="Y577" s="542">
        <v>20551</v>
      </c>
      <c r="Z577" s="543">
        <f t="shared" ca="1" si="12"/>
        <v>69</v>
      </c>
      <c r="AA577" s="534" t="s">
        <v>3482</v>
      </c>
      <c r="AB577" s="516"/>
      <c r="AC577" s="516" t="s">
        <v>842</v>
      </c>
      <c r="AD577" s="516" t="s">
        <v>843</v>
      </c>
      <c r="AE577" s="534" t="s">
        <v>236</v>
      </c>
      <c r="AF577" s="534" t="s">
        <v>236</v>
      </c>
      <c r="AG577" s="534" t="s">
        <v>3409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557</v>
      </c>
      <c r="D578" s="516" t="s">
        <v>3483</v>
      </c>
      <c r="E578" s="516">
        <f t="shared" si="11"/>
        <v>530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522</v>
      </c>
      <c r="W578" s="541" t="s">
        <v>3484</v>
      </c>
      <c r="X578" s="516" t="s">
        <v>876</v>
      </c>
      <c r="Y578" s="542">
        <v>21795</v>
      </c>
      <c r="Z578" s="543">
        <f t="shared" ca="1" si="12"/>
        <v>66</v>
      </c>
      <c r="AA578" s="534" t="s">
        <v>3485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74" t="s">
        <v>3246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558</v>
      </c>
      <c r="D579" s="516" t="s">
        <v>3486</v>
      </c>
      <c r="E579" s="516">
        <f t="shared" si="11"/>
        <v>531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530</v>
      </c>
      <c r="W579" s="541" t="s">
        <v>3487</v>
      </c>
      <c r="X579" s="516" t="s">
        <v>876</v>
      </c>
      <c r="Y579" s="542">
        <v>23541</v>
      </c>
      <c r="Z579" s="543">
        <f t="shared" ca="1" si="12"/>
        <v>61</v>
      </c>
      <c r="AA579" s="534" t="s">
        <v>3488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3489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559</v>
      </c>
      <c r="D580" s="516" t="s">
        <v>3490</v>
      </c>
      <c r="E580" s="516">
        <f t="shared" si="11"/>
        <v>532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3491</v>
      </c>
      <c r="W580" s="541" t="s">
        <v>3492</v>
      </c>
      <c r="X580" s="516" t="s">
        <v>876</v>
      </c>
      <c r="Y580" s="542">
        <v>27315</v>
      </c>
      <c r="Z580" s="543">
        <f t="shared" ca="1" si="12"/>
        <v>51</v>
      </c>
      <c r="AA580" s="534" t="s">
        <v>3493</v>
      </c>
      <c r="AB580" s="516" t="s">
        <v>3494</v>
      </c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560</v>
      </c>
      <c r="D581" s="516" t="s">
        <v>3495</v>
      </c>
      <c r="E581" s="516">
        <f t="shared" si="11"/>
        <v>533</v>
      </c>
      <c r="F581" s="534" t="s">
        <v>1822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898</v>
      </c>
      <c r="V581" s="538" t="s">
        <v>3496</v>
      </c>
      <c r="W581" s="541" t="s">
        <v>3497</v>
      </c>
      <c r="X581" s="516" t="s">
        <v>876</v>
      </c>
      <c r="Y581" s="542">
        <v>19981</v>
      </c>
      <c r="Z581" s="543">
        <f t="shared" ca="1" si="12"/>
        <v>71</v>
      </c>
      <c r="AA581" s="534" t="s">
        <v>3498</v>
      </c>
      <c r="AB581" s="516" t="s">
        <v>3499</v>
      </c>
      <c r="AC581" s="516" t="s">
        <v>842</v>
      </c>
      <c r="AD581" s="516" t="s">
        <v>843</v>
      </c>
      <c r="AE581" s="534" t="s">
        <v>942</v>
      </c>
      <c r="AF581" s="534" t="s">
        <v>942</v>
      </c>
      <c r="AG581" s="534" t="s">
        <v>2223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561</v>
      </c>
      <c r="D582" s="516" t="s">
        <v>3500</v>
      </c>
      <c r="E582" s="516">
        <f t="shared" si="11"/>
        <v>534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874</v>
      </c>
      <c r="V582" s="538" t="s">
        <v>3501</v>
      </c>
      <c r="W582" s="541" t="s">
        <v>3502</v>
      </c>
      <c r="X582" s="516" t="s">
        <v>876</v>
      </c>
      <c r="Y582" s="542">
        <v>22694</v>
      </c>
      <c r="Z582" s="543">
        <f t="shared" ca="1" si="12"/>
        <v>63</v>
      </c>
      <c r="AA582" s="534" t="s">
        <v>3503</v>
      </c>
      <c r="AB582" s="516" t="s">
        <v>3504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3471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562</v>
      </c>
      <c r="D583" s="516" t="s">
        <v>3505</v>
      </c>
      <c r="E583" s="516">
        <f t="shared" si="11"/>
        <v>535</v>
      </c>
      <c r="F583" s="534" t="s">
        <v>981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 t="s">
        <v>308</v>
      </c>
      <c r="R583" s="516"/>
      <c r="S583" s="516"/>
      <c r="T583" s="516"/>
      <c r="U583" s="516" t="s">
        <v>799</v>
      </c>
      <c r="V583" s="538" t="s">
        <v>553</v>
      </c>
      <c r="W583" s="541" t="s">
        <v>3506</v>
      </c>
      <c r="X583" s="516" t="s">
        <v>790</v>
      </c>
      <c r="Y583" s="542">
        <v>20455</v>
      </c>
      <c r="Z583" s="543">
        <f t="shared" ca="1" si="12"/>
        <v>70</v>
      </c>
      <c r="AA583" s="534" t="s">
        <v>3507</v>
      </c>
      <c r="AB583" s="516"/>
      <c r="AC583" s="516" t="s">
        <v>842</v>
      </c>
      <c r="AD583" s="516" t="s">
        <v>843</v>
      </c>
      <c r="AE583" s="534" t="s">
        <v>815</v>
      </c>
      <c r="AF583" s="606" t="s">
        <v>815</v>
      </c>
      <c r="AG583" s="534" t="s">
        <v>2734</v>
      </c>
      <c r="AH583" s="516"/>
      <c r="AI583" s="516"/>
      <c r="AJ583" s="516" t="s">
        <v>1497</v>
      </c>
      <c r="AK583" s="516"/>
      <c r="AL583" s="544"/>
      <c r="AM583" s="544"/>
    </row>
    <row r="584" spans="3:39" ht="18" customHeight="1">
      <c r="C584" s="516">
        <v>563</v>
      </c>
      <c r="D584" s="516" t="s">
        <v>3508</v>
      </c>
      <c r="E584" s="516">
        <f t="shared" si="11"/>
        <v>536</v>
      </c>
      <c r="F584" s="534" t="s">
        <v>981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874</v>
      </c>
      <c r="V584" s="538" t="s">
        <v>557</v>
      </c>
      <c r="W584" s="541" t="s">
        <v>3509</v>
      </c>
      <c r="X584" s="516" t="s">
        <v>876</v>
      </c>
      <c r="Y584" s="542">
        <v>21731</v>
      </c>
      <c r="Z584" s="543">
        <f t="shared" ca="1" si="12"/>
        <v>66</v>
      </c>
      <c r="AA584" s="534" t="s">
        <v>3507</v>
      </c>
      <c r="AB584" s="516" t="s">
        <v>3510</v>
      </c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564</v>
      </c>
      <c r="D585" s="516" t="s">
        <v>3511</v>
      </c>
      <c r="E585" s="516">
        <f t="shared" si="11"/>
        <v>537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59" t="s">
        <v>828</v>
      </c>
      <c r="Q585" s="539" t="s">
        <v>308</v>
      </c>
      <c r="R585" s="516"/>
      <c r="S585" s="516"/>
      <c r="T585" s="516"/>
      <c r="U585" s="516" t="s">
        <v>898</v>
      </c>
      <c r="V585" s="559" t="s">
        <v>3512</v>
      </c>
      <c r="W585" s="541" t="s">
        <v>3513</v>
      </c>
      <c r="X585" s="516" t="s">
        <v>876</v>
      </c>
      <c r="Y585" s="542">
        <v>17849</v>
      </c>
      <c r="Z585" s="543">
        <f t="shared" ca="1" si="12"/>
        <v>77</v>
      </c>
      <c r="AA585" s="534" t="s">
        <v>3514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34" t="s">
        <v>3409</v>
      </c>
      <c r="AH585" s="516"/>
      <c r="AI585" s="516" t="s">
        <v>3515</v>
      </c>
      <c r="AJ585" s="516" t="s">
        <v>976</v>
      </c>
      <c r="AK585" s="516" t="s">
        <v>860</v>
      </c>
      <c r="AL585" s="544"/>
      <c r="AM585" s="544"/>
    </row>
    <row r="586" spans="3:39" ht="18" customHeight="1">
      <c r="C586" s="516">
        <v>565</v>
      </c>
      <c r="D586" s="516" t="s">
        <v>3345</v>
      </c>
      <c r="E586" s="516">
        <f t="shared" si="11"/>
        <v>537</v>
      </c>
      <c r="F586" s="534"/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70" t="s">
        <v>3517</v>
      </c>
      <c r="N586" s="660" t="s">
        <v>3518</v>
      </c>
      <c r="O586" s="660" t="s">
        <v>3519</v>
      </c>
      <c r="P586" s="548" t="s">
        <v>938</v>
      </c>
      <c r="Q586" s="539"/>
      <c r="R586" s="516" t="s">
        <v>49</v>
      </c>
      <c r="S586" s="516" t="s">
        <v>168</v>
      </c>
      <c r="T586" s="516"/>
      <c r="U586" s="516"/>
      <c r="V586" s="548" t="s">
        <v>481</v>
      </c>
      <c r="W586" s="541" t="s">
        <v>3346</v>
      </c>
      <c r="X586" s="516" t="s">
        <v>876</v>
      </c>
      <c r="Y586" s="542">
        <v>25024</v>
      </c>
      <c r="Z586" s="543">
        <f t="shared" ca="1" si="12"/>
        <v>57</v>
      </c>
      <c r="AA586" s="534" t="s">
        <v>3347</v>
      </c>
      <c r="AB586" s="516"/>
      <c r="AC586" s="516" t="s">
        <v>802</v>
      </c>
      <c r="AD586" s="516" t="s">
        <v>794</v>
      </c>
      <c r="AE586" s="534" t="s">
        <v>236</v>
      </c>
      <c r="AF586" s="534" t="s">
        <v>236</v>
      </c>
      <c r="AG586" s="534" t="s">
        <v>865</v>
      </c>
      <c r="AH586" s="516" t="s">
        <v>872</v>
      </c>
      <c r="AI586" s="516"/>
      <c r="AJ586" s="516"/>
      <c r="AK586" s="516"/>
      <c r="AL586" s="544"/>
      <c r="AM586" s="544"/>
    </row>
    <row r="587" spans="3:39" ht="18" customHeight="1">
      <c r="C587" s="516">
        <v>566</v>
      </c>
      <c r="D587" s="516" t="s">
        <v>3516</v>
      </c>
      <c r="E587" s="516">
        <f t="shared" si="11"/>
        <v>538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38" t="s">
        <v>938</v>
      </c>
      <c r="Q587" s="539"/>
      <c r="R587" s="516" t="s">
        <v>62</v>
      </c>
      <c r="S587" s="516" t="s">
        <v>548</v>
      </c>
      <c r="T587" s="516"/>
      <c r="U587" s="516" t="s">
        <v>874</v>
      </c>
      <c r="V587" s="538" t="s">
        <v>515</v>
      </c>
      <c r="W587" s="541" t="s">
        <v>3520</v>
      </c>
      <c r="X587" s="516" t="s">
        <v>876</v>
      </c>
      <c r="Y587" s="542">
        <v>20844</v>
      </c>
      <c r="Z587" s="543">
        <f t="shared" ca="1" si="12"/>
        <v>69</v>
      </c>
      <c r="AA587" s="534" t="s">
        <v>3521</v>
      </c>
      <c r="AB587" s="516" t="s">
        <v>3522</v>
      </c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3523</v>
      </c>
      <c r="AH587" s="516"/>
      <c r="AI587" s="516"/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567</v>
      </c>
      <c r="D588" s="516" t="s">
        <v>3517</v>
      </c>
      <c r="E588" s="516">
        <f t="shared" si="11"/>
        <v>539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507</v>
      </c>
      <c r="W588" s="541" t="s">
        <v>3524</v>
      </c>
      <c r="X588" s="516" t="s">
        <v>876</v>
      </c>
      <c r="Y588" s="542">
        <v>20604</v>
      </c>
      <c r="Z588" s="543">
        <f t="shared" ca="1" si="12"/>
        <v>69</v>
      </c>
      <c r="AA588" s="534" t="s">
        <v>3525</v>
      </c>
      <c r="AB588" s="516" t="s">
        <v>3526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3527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568</v>
      </c>
      <c r="D589" s="516" t="s">
        <v>3518</v>
      </c>
      <c r="E589" s="516">
        <f t="shared" si="11"/>
        <v>540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531</v>
      </c>
      <c r="W589" s="541" t="s">
        <v>3528</v>
      </c>
      <c r="X589" s="516" t="s">
        <v>876</v>
      </c>
      <c r="Y589" s="542">
        <v>22829</v>
      </c>
      <c r="Z589" s="543">
        <f t="shared" ca="1" si="12"/>
        <v>63</v>
      </c>
      <c r="AA589" s="534" t="s">
        <v>3529</v>
      </c>
      <c r="AB589" s="516" t="s">
        <v>3530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74" t="s">
        <v>3531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569</v>
      </c>
      <c r="D590" s="516" t="s">
        <v>3519</v>
      </c>
      <c r="E590" s="516">
        <f t="shared" si="11"/>
        <v>541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543</v>
      </c>
      <c r="W590" s="541" t="s">
        <v>3532</v>
      </c>
      <c r="X590" s="516" t="s">
        <v>876</v>
      </c>
      <c r="Y590" s="542">
        <v>26443</v>
      </c>
      <c r="Z590" s="543">
        <f t="shared" ca="1" si="12"/>
        <v>53</v>
      </c>
      <c r="AA590" s="534" t="s">
        <v>3533</v>
      </c>
      <c r="AB590" s="516" t="s">
        <v>3534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3535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570</v>
      </c>
      <c r="D591" s="516" t="s">
        <v>3536</v>
      </c>
      <c r="E591" s="516">
        <f t="shared" si="11"/>
        <v>542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/>
      <c r="S591" s="516"/>
      <c r="T591" s="516"/>
      <c r="U591" s="516" t="s">
        <v>874</v>
      </c>
      <c r="V591" s="538" t="s">
        <v>538</v>
      </c>
      <c r="W591" s="541" t="s">
        <v>3537</v>
      </c>
      <c r="X591" s="516" t="s">
        <v>876</v>
      </c>
      <c r="Y591" s="542">
        <v>22980</v>
      </c>
      <c r="Z591" s="543">
        <f t="shared" ca="1" si="12"/>
        <v>63</v>
      </c>
      <c r="AA591" s="534" t="s">
        <v>3538</v>
      </c>
      <c r="AB591" s="516"/>
      <c r="AC591" s="516" t="s">
        <v>842</v>
      </c>
      <c r="AD591" s="516" t="s">
        <v>843</v>
      </c>
      <c r="AE591" s="534" t="s">
        <v>809</v>
      </c>
      <c r="AF591" s="534" t="s">
        <v>809</v>
      </c>
      <c r="AG591" s="534" t="s">
        <v>3539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3540</v>
      </c>
      <c r="E592" s="516">
        <f t="shared" si="11"/>
        <v>543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549</v>
      </c>
      <c r="W592" s="541" t="s">
        <v>3541</v>
      </c>
      <c r="X592" s="516" t="s">
        <v>876</v>
      </c>
      <c r="Y592" s="542">
        <v>27733</v>
      </c>
      <c r="Z592" s="543">
        <f t="shared" ca="1" si="12"/>
        <v>50</v>
      </c>
      <c r="AA592" s="534" t="s">
        <v>3542</v>
      </c>
      <c r="AB592" s="516" t="s">
        <v>3543</v>
      </c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3544</v>
      </c>
      <c r="AH592" s="516"/>
      <c r="AI592" s="516" t="s">
        <v>3545</v>
      </c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572</v>
      </c>
      <c r="D593" s="516" t="s">
        <v>3546</v>
      </c>
      <c r="E593" s="516">
        <f t="shared" si="11"/>
        <v>544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554</v>
      </c>
      <c r="W593" s="541" t="s">
        <v>3547</v>
      </c>
      <c r="X593" s="516" t="s">
        <v>876</v>
      </c>
      <c r="Y593" s="542">
        <v>32138</v>
      </c>
      <c r="Z593" s="543">
        <f t="shared" ca="1" si="12"/>
        <v>38</v>
      </c>
      <c r="AA593" s="534" t="s">
        <v>3548</v>
      </c>
      <c r="AB593" s="516" t="s">
        <v>3549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3550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573</v>
      </c>
      <c r="D594" s="516" t="s">
        <v>3551</v>
      </c>
      <c r="E594" s="516">
        <f t="shared" si="11"/>
        <v>545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788</v>
      </c>
      <c r="V594" s="538" t="s">
        <v>558</v>
      </c>
      <c r="W594" s="541" t="s">
        <v>3552</v>
      </c>
      <c r="X594" s="516" t="s">
        <v>876</v>
      </c>
      <c r="Y594" s="542">
        <v>36800</v>
      </c>
      <c r="Z594" s="543">
        <f t="shared" ca="1" si="12"/>
        <v>25</v>
      </c>
      <c r="AA594" s="534" t="s">
        <v>3553</v>
      </c>
      <c r="AB594" s="571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865</v>
      </c>
      <c r="AH594" s="516"/>
      <c r="AI594" s="516"/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574</v>
      </c>
      <c r="D595" s="516" t="s">
        <v>3554</v>
      </c>
      <c r="E595" s="516">
        <f t="shared" si="11"/>
        <v>546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874</v>
      </c>
      <c r="V595" s="538" t="s">
        <v>523</v>
      </c>
      <c r="W595" s="541" t="s">
        <v>3555</v>
      </c>
      <c r="X595" s="516" t="s">
        <v>876</v>
      </c>
      <c r="Y595" s="542">
        <v>21916</v>
      </c>
      <c r="Z595" s="543">
        <f t="shared" ca="1" si="12"/>
        <v>66</v>
      </c>
      <c r="AA595" s="534" t="s">
        <v>3556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3557</v>
      </c>
      <c r="AH595" s="516"/>
      <c r="AI595" s="516" t="s">
        <v>3558</v>
      </c>
      <c r="AJ595" s="516" t="s">
        <v>1852</v>
      </c>
      <c r="AK595" s="516" t="s">
        <v>860</v>
      </c>
      <c r="AL595" s="544"/>
      <c r="AM595" s="544"/>
    </row>
    <row r="596" spans="3:39" ht="18" customHeight="1">
      <c r="C596" s="516">
        <v>575</v>
      </c>
      <c r="D596" s="516" t="s">
        <v>3559</v>
      </c>
      <c r="E596" s="516">
        <f t="shared" si="11"/>
        <v>547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59" t="s">
        <v>938</v>
      </c>
      <c r="Q596" s="539"/>
      <c r="R596" s="516"/>
      <c r="S596" s="516"/>
      <c r="T596" s="516"/>
      <c r="U596" s="516" t="s">
        <v>874</v>
      </c>
      <c r="V596" s="559" t="s">
        <v>3560</v>
      </c>
      <c r="W596" s="541" t="s">
        <v>3561</v>
      </c>
      <c r="X596" s="516" t="s">
        <v>876</v>
      </c>
      <c r="Y596" s="542">
        <v>28211</v>
      </c>
      <c r="Z596" s="543">
        <f t="shared" ca="1" si="12"/>
        <v>48</v>
      </c>
      <c r="AA596" s="534" t="s">
        <v>3562</v>
      </c>
      <c r="AB596" s="516" t="s">
        <v>3563</v>
      </c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3564</v>
      </c>
      <c r="AH596" s="516"/>
      <c r="AI596" s="516" t="s">
        <v>3316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576</v>
      </c>
      <c r="D597" s="516" t="s">
        <v>2094</v>
      </c>
      <c r="E597" s="516">
        <f t="shared" si="11"/>
        <v>547</v>
      </c>
      <c r="F597" s="534"/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2094</v>
      </c>
      <c r="L597" s="535" t="s">
        <v>786</v>
      </c>
      <c r="M597" s="536"/>
      <c r="N597" s="537"/>
      <c r="O597" s="537"/>
      <c r="P597" s="548" t="s">
        <v>978</v>
      </c>
      <c r="Q597" s="539"/>
      <c r="R597" s="516" t="s">
        <v>49</v>
      </c>
      <c r="S597" s="516" t="s">
        <v>168</v>
      </c>
      <c r="T597" s="516"/>
      <c r="U597" s="516"/>
      <c r="V597" s="548" t="s">
        <v>231</v>
      </c>
      <c r="W597" s="541" t="s">
        <v>2095</v>
      </c>
      <c r="X597" s="516" t="s">
        <v>876</v>
      </c>
      <c r="Y597" s="542">
        <v>25211</v>
      </c>
      <c r="Z597" s="543">
        <f t="shared" ca="1" si="12"/>
        <v>57</v>
      </c>
      <c r="AA597" s="534" t="s">
        <v>2096</v>
      </c>
      <c r="AB597" s="516"/>
      <c r="AC597" s="516" t="s">
        <v>802</v>
      </c>
      <c r="AD597" s="516" t="s">
        <v>794</v>
      </c>
      <c r="AE597" s="534" t="s">
        <v>809</v>
      </c>
      <c r="AF597" s="534" t="s">
        <v>809</v>
      </c>
      <c r="AG597" s="534" t="s">
        <v>2085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577</v>
      </c>
      <c r="D598" s="516" t="s">
        <v>3565</v>
      </c>
      <c r="E598" s="516">
        <f t="shared" si="11"/>
        <v>548</v>
      </c>
      <c r="F598" s="534" t="s">
        <v>1841</v>
      </c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38" t="s">
        <v>978</v>
      </c>
      <c r="Q598" s="539" t="s">
        <v>308</v>
      </c>
      <c r="R598" s="516"/>
      <c r="S598" s="516"/>
      <c r="T598" s="516"/>
      <c r="U598" s="516" t="s">
        <v>874</v>
      </c>
      <c r="V598" s="538" t="s">
        <v>3566</v>
      </c>
      <c r="W598" s="541" t="s">
        <v>3567</v>
      </c>
      <c r="X598" s="516" t="s">
        <v>876</v>
      </c>
      <c r="Y598" s="542">
        <v>33974</v>
      </c>
      <c r="Z598" s="543">
        <f t="shared" ca="1" si="12"/>
        <v>33</v>
      </c>
      <c r="AA598" s="534" t="s">
        <v>3568</v>
      </c>
      <c r="AB598" s="516" t="s">
        <v>3569</v>
      </c>
      <c r="AC598" s="516" t="s">
        <v>842</v>
      </c>
      <c r="AD598" s="516" t="s">
        <v>843</v>
      </c>
      <c r="AE598" s="534" t="s">
        <v>236</v>
      </c>
      <c r="AF598" s="534" t="s">
        <v>236</v>
      </c>
      <c r="AG598" s="534" t="s">
        <v>3212</v>
      </c>
      <c r="AH598" s="516"/>
      <c r="AI598" s="516"/>
      <c r="AJ598" s="516" t="s">
        <v>971</v>
      </c>
      <c r="AK598" s="516"/>
      <c r="AL598" s="544"/>
      <c r="AM598" s="544"/>
    </row>
    <row r="599" spans="3:39" ht="18" customHeight="1">
      <c r="C599" s="516">
        <v>578</v>
      </c>
      <c r="D599" s="516" t="s">
        <v>3570</v>
      </c>
      <c r="E599" s="516">
        <f t="shared" si="11"/>
        <v>549</v>
      </c>
      <c r="F599" s="534" t="s">
        <v>1841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788</v>
      </c>
      <c r="V599" s="538" t="s">
        <v>3571</v>
      </c>
      <c r="W599" s="541" t="s">
        <v>3572</v>
      </c>
      <c r="X599" s="516" t="s">
        <v>876</v>
      </c>
      <c r="Y599" s="542">
        <v>37889</v>
      </c>
      <c r="Z599" s="543">
        <f t="shared" ca="1" si="12"/>
        <v>22</v>
      </c>
      <c r="AA599" s="534" t="s">
        <v>3573</v>
      </c>
      <c r="AB599" s="516" t="s">
        <v>3574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3199</v>
      </c>
      <c r="AH599" s="516"/>
      <c r="AI599" s="516" t="s">
        <v>3297</v>
      </c>
      <c r="AJ599" s="516" t="s">
        <v>971</v>
      </c>
      <c r="AK599" s="516"/>
      <c r="AL599" s="544"/>
      <c r="AM599" s="544"/>
    </row>
    <row r="600" spans="3:39" ht="18" customHeight="1">
      <c r="C600" s="516">
        <v>579</v>
      </c>
      <c r="D600" s="516" t="s">
        <v>3575</v>
      </c>
      <c r="E600" s="516">
        <f t="shared" si="11"/>
        <v>550</v>
      </c>
      <c r="F600" s="534" t="s">
        <v>1310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524</v>
      </c>
      <c r="W600" s="541" t="s">
        <v>3576</v>
      </c>
      <c r="X600" s="516" t="s">
        <v>876</v>
      </c>
      <c r="Y600" s="542">
        <v>38551</v>
      </c>
      <c r="Z600" s="543">
        <f t="shared" ca="1" si="12"/>
        <v>20</v>
      </c>
      <c r="AA600" s="534" t="s">
        <v>3577</v>
      </c>
      <c r="AB600" s="516" t="s">
        <v>3578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580</v>
      </c>
      <c r="D601" s="516" t="s">
        <v>3579</v>
      </c>
      <c r="E601" s="516">
        <f t="shared" si="11"/>
        <v>551</v>
      </c>
      <c r="F601" s="534" t="s">
        <v>811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59" t="s">
        <v>978</v>
      </c>
      <c r="Q601" s="539" t="s">
        <v>308</v>
      </c>
      <c r="R601" s="516"/>
      <c r="S601" s="516"/>
      <c r="T601" s="516"/>
      <c r="U601" s="516" t="s">
        <v>874</v>
      </c>
      <c r="V601" s="540" t="s">
        <v>3580</v>
      </c>
      <c r="W601" s="541" t="s">
        <v>3581</v>
      </c>
      <c r="X601" s="516" t="s">
        <v>876</v>
      </c>
      <c r="Y601" s="542">
        <v>33117</v>
      </c>
      <c r="Z601" s="543">
        <f t="shared" ca="1" si="12"/>
        <v>35</v>
      </c>
      <c r="AA601" s="534" t="s">
        <v>3582</v>
      </c>
      <c r="AB601" s="516"/>
      <c r="AC601" s="516" t="s">
        <v>842</v>
      </c>
      <c r="AD601" s="516" t="s">
        <v>843</v>
      </c>
      <c r="AE601" s="534" t="s">
        <v>713</v>
      </c>
      <c r="AF601" s="534" t="s">
        <v>713</v>
      </c>
      <c r="AG601" s="534" t="s">
        <v>3583</v>
      </c>
      <c r="AH601" s="516"/>
      <c r="AI601" s="516" t="s">
        <v>866</v>
      </c>
      <c r="AJ601" s="516" t="s">
        <v>971</v>
      </c>
      <c r="AK601" s="516"/>
      <c r="AL601" s="544"/>
      <c r="AM601" s="544"/>
    </row>
    <row r="602" spans="3:39" ht="18" customHeight="1">
      <c r="C602" s="516">
        <v>581</v>
      </c>
      <c r="D602" s="516" t="s">
        <v>915</v>
      </c>
      <c r="E602" s="516">
        <f t="shared" si="11"/>
        <v>551</v>
      </c>
      <c r="F602" s="534"/>
      <c r="G602" s="534" t="s">
        <v>3584</v>
      </c>
      <c r="H602" s="535"/>
      <c r="I602" s="535" t="s">
        <v>73</v>
      </c>
      <c r="J602" s="535"/>
      <c r="K602" s="535" t="s">
        <v>915</v>
      </c>
      <c r="L602" s="535"/>
      <c r="M602" s="536"/>
      <c r="N602" s="537"/>
      <c r="O602" s="537"/>
      <c r="P602" s="548" t="s">
        <v>2372</v>
      </c>
      <c r="Q602" s="539"/>
      <c r="R602" s="516" t="s">
        <v>163</v>
      </c>
      <c r="S602" s="516" t="s">
        <v>500</v>
      </c>
      <c r="T602" s="516"/>
      <c r="U602" s="562"/>
      <c r="V602" s="548" t="s">
        <v>73</v>
      </c>
      <c r="W602" s="560" t="s">
        <v>3585</v>
      </c>
      <c r="X602" s="516" t="s">
        <v>876</v>
      </c>
      <c r="Y602" s="542">
        <v>31722</v>
      </c>
      <c r="Z602" s="543">
        <f t="shared" ca="1" si="12"/>
        <v>39</v>
      </c>
      <c r="AA602" s="534" t="s">
        <v>917</v>
      </c>
      <c r="AB602" s="516" t="s">
        <v>3586</v>
      </c>
      <c r="AC602" s="516" t="s">
        <v>802</v>
      </c>
      <c r="AD602" s="516" t="s">
        <v>794</v>
      </c>
      <c r="AE602" s="534" t="s">
        <v>713</v>
      </c>
      <c r="AF602" s="534" t="s">
        <v>795</v>
      </c>
      <c r="AG602" s="534" t="s">
        <v>796</v>
      </c>
      <c r="AH602" s="516" t="s">
        <v>872</v>
      </c>
      <c r="AI602" s="516"/>
      <c r="AJ602" s="516"/>
      <c r="AK602" s="516"/>
      <c r="AL602" s="544"/>
      <c r="AM602" s="544"/>
    </row>
    <row r="603" spans="3:39" ht="18" customHeight="1">
      <c r="C603" s="516">
        <v>582</v>
      </c>
      <c r="D603" s="516" t="s">
        <v>3587</v>
      </c>
      <c r="E603" s="516">
        <f t="shared" si="11"/>
        <v>552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/>
      <c r="N603" s="537"/>
      <c r="O603" s="537"/>
      <c r="P603" s="538" t="s">
        <v>2372</v>
      </c>
      <c r="Q603" s="539"/>
      <c r="R603" s="516" t="s">
        <v>62</v>
      </c>
      <c r="S603" s="516" t="s">
        <v>548</v>
      </c>
      <c r="T603" s="516"/>
      <c r="U603" s="562" t="s">
        <v>874</v>
      </c>
      <c r="V603" s="538" t="s">
        <v>594</v>
      </c>
      <c r="W603" s="560" t="s">
        <v>3588</v>
      </c>
      <c r="X603" s="516" t="s">
        <v>876</v>
      </c>
      <c r="Y603" s="542">
        <v>33100</v>
      </c>
      <c r="Z603" s="543">
        <f t="shared" ca="1" si="12"/>
        <v>35</v>
      </c>
      <c r="AA603" s="534" t="s">
        <v>3589</v>
      </c>
      <c r="AB603" s="516" t="s">
        <v>3590</v>
      </c>
      <c r="AC603" s="516" t="s">
        <v>842</v>
      </c>
      <c r="AD603" s="516" t="s">
        <v>851</v>
      </c>
      <c r="AE603" s="534" t="s">
        <v>713</v>
      </c>
      <c r="AF603" s="566" t="s">
        <v>713</v>
      </c>
      <c r="AG603" s="552" t="s">
        <v>3591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583</v>
      </c>
      <c r="D604" s="516" t="s">
        <v>3592</v>
      </c>
      <c r="E604" s="516">
        <f t="shared" si="11"/>
        <v>553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/>
      <c r="S604" s="516"/>
      <c r="T604" s="516"/>
      <c r="U604" s="562" t="s">
        <v>874</v>
      </c>
      <c r="V604" s="538" t="s">
        <v>3593</v>
      </c>
      <c r="W604" s="560" t="s">
        <v>3594</v>
      </c>
      <c r="X604" s="516" t="s">
        <v>876</v>
      </c>
      <c r="Y604" s="542">
        <v>32267</v>
      </c>
      <c r="Z604" s="543">
        <f t="shared" ca="1" si="12"/>
        <v>37</v>
      </c>
      <c r="AA604" s="534" t="s">
        <v>3595</v>
      </c>
      <c r="AB604" s="516" t="s">
        <v>3596</v>
      </c>
      <c r="AC604" s="516" t="s">
        <v>842</v>
      </c>
      <c r="AD604" s="516" t="s">
        <v>843</v>
      </c>
      <c r="AE604" s="534" t="s">
        <v>713</v>
      </c>
      <c r="AF604" s="566" t="s">
        <v>713</v>
      </c>
      <c r="AG604" s="552" t="s">
        <v>3591</v>
      </c>
      <c r="AH604" s="516"/>
      <c r="AI604" s="516" t="s">
        <v>3597</v>
      </c>
      <c r="AJ604" s="516" t="s">
        <v>903</v>
      </c>
      <c r="AK604" s="516"/>
      <c r="AL604" s="544"/>
      <c r="AM604" s="544"/>
    </row>
    <row r="605" spans="3:39" ht="18" customHeight="1">
      <c r="C605" s="516">
        <v>584</v>
      </c>
      <c r="D605" s="516" t="s">
        <v>3598</v>
      </c>
      <c r="E605" s="516">
        <f t="shared" si="11"/>
        <v>554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3599</v>
      </c>
      <c r="W605" s="560" t="s">
        <v>3600</v>
      </c>
      <c r="X605" s="516" t="s">
        <v>876</v>
      </c>
      <c r="Y605" s="542">
        <v>35591</v>
      </c>
      <c r="Z605" s="543">
        <f t="shared" ca="1" si="12"/>
        <v>28</v>
      </c>
      <c r="AA605" s="534" t="s">
        <v>3601</v>
      </c>
      <c r="AB605" s="615" t="s">
        <v>3602</v>
      </c>
      <c r="AC605" s="516" t="s">
        <v>802</v>
      </c>
      <c r="AD605" s="516" t="s">
        <v>794</v>
      </c>
      <c r="AE605" s="534" t="s">
        <v>713</v>
      </c>
      <c r="AF605" s="566" t="s">
        <v>713</v>
      </c>
      <c r="AG605" s="552" t="s">
        <v>3591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585</v>
      </c>
      <c r="D606" s="516" t="s">
        <v>3603</v>
      </c>
      <c r="E606" s="516">
        <f t="shared" si="11"/>
        <v>555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 t="s">
        <v>308</v>
      </c>
      <c r="R606" s="516"/>
      <c r="S606" s="516"/>
      <c r="T606" s="516"/>
      <c r="U606" s="562" t="s">
        <v>874</v>
      </c>
      <c r="V606" s="538" t="s">
        <v>3604</v>
      </c>
      <c r="W606" s="560" t="s">
        <v>3605</v>
      </c>
      <c r="X606" s="516" t="s">
        <v>876</v>
      </c>
      <c r="Y606" s="542">
        <v>31113</v>
      </c>
      <c r="Z606" s="543">
        <f t="shared" ca="1" si="12"/>
        <v>40</v>
      </c>
      <c r="AA606" s="534" t="s">
        <v>3606</v>
      </c>
      <c r="AB606" s="516" t="s">
        <v>3607</v>
      </c>
      <c r="AC606" s="516" t="s">
        <v>842</v>
      </c>
      <c r="AD606" s="516" t="s">
        <v>843</v>
      </c>
      <c r="AE606" s="534" t="s">
        <v>713</v>
      </c>
      <c r="AF606" s="566" t="s">
        <v>713</v>
      </c>
      <c r="AG606" s="552" t="s">
        <v>3608</v>
      </c>
      <c r="AH606" s="516"/>
      <c r="AI606" s="516"/>
      <c r="AJ606" s="565" t="s">
        <v>1087</v>
      </c>
      <c r="AK606" s="516"/>
      <c r="AL606" s="544"/>
      <c r="AM606" s="544"/>
    </row>
    <row r="607" spans="3:39" ht="18" customHeight="1">
      <c r="C607" s="516">
        <v>586</v>
      </c>
      <c r="D607" s="516" t="s">
        <v>3609</v>
      </c>
      <c r="E607" s="516">
        <f t="shared" si="11"/>
        <v>556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40" t="s">
        <v>3610</v>
      </c>
      <c r="W607" s="560" t="s">
        <v>3611</v>
      </c>
      <c r="X607" s="516" t="s">
        <v>876</v>
      </c>
      <c r="Y607" s="542">
        <v>30783</v>
      </c>
      <c r="Z607" s="543">
        <f t="shared" ca="1" si="12"/>
        <v>41</v>
      </c>
      <c r="AA607" s="534" t="s">
        <v>3612</v>
      </c>
      <c r="AB607" s="516" t="s">
        <v>3613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34" t="s">
        <v>1906</v>
      </c>
      <c r="AH607" s="516"/>
      <c r="AI607" s="516"/>
      <c r="AJ607" s="593" t="s">
        <v>1604</v>
      </c>
      <c r="AK607" s="516"/>
      <c r="AL607" s="544"/>
      <c r="AM607" s="544"/>
    </row>
    <row r="608" spans="3:39" ht="18" customHeight="1">
      <c r="C608" s="516">
        <v>587</v>
      </c>
      <c r="D608" s="516" t="s">
        <v>3614</v>
      </c>
      <c r="E608" s="516">
        <f t="shared" si="11"/>
        <v>557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602" t="s">
        <v>683</v>
      </c>
      <c r="W608" s="560" t="s">
        <v>3615</v>
      </c>
      <c r="X608" s="516" t="s">
        <v>876</v>
      </c>
      <c r="Y608" s="542">
        <v>31732</v>
      </c>
      <c r="Z608" s="543">
        <f t="shared" ca="1" si="12"/>
        <v>39</v>
      </c>
      <c r="AA608" s="534" t="s">
        <v>3616</v>
      </c>
      <c r="AB608" s="516" t="s">
        <v>3617</v>
      </c>
      <c r="AC608" s="516" t="s">
        <v>842</v>
      </c>
      <c r="AD608" s="516" t="s">
        <v>843</v>
      </c>
      <c r="AE608" s="534" t="s">
        <v>713</v>
      </c>
      <c r="AF608" s="534" t="s">
        <v>713</v>
      </c>
      <c r="AG608" s="534" t="s">
        <v>2072</v>
      </c>
      <c r="AH608" s="516"/>
      <c r="AI608" s="516"/>
      <c r="AJ608" s="632" t="s">
        <v>1438</v>
      </c>
      <c r="AK608" s="516"/>
      <c r="AL608" s="544"/>
      <c r="AM608" s="544"/>
    </row>
    <row r="609" spans="3:39" ht="18" customHeight="1">
      <c r="C609" s="516">
        <v>588</v>
      </c>
      <c r="D609" s="516" t="s">
        <v>3618</v>
      </c>
      <c r="E609" s="516">
        <f t="shared" si="11"/>
        <v>558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563" t="s">
        <v>693</v>
      </c>
      <c r="W609" s="560" t="s">
        <v>3619</v>
      </c>
      <c r="X609" s="516" t="s">
        <v>876</v>
      </c>
      <c r="Y609" s="542">
        <v>32987</v>
      </c>
      <c r="Z609" s="543">
        <f t="shared" ca="1" si="12"/>
        <v>35</v>
      </c>
      <c r="AA609" s="534" t="s">
        <v>3620</v>
      </c>
      <c r="AB609" s="516" t="s">
        <v>3621</v>
      </c>
      <c r="AC609" s="516" t="s">
        <v>842</v>
      </c>
      <c r="AD609" s="516" t="s">
        <v>843</v>
      </c>
      <c r="AE609" s="534" t="s">
        <v>713</v>
      </c>
      <c r="AF609" s="566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589</v>
      </c>
      <c r="D610" s="516" t="s">
        <v>3622</v>
      </c>
      <c r="E610" s="516">
        <f t="shared" si="11"/>
        <v>559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665" t="s">
        <v>3623</v>
      </c>
      <c r="M610" s="536" t="s">
        <v>3622</v>
      </c>
      <c r="N610" s="537"/>
      <c r="O610" s="537"/>
      <c r="P610" s="548" t="s">
        <v>2425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50" t="s">
        <v>3624</v>
      </c>
      <c r="W610" s="541" t="s">
        <v>3625</v>
      </c>
      <c r="X610" s="516" t="s">
        <v>876</v>
      </c>
      <c r="Y610" s="542">
        <v>21995</v>
      </c>
      <c r="Z610" s="543">
        <f t="shared" ca="1" si="12"/>
        <v>65</v>
      </c>
      <c r="AA610" s="534" t="s">
        <v>3626</v>
      </c>
      <c r="AB610" s="516" t="s">
        <v>3627</v>
      </c>
      <c r="AC610" s="516" t="s">
        <v>802</v>
      </c>
      <c r="AD610" s="516" t="s">
        <v>794</v>
      </c>
      <c r="AE610" s="633" t="s">
        <v>1400</v>
      </c>
      <c r="AF610" s="534" t="s">
        <v>1400</v>
      </c>
      <c r="AG610" s="534" t="s">
        <v>3628</v>
      </c>
      <c r="AH610" s="516"/>
      <c r="AI610" s="516"/>
      <c r="AJ610" s="516" t="s">
        <v>903</v>
      </c>
      <c r="AK610" s="516"/>
      <c r="AL610" s="544"/>
      <c r="AM610" s="544"/>
    </row>
    <row r="611" spans="3:39" ht="18" customHeight="1">
      <c r="C611" s="516">
        <v>590</v>
      </c>
      <c r="D611" s="516" t="s">
        <v>3623</v>
      </c>
      <c r="E611" s="516">
        <f t="shared" si="11"/>
        <v>560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665" t="s">
        <v>3623</v>
      </c>
      <c r="M611" s="536" t="s">
        <v>3622</v>
      </c>
      <c r="N611" s="537"/>
      <c r="O611" s="537"/>
      <c r="P611" s="53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38" t="s">
        <v>3629</v>
      </c>
      <c r="W611" s="541" t="s">
        <v>3630</v>
      </c>
      <c r="X611" s="516" t="s">
        <v>876</v>
      </c>
      <c r="Y611" s="542">
        <v>28273</v>
      </c>
      <c r="Z611" s="543">
        <f t="shared" ca="1" si="12"/>
        <v>48</v>
      </c>
      <c r="AA611" s="534" t="s">
        <v>3631</v>
      </c>
      <c r="AB611" s="516" t="s">
        <v>3632</v>
      </c>
      <c r="AC611" s="516" t="s">
        <v>842</v>
      </c>
      <c r="AD611" s="516" t="s">
        <v>851</v>
      </c>
      <c r="AE611" s="633" t="s">
        <v>1400</v>
      </c>
      <c r="AF611" s="534" t="s">
        <v>1400</v>
      </c>
      <c r="AG611" s="534" t="s">
        <v>3633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591</v>
      </c>
      <c r="D612" s="516" t="s">
        <v>3634</v>
      </c>
      <c r="E612" s="516">
        <f t="shared" si="11"/>
        <v>561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665" t="s">
        <v>3623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/>
      <c r="U612" s="516" t="s">
        <v>874</v>
      </c>
      <c r="V612" s="538" t="s">
        <v>3635</v>
      </c>
      <c r="W612" s="541" t="s">
        <v>3636</v>
      </c>
      <c r="X612" s="516" t="s">
        <v>876</v>
      </c>
      <c r="Y612" s="542">
        <v>31463</v>
      </c>
      <c r="Z612" s="543">
        <f t="shared" ca="1" si="12"/>
        <v>39</v>
      </c>
      <c r="AA612" s="534" t="s">
        <v>3637</v>
      </c>
      <c r="AB612" s="516" t="s">
        <v>3638</v>
      </c>
      <c r="AC612" s="516" t="s">
        <v>842</v>
      </c>
      <c r="AD612" s="516" t="s">
        <v>851</v>
      </c>
      <c r="AE612" s="534" t="s">
        <v>713</v>
      </c>
      <c r="AF612" s="534" t="s">
        <v>713</v>
      </c>
      <c r="AG612" s="633" t="s">
        <v>1583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592</v>
      </c>
      <c r="D613" s="516" t="s">
        <v>3639</v>
      </c>
      <c r="E613" s="516">
        <f t="shared" si="11"/>
        <v>562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665" t="s">
        <v>3623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3640</v>
      </c>
      <c r="W613" s="541" t="s">
        <v>3641</v>
      </c>
      <c r="X613" s="516" t="s">
        <v>876</v>
      </c>
      <c r="Y613" s="542">
        <v>30230</v>
      </c>
      <c r="Z613" s="543">
        <f t="shared" ca="1" si="12"/>
        <v>43</v>
      </c>
      <c r="AA613" s="534" t="s">
        <v>3642</v>
      </c>
      <c r="AB613" s="516" t="s">
        <v>3643</v>
      </c>
      <c r="AC613" s="516" t="s">
        <v>842</v>
      </c>
      <c r="AD613" s="516" t="s">
        <v>851</v>
      </c>
      <c r="AE613" s="633" t="s">
        <v>2208</v>
      </c>
      <c r="AF613" s="534" t="s">
        <v>2208</v>
      </c>
      <c r="AG613" s="534" t="s">
        <v>3644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593</v>
      </c>
      <c r="D614" s="516" t="s">
        <v>3645</v>
      </c>
      <c r="E614" s="516">
        <f t="shared" si="11"/>
        <v>563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665" t="s">
        <v>3623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3646</v>
      </c>
      <c r="W614" s="541" t="s">
        <v>3647</v>
      </c>
      <c r="X614" s="516" t="s">
        <v>876</v>
      </c>
      <c r="Y614" s="542">
        <v>32894</v>
      </c>
      <c r="Z614" s="543">
        <f t="shared" ca="1" si="12"/>
        <v>36</v>
      </c>
      <c r="AA614" s="534" t="s">
        <v>3648</v>
      </c>
      <c r="AB614" s="516" t="s">
        <v>3649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594</v>
      </c>
      <c r="D615" s="516" t="s">
        <v>3650</v>
      </c>
      <c r="E615" s="516">
        <f t="shared" si="11"/>
        <v>564</v>
      </c>
      <c r="F615" s="534" t="s">
        <v>981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665" t="s">
        <v>3623</v>
      </c>
      <c r="M615" s="536" t="s">
        <v>3622</v>
      </c>
      <c r="N615" s="537"/>
      <c r="O615" s="537"/>
      <c r="P615" s="559" t="s">
        <v>2425</v>
      </c>
      <c r="Q615" s="539"/>
      <c r="R615" s="516"/>
      <c r="S615" s="516"/>
      <c r="T615" s="516"/>
      <c r="U615" s="516" t="s">
        <v>874</v>
      </c>
      <c r="V615" s="559" t="s">
        <v>3651</v>
      </c>
      <c r="W615" s="541" t="s">
        <v>3652</v>
      </c>
      <c r="X615" s="516" t="s">
        <v>876</v>
      </c>
      <c r="Y615" s="542">
        <v>25602</v>
      </c>
      <c r="Z615" s="543">
        <f t="shared" ca="1" si="12"/>
        <v>55</v>
      </c>
      <c r="AA615" s="534"/>
      <c r="AB615" s="516" t="s">
        <v>3653</v>
      </c>
      <c r="AC615" s="516" t="s">
        <v>842</v>
      </c>
      <c r="AD615" s="516" t="s">
        <v>851</v>
      </c>
      <c r="AE615" s="534" t="s">
        <v>1400</v>
      </c>
      <c r="AF615" s="534" t="s">
        <v>1400</v>
      </c>
      <c r="AG615" s="534" t="s">
        <v>3654</v>
      </c>
      <c r="AH615" s="516"/>
      <c r="AI615" s="516"/>
      <c r="AJ615" s="516" t="s">
        <v>832</v>
      </c>
      <c r="AK615" s="516"/>
      <c r="AL615" s="544"/>
      <c r="AM615" s="544"/>
    </row>
    <row r="616" spans="3:39" ht="18" customHeight="1">
      <c r="C616" s="516">
        <v>595</v>
      </c>
      <c r="D616" s="516" t="s">
        <v>1679</v>
      </c>
      <c r="E616" s="516">
        <f t="shared" si="11"/>
        <v>564</v>
      </c>
      <c r="F616" s="534"/>
      <c r="G616" s="534" t="s">
        <v>3584</v>
      </c>
      <c r="H616" s="535" t="s">
        <v>1118</v>
      </c>
      <c r="I616" s="535" t="s">
        <v>73</v>
      </c>
      <c r="J616" s="535" t="s">
        <v>915</v>
      </c>
      <c r="K616" s="535" t="s">
        <v>1679</v>
      </c>
      <c r="L616" s="535" t="s">
        <v>3658</v>
      </c>
      <c r="M616" s="536"/>
      <c r="N616" s="537"/>
      <c r="O616" s="537"/>
      <c r="P616" s="548" t="s">
        <v>828</v>
      </c>
      <c r="Q616" s="539"/>
      <c r="R616" s="516" t="s">
        <v>49</v>
      </c>
      <c r="S616" s="516" t="s">
        <v>168</v>
      </c>
      <c r="T616" s="516"/>
      <c r="U616" s="516"/>
      <c r="V616" s="548" t="s">
        <v>278</v>
      </c>
      <c r="W616" s="541" t="s">
        <v>1680</v>
      </c>
      <c r="X616" s="516" t="s">
        <v>876</v>
      </c>
      <c r="Y616" s="542">
        <v>28944</v>
      </c>
      <c r="Z616" s="543">
        <f t="shared" ca="1" si="12"/>
        <v>46</v>
      </c>
      <c r="AA616" s="534" t="s">
        <v>1681</v>
      </c>
      <c r="AB616" s="516" t="s">
        <v>3659</v>
      </c>
      <c r="AC616" s="516" t="s">
        <v>802</v>
      </c>
      <c r="AD616" s="516" t="s">
        <v>794</v>
      </c>
      <c r="AE616" s="534" t="s">
        <v>236</v>
      </c>
      <c r="AF616" s="534" t="s">
        <v>236</v>
      </c>
      <c r="AG616" s="534" t="s">
        <v>1683</v>
      </c>
      <c r="AH616" s="516" t="s">
        <v>872</v>
      </c>
      <c r="AI616" s="516"/>
      <c r="AJ616" s="516"/>
      <c r="AK616" s="516"/>
      <c r="AL616" s="544"/>
      <c r="AM616" s="544"/>
    </row>
    <row r="617" spans="3:39" ht="18" customHeight="1">
      <c r="C617" s="516">
        <v>596</v>
      </c>
      <c r="D617" s="516" t="s">
        <v>3658</v>
      </c>
      <c r="E617" s="516">
        <f t="shared" si="11"/>
        <v>565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38" t="s">
        <v>828</v>
      </c>
      <c r="Q617" s="539"/>
      <c r="R617" s="516" t="s">
        <v>62</v>
      </c>
      <c r="S617" s="516" t="s">
        <v>548</v>
      </c>
      <c r="T617" s="516"/>
      <c r="U617" s="516" t="s">
        <v>874</v>
      </c>
      <c r="V617" s="538" t="s">
        <v>595</v>
      </c>
      <c r="W617" s="541" t="s">
        <v>3660</v>
      </c>
      <c r="X617" s="516" t="s">
        <v>876</v>
      </c>
      <c r="Y617" s="542">
        <v>30933</v>
      </c>
      <c r="Z617" s="543">
        <f t="shared" ca="1" si="12"/>
        <v>41</v>
      </c>
      <c r="AA617" s="534" t="s">
        <v>3661</v>
      </c>
      <c r="AB617" s="516" t="s">
        <v>3662</v>
      </c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3663</v>
      </c>
      <c r="AH617" s="516"/>
      <c r="AI617" s="516"/>
      <c r="AJ617" s="516" t="s">
        <v>867</v>
      </c>
      <c r="AK617" s="516"/>
      <c r="AL617" s="544"/>
      <c r="AM617" s="544"/>
    </row>
    <row r="618" spans="3:39" ht="18" customHeight="1">
      <c r="C618" s="516">
        <v>597</v>
      </c>
      <c r="D618" s="516" t="s">
        <v>3664</v>
      </c>
      <c r="E618" s="516">
        <f t="shared" si="11"/>
        <v>566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/>
      <c r="S618" s="516"/>
      <c r="T618" s="516"/>
      <c r="U618" s="516" t="s">
        <v>874</v>
      </c>
      <c r="V618" s="538" t="s">
        <v>614</v>
      </c>
      <c r="W618" s="541" t="s">
        <v>3665</v>
      </c>
      <c r="X618" s="516" t="s">
        <v>876</v>
      </c>
      <c r="Y618" s="542">
        <v>26339</v>
      </c>
      <c r="Z618" s="543">
        <f t="shared" ca="1" si="12"/>
        <v>53</v>
      </c>
      <c r="AA618" s="534" t="s">
        <v>3666</v>
      </c>
      <c r="AB618" s="516" t="s">
        <v>3667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3668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598</v>
      </c>
      <c r="D619" s="516" t="s">
        <v>3669</v>
      </c>
      <c r="E619" s="516">
        <f t="shared" si="11"/>
        <v>567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632</v>
      </c>
      <c r="W619" s="541" t="s">
        <v>3670</v>
      </c>
      <c r="X619" s="516" t="s">
        <v>876</v>
      </c>
      <c r="Y619" s="542">
        <v>31788</v>
      </c>
      <c r="Z619" s="543">
        <f t="shared" ca="1" si="12"/>
        <v>39</v>
      </c>
      <c r="AA619" s="534" t="s">
        <v>3671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3672</v>
      </c>
      <c r="AH619" s="516" t="s">
        <v>1571</v>
      </c>
      <c r="AI619" s="634" t="s">
        <v>4214</v>
      </c>
      <c r="AJ619" s="516" t="s">
        <v>867</v>
      </c>
      <c r="AK619" s="516"/>
      <c r="AL619" s="544"/>
      <c r="AM619" s="544"/>
    </row>
    <row r="620" spans="3:39" ht="18" customHeight="1">
      <c r="C620" s="516">
        <v>599</v>
      </c>
      <c r="D620" s="516" t="s">
        <v>3674</v>
      </c>
      <c r="E620" s="516">
        <f t="shared" si="11"/>
        <v>568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3675</v>
      </c>
      <c r="W620" s="541" t="s">
        <v>3676</v>
      </c>
      <c r="X620" s="516" t="s">
        <v>876</v>
      </c>
      <c r="Y620" s="542">
        <v>21929</v>
      </c>
      <c r="Z620" s="543">
        <f t="shared" ca="1" si="12"/>
        <v>66</v>
      </c>
      <c r="AA620" s="534" t="s">
        <v>3677</v>
      </c>
      <c r="AB620" s="571"/>
      <c r="AC620" s="516" t="s">
        <v>842</v>
      </c>
      <c r="AD620" s="516" t="s">
        <v>843</v>
      </c>
      <c r="AE620" s="534" t="s">
        <v>713</v>
      </c>
      <c r="AF620" s="534" t="s">
        <v>713</v>
      </c>
      <c r="AG620" s="534" t="s">
        <v>3678</v>
      </c>
      <c r="AH620" s="516"/>
      <c r="AI620" s="516" t="s">
        <v>866</v>
      </c>
      <c r="AJ620" s="516" t="s">
        <v>867</v>
      </c>
      <c r="AK620" s="516"/>
      <c r="AL620" s="544"/>
      <c r="AM620" s="544"/>
    </row>
    <row r="621" spans="3:39" ht="18" customHeight="1">
      <c r="C621" s="516">
        <v>600</v>
      </c>
      <c r="D621" s="516" t="s">
        <v>3679</v>
      </c>
      <c r="E621" s="516">
        <f t="shared" si="11"/>
        <v>569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59" t="s">
        <v>828</v>
      </c>
      <c r="Q621" s="539"/>
      <c r="R621" s="516"/>
      <c r="S621" s="516"/>
      <c r="T621" s="516"/>
      <c r="U621" s="516" t="s">
        <v>874</v>
      </c>
      <c r="V621" s="559" t="s">
        <v>3680</v>
      </c>
      <c r="W621" s="541" t="s">
        <v>3681</v>
      </c>
      <c r="X621" s="516" t="s">
        <v>876</v>
      </c>
      <c r="Y621" s="542">
        <v>32411</v>
      </c>
      <c r="Z621" s="543">
        <f t="shared" ca="1" si="12"/>
        <v>37</v>
      </c>
      <c r="AA621" s="534" t="s">
        <v>3682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1294</v>
      </c>
      <c r="AH621" s="516"/>
      <c r="AI621" s="516" t="s">
        <v>866</v>
      </c>
      <c r="AJ621" s="516" t="s">
        <v>976</v>
      </c>
      <c r="AK621" s="516"/>
      <c r="AL621" s="544"/>
      <c r="AM621" s="544"/>
    </row>
    <row r="622" spans="3:39" ht="18" customHeight="1">
      <c r="C622" s="516">
        <v>601</v>
      </c>
      <c r="D622" s="516" t="s">
        <v>3683</v>
      </c>
      <c r="E622" s="516">
        <f t="shared" si="11"/>
        <v>570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1186</v>
      </c>
      <c r="L622" s="535" t="s">
        <v>3683</v>
      </c>
      <c r="M622" s="536"/>
      <c r="N622" s="537"/>
      <c r="O622" s="537"/>
      <c r="P622" s="548" t="s">
        <v>938</v>
      </c>
      <c r="Q622" s="539"/>
      <c r="R622" s="516" t="s">
        <v>49</v>
      </c>
      <c r="S622" s="516" t="s">
        <v>168</v>
      </c>
      <c r="T622" s="516"/>
      <c r="U622" s="516" t="s">
        <v>874</v>
      </c>
      <c r="V622" s="548" t="s">
        <v>3685</v>
      </c>
      <c r="W622" s="541" t="s">
        <v>3686</v>
      </c>
      <c r="X622" s="516" t="s">
        <v>876</v>
      </c>
      <c r="Y622" s="542">
        <v>33871</v>
      </c>
      <c r="Z622" s="543">
        <f t="shared" ca="1" si="12"/>
        <v>33</v>
      </c>
      <c r="AA622" s="534" t="s">
        <v>3687</v>
      </c>
      <c r="AB622" s="516" t="s">
        <v>3688</v>
      </c>
      <c r="AC622" s="516" t="s">
        <v>842</v>
      </c>
      <c r="AD622" s="516" t="s">
        <v>851</v>
      </c>
      <c r="AE622" s="534" t="s">
        <v>1256</v>
      </c>
      <c r="AF622" s="534" t="s">
        <v>1256</v>
      </c>
      <c r="AG622" s="534"/>
      <c r="AH622" s="516"/>
      <c r="AI622" s="516"/>
      <c r="AJ622" s="516" t="s">
        <v>976</v>
      </c>
      <c r="AK622" s="516"/>
      <c r="AL622" s="544"/>
      <c r="AM622" s="544"/>
    </row>
    <row r="623" spans="3:39" ht="18" customHeight="1">
      <c r="C623" s="516">
        <v>602</v>
      </c>
      <c r="D623" s="516" t="s">
        <v>3684</v>
      </c>
      <c r="E623" s="516">
        <f t="shared" si="11"/>
        <v>571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38" t="s">
        <v>938</v>
      </c>
      <c r="Q623" s="539"/>
      <c r="R623" s="516" t="s">
        <v>62</v>
      </c>
      <c r="S623" s="516" t="s">
        <v>548</v>
      </c>
      <c r="T623" s="516"/>
      <c r="U623" s="516" t="s">
        <v>874</v>
      </c>
      <c r="V623" s="538" t="s">
        <v>596</v>
      </c>
      <c r="W623" s="541" t="s">
        <v>3689</v>
      </c>
      <c r="X623" s="516" t="s">
        <v>876</v>
      </c>
      <c r="Y623" s="542">
        <v>35425</v>
      </c>
      <c r="Z623" s="543">
        <f t="shared" ca="1" si="12"/>
        <v>29</v>
      </c>
      <c r="AA623" s="534" t="s">
        <v>3690</v>
      </c>
      <c r="AB623" s="516" t="s">
        <v>3691</v>
      </c>
      <c r="AC623" s="516" t="s">
        <v>842</v>
      </c>
      <c r="AD623" s="516" t="s">
        <v>851</v>
      </c>
      <c r="AE623" s="534" t="s">
        <v>713</v>
      </c>
      <c r="AF623" s="566" t="s">
        <v>713</v>
      </c>
      <c r="AG623" s="534" t="s">
        <v>3692</v>
      </c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603</v>
      </c>
      <c r="D624" s="516" t="s">
        <v>3693</v>
      </c>
      <c r="E624" s="516">
        <f t="shared" si="11"/>
        <v>572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/>
      <c r="S624" s="516"/>
      <c r="T624" s="516"/>
      <c r="U624" s="516" t="s">
        <v>874</v>
      </c>
      <c r="V624" s="538" t="s">
        <v>615</v>
      </c>
      <c r="W624" s="541" t="s">
        <v>3694</v>
      </c>
      <c r="X624" s="516" t="s">
        <v>876</v>
      </c>
      <c r="Y624" s="542">
        <v>35131</v>
      </c>
      <c r="Z624" s="543">
        <f t="shared" ca="1" si="12"/>
        <v>29</v>
      </c>
      <c r="AA624" s="534" t="s">
        <v>3695</v>
      </c>
      <c r="AB624" s="516" t="s">
        <v>3696</v>
      </c>
      <c r="AC624" s="516" t="s">
        <v>842</v>
      </c>
      <c r="AD624" s="516" t="s">
        <v>851</v>
      </c>
      <c r="AE624" s="534" t="s">
        <v>1256</v>
      </c>
      <c r="AF624" s="534" t="s">
        <v>1256</v>
      </c>
      <c r="AG624" s="534" t="s">
        <v>2768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604</v>
      </c>
      <c r="D625" s="516" t="s">
        <v>3697</v>
      </c>
      <c r="E625" s="516">
        <f t="shared" si="11"/>
        <v>573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633</v>
      </c>
      <c r="W625" s="541" t="s">
        <v>3698</v>
      </c>
      <c r="X625" s="516" t="s">
        <v>876</v>
      </c>
      <c r="Y625" s="542">
        <v>31175</v>
      </c>
      <c r="Z625" s="543">
        <f t="shared" ca="1" si="12"/>
        <v>40</v>
      </c>
      <c r="AA625" s="534" t="s">
        <v>3699</v>
      </c>
      <c r="AB625" s="516" t="s">
        <v>3700</v>
      </c>
      <c r="AC625" s="516" t="s">
        <v>842</v>
      </c>
      <c r="AD625" s="516" t="s">
        <v>851</v>
      </c>
      <c r="AE625" s="534" t="s">
        <v>713</v>
      </c>
      <c r="AF625" s="566" t="s">
        <v>713</v>
      </c>
      <c r="AG625" s="534" t="s">
        <v>3701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605</v>
      </c>
      <c r="D626" s="516" t="s">
        <v>3702</v>
      </c>
      <c r="E626" s="516">
        <f t="shared" si="11"/>
        <v>574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652</v>
      </c>
      <c r="W626" s="541" t="s">
        <v>3703</v>
      </c>
      <c r="X626" s="516" t="s">
        <v>876</v>
      </c>
      <c r="Y626" s="542">
        <v>31279</v>
      </c>
      <c r="Z626" s="543">
        <f t="shared" ca="1" si="12"/>
        <v>40</v>
      </c>
      <c r="AA626" s="534" t="s">
        <v>3704</v>
      </c>
      <c r="AB626" s="571"/>
      <c r="AC626" s="516" t="s">
        <v>842</v>
      </c>
      <c r="AD626" s="516" t="s">
        <v>843</v>
      </c>
      <c r="AE626" s="534" t="s">
        <v>713</v>
      </c>
      <c r="AF626" s="566" t="s">
        <v>713</v>
      </c>
      <c r="AG626" s="534" t="s">
        <v>3705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606</v>
      </c>
      <c r="D627" s="516" t="s">
        <v>3706</v>
      </c>
      <c r="E627" s="516">
        <f t="shared" si="11"/>
        <v>575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670</v>
      </c>
      <c r="W627" s="541" t="s">
        <v>3707</v>
      </c>
      <c r="X627" s="516" t="s">
        <v>876</v>
      </c>
      <c r="Y627" s="542">
        <v>34479</v>
      </c>
      <c r="Z627" s="543">
        <f t="shared" ca="1" si="12"/>
        <v>31</v>
      </c>
      <c r="AA627" s="534" t="s">
        <v>3708</v>
      </c>
      <c r="AB627" s="516" t="s">
        <v>3709</v>
      </c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3692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607</v>
      </c>
      <c r="D628" s="516" t="s">
        <v>3710</v>
      </c>
      <c r="E628" s="516">
        <f t="shared" si="11"/>
        <v>576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59" t="s">
        <v>938</v>
      </c>
      <c r="Q628" s="539"/>
      <c r="R628" s="516"/>
      <c r="S628" s="516"/>
      <c r="T628" s="516"/>
      <c r="U628" s="516" t="s">
        <v>874</v>
      </c>
      <c r="V628" s="559" t="s">
        <v>684</v>
      </c>
      <c r="W628" s="541" t="s">
        <v>3711</v>
      </c>
      <c r="X628" s="516" t="s">
        <v>876</v>
      </c>
      <c r="Y628" s="542" t="s">
        <v>3712</v>
      </c>
      <c r="Z628" s="543">
        <f t="shared" ca="1" si="12"/>
        <v>25</v>
      </c>
      <c r="AA628" s="534" t="s">
        <v>3713</v>
      </c>
      <c r="AB628" s="516" t="s">
        <v>3714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3715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608</v>
      </c>
      <c r="D629" s="516" t="s">
        <v>1194</v>
      </c>
      <c r="E629" s="516">
        <f t="shared" si="11"/>
        <v>576</v>
      </c>
      <c r="F629" s="534"/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48" t="s">
        <v>978</v>
      </c>
      <c r="Q629" s="539"/>
      <c r="R629" s="516" t="s">
        <v>49</v>
      </c>
      <c r="S629" s="516" t="s">
        <v>168</v>
      </c>
      <c r="T629" s="516"/>
      <c r="U629" s="516"/>
      <c r="V629" s="548" t="s">
        <v>294</v>
      </c>
      <c r="W629" s="541" t="s">
        <v>1195</v>
      </c>
      <c r="X629" s="516" t="s">
        <v>876</v>
      </c>
      <c r="Y629" s="542">
        <v>25307</v>
      </c>
      <c r="Z629" s="543">
        <f t="shared" ca="1" si="12"/>
        <v>56</v>
      </c>
      <c r="AA629" s="534" t="s">
        <v>1196</v>
      </c>
      <c r="AB629" s="516" t="s">
        <v>3717</v>
      </c>
      <c r="AC629" s="516" t="s">
        <v>802</v>
      </c>
      <c r="AD629" s="516" t="s">
        <v>794</v>
      </c>
      <c r="AE629" s="534" t="s">
        <v>713</v>
      </c>
      <c r="AF629" s="534" t="s">
        <v>1163</v>
      </c>
      <c r="AG629" s="534" t="s">
        <v>1164</v>
      </c>
      <c r="AH629" s="516" t="s">
        <v>872</v>
      </c>
      <c r="AI629" s="516"/>
      <c r="AJ629" s="516"/>
      <c r="AK629" s="516"/>
      <c r="AL629" s="544"/>
      <c r="AM629" s="544"/>
    </row>
    <row r="630" spans="3:39" ht="18" customHeight="1">
      <c r="C630" s="516">
        <v>609</v>
      </c>
      <c r="D630" s="516" t="s">
        <v>3716</v>
      </c>
      <c r="E630" s="516">
        <f t="shared" si="11"/>
        <v>577</v>
      </c>
      <c r="F630" s="534" t="s">
        <v>981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/>
      <c r="R630" s="516" t="s">
        <v>62</v>
      </c>
      <c r="S630" s="516" t="s">
        <v>548</v>
      </c>
      <c r="T630" s="516"/>
      <c r="U630" s="516" t="s">
        <v>874</v>
      </c>
      <c r="V630" s="538" t="s">
        <v>597</v>
      </c>
      <c r="W630" s="541" t="s">
        <v>3718</v>
      </c>
      <c r="X630" s="516" t="s">
        <v>876</v>
      </c>
      <c r="Y630" s="542">
        <v>27337</v>
      </c>
      <c r="Z630" s="543">
        <f t="shared" ca="1" si="12"/>
        <v>51</v>
      </c>
      <c r="AA630" s="534" t="s">
        <v>3719</v>
      </c>
      <c r="AB630" s="516" t="s">
        <v>3720</v>
      </c>
      <c r="AC630" s="516" t="s">
        <v>842</v>
      </c>
      <c r="AD630" s="516" t="s">
        <v>851</v>
      </c>
      <c r="AE630" s="534" t="s">
        <v>815</v>
      </c>
      <c r="AF630" s="606" t="s">
        <v>815</v>
      </c>
      <c r="AG630" s="534" t="s">
        <v>1352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610</v>
      </c>
      <c r="D631" s="516" t="s">
        <v>3721</v>
      </c>
      <c r="E631" s="516">
        <f t="shared" si="11"/>
        <v>578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/>
      <c r="R631" s="516"/>
      <c r="S631" s="516"/>
      <c r="T631" s="516"/>
      <c r="U631" s="516" t="s">
        <v>874</v>
      </c>
      <c r="V631" s="538" t="s">
        <v>616</v>
      </c>
      <c r="W631" s="541" t="s">
        <v>3722</v>
      </c>
      <c r="X631" s="516" t="s">
        <v>876</v>
      </c>
      <c r="Y631" s="542">
        <v>26046</v>
      </c>
      <c r="Z631" s="543">
        <f t="shared" ca="1" si="12"/>
        <v>54</v>
      </c>
      <c r="AA631" s="534" t="s">
        <v>3723</v>
      </c>
      <c r="AB631" s="571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3724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611</v>
      </c>
      <c r="D632" s="516" t="s">
        <v>3725</v>
      </c>
      <c r="E632" s="516">
        <f t="shared" si="11"/>
        <v>579</v>
      </c>
      <c r="F632" s="534" t="s">
        <v>981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/>
      <c r="R632" s="516"/>
      <c r="S632" s="516"/>
      <c r="T632" s="516"/>
      <c r="U632" s="516" t="s">
        <v>874</v>
      </c>
      <c r="V632" s="538" t="s">
        <v>634</v>
      </c>
      <c r="W632" s="541" t="s">
        <v>3726</v>
      </c>
      <c r="X632" s="516" t="s">
        <v>876</v>
      </c>
      <c r="Y632" s="542">
        <v>26397</v>
      </c>
      <c r="Z632" s="543">
        <f t="shared" ca="1" si="12"/>
        <v>53</v>
      </c>
      <c r="AA632" s="534" t="s">
        <v>3727</v>
      </c>
      <c r="AB632" s="516" t="s">
        <v>3728</v>
      </c>
      <c r="AC632" s="516" t="s">
        <v>842</v>
      </c>
      <c r="AD632" s="516" t="s">
        <v>851</v>
      </c>
      <c r="AE632" s="534" t="s">
        <v>713</v>
      </c>
      <c r="AF632" s="606" t="s">
        <v>815</v>
      </c>
      <c r="AG632" s="534" t="s">
        <v>3729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612</v>
      </c>
      <c r="D633" s="516" t="s">
        <v>3730</v>
      </c>
      <c r="E633" s="516">
        <f t="shared" si="11"/>
        <v>580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/>
      <c r="R633" s="516"/>
      <c r="S633" s="516"/>
      <c r="T633" s="516"/>
      <c r="U633" s="516" t="s">
        <v>874</v>
      </c>
      <c r="V633" s="538" t="s">
        <v>653</v>
      </c>
      <c r="W633" s="541" t="s">
        <v>3731</v>
      </c>
      <c r="X633" s="516" t="s">
        <v>876</v>
      </c>
      <c r="Y633" s="542">
        <v>26636</v>
      </c>
      <c r="Z633" s="543">
        <f t="shared" ca="1" si="12"/>
        <v>53</v>
      </c>
      <c r="AA633" s="534" t="s">
        <v>3732</v>
      </c>
      <c r="AB633" s="516" t="s">
        <v>3733</v>
      </c>
      <c r="AC633" s="516" t="s">
        <v>842</v>
      </c>
      <c r="AD633" s="516" t="s">
        <v>843</v>
      </c>
      <c r="AE633" s="534" t="s">
        <v>713</v>
      </c>
      <c r="AF633" s="534" t="s">
        <v>713</v>
      </c>
      <c r="AG633" s="534" t="s">
        <v>3734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3735</v>
      </c>
      <c r="E634" s="516">
        <f t="shared" si="11"/>
        <v>581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/>
      <c r="R634" s="516"/>
      <c r="S634" s="516"/>
      <c r="T634" s="516"/>
      <c r="U634" s="516" t="s">
        <v>874</v>
      </c>
      <c r="V634" s="538" t="s">
        <v>685</v>
      </c>
      <c r="W634" s="541" t="s">
        <v>3736</v>
      </c>
      <c r="X634" s="516" t="s">
        <v>876</v>
      </c>
      <c r="Y634" s="542">
        <v>27745</v>
      </c>
      <c r="Z634" s="543">
        <f t="shared" ca="1" si="12"/>
        <v>50</v>
      </c>
      <c r="AA634" s="534" t="s">
        <v>3737</v>
      </c>
      <c r="AB634" s="516" t="s">
        <v>3738</v>
      </c>
      <c r="AC634" s="516" t="s">
        <v>842</v>
      </c>
      <c r="AD634" s="516" t="s">
        <v>843</v>
      </c>
      <c r="AE634" s="534" t="s">
        <v>2208</v>
      </c>
      <c r="AF634" s="534" t="s">
        <v>2208</v>
      </c>
      <c r="AG634" s="534" t="s">
        <v>3739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614</v>
      </c>
      <c r="D635" s="516" t="s">
        <v>3740</v>
      </c>
      <c r="E635" s="516">
        <f t="shared" si="11"/>
        <v>582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/>
      <c r="R635" s="516"/>
      <c r="S635" s="516"/>
      <c r="T635" s="516"/>
      <c r="U635" s="516" t="s">
        <v>874</v>
      </c>
      <c r="V635" s="538" t="s">
        <v>694</v>
      </c>
      <c r="W635" s="541" t="s">
        <v>3741</v>
      </c>
      <c r="X635" s="516" t="s">
        <v>876</v>
      </c>
      <c r="Y635" s="542">
        <v>28463</v>
      </c>
      <c r="Z635" s="543">
        <f t="shared" ca="1" si="12"/>
        <v>48</v>
      </c>
      <c r="AA635" s="534" t="s">
        <v>3742</v>
      </c>
      <c r="AB635" s="516" t="s">
        <v>3743</v>
      </c>
      <c r="AC635" s="516" t="s">
        <v>842</v>
      </c>
      <c r="AD635" s="516" t="s">
        <v>851</v>
      </c>
      <c r="AE635" s="534" t="s">
        <v>713</v>
      </c>
      <c r="AF635" s="566" t="s">
        <v>713</v>
      </c>
      <c r="AG635" s="534" t="s">
        <v>3744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615</v>
      </c>
      <c r="D636" s="516" t="s">
        <v>3745</v>
      </c>
      <c r="E636" s="516">
        <f t="shared" si="11"/>
        <v>583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/>
      <c r="R636" s="516"/>
      <c r="S636" s="516"/>
      <c r="T636" s="516"/>
      <c r="U636" s="516" t="s">
        <v>874</v>
      </c>
      <c r="V636" s="538" t="s">
        <v>3746</v>
      </c>
      <c r="W636" s="541" t="s">
        <v>3747</v>
      </c>
      <c r="X636" s="516" t="s">
        <v>876</v>
      </c>
      <c r="Y636" s="542">
        <v>29857</v>
      </c>
      <c r="Z636" s="543">
        <f t="shared" ca="1" si="12"/>
        <v>44</v>
      </c>
      <c r="AA636" s="534" t="s">
        <v>3748</v>
      </c>
      <c r="AB636" s="516" t="s">
        <v>3749</v>
      </c>
      <c r="AC636" s="516" t="s">
        <v>842</v>
      </c>
      <c r="AD636" s="516" t="s">
        <v>851</v>
      </c>
      <c r="AE636" s="534" t="s">
        <v>236</v>
      </c>
      <c r="AF636" s="566" t="s">
        <v>713</v>
      </c>
      <c r="AG636" s="534" t="s">
        <v>1597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616</v>
      </c>
      <c r="D637" s="516" t="s">
        <v>3750</v>
      </c>
      <c r="E637" s="516">
        <f t="shared" si="11"/>
        <v>584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/>
      <c r="R637" s="516"/>
      <c r="S637" s="516"/>
      <c r="T637" s="516"/>
      <c r="U637" s="516" t="s">
        <v>874</v>
      </c>
      <c r="V637" s="538" t="s">
        <v>3751</v>
      </c>
      <c r="W637" s="541" t="s">
        <v>3752</v>
      </c>
      <c r="X637" s="516" t="s">
        <v>876</v>
      </c>
      <c r="Y637" s="542">
        <v>30123</v>
      </c>
      <c r="Z637" s="543">
        <f t="shared" ca="1" si="12"/>
        <v>43</v>
      </c>
      <c r="AA637" s="534" t="s">
        <v>3753</v>
      </c>
      <c r="AB637" s="516" t="s">
        <v>3754</v>
      </c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617</v>
      </c>
      <c r="D638" s="516" t="s">
        <v>3755</v>
      </c>
      <c r="E638" s="516">
        <f t="shared" si="11"/>
        <v>585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59" t="s">
        <v>978</v>
      </c>
      <c r="Q638" s="539"/>
      <c r="R638" s="516"/>
      <c r="S638" s="516"/>
      <c r="T638" s="516"/>
      <c r="U638" s="516" t="s">
        <v>874</v>
      </c>
      <c r="V638" s="559" t="s">
        <v>3756</v>
      </c>
      <c r="W638" s="541" t="s">
        <v>3757</v>
      </c>
      <c r="X638" s="516" t="s">
        <v>876</v>
      </c>
      <c r="Y638" s="542">
        <v>30594</v>
      </c>
      <c r="Z638" s="543">
        <f t="shared" ca="1" si="12"/>
        <v>42</v>
      </c>
      <c r="AA638" s="534" t="s">
        <v>3758</v>
      </c>
      <c r="AB638" s="516" t="s">
        <v>3759</v>
      </c>
      <c r="AC638" s="516" t="s">
        <v>842</v>
      </c>
      <c r="AD638" s="516" t="s">
        <v>851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618</v>
      </c>
      <c r="D639" s="516" t="s">
        <v>3760</v>
      </c>
      <c r="E639" s="516">
        <f t="shared" si="11"/>
        <v>586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3760</v>
      </c>
      <c r="L639" s="535" t="s">
        <v>3761</v>
      </c>
      <c r="M639" s="536"/>
      <c r="N639" s="537"/>
      <c r="O639" s="537"/>
      <c r="P639" s="548" t="s">
        <v>1011</v>
      </c>
      <c r="Q639" s="539"/>
      <c r="R639" s="516" t="s">
        <v>49</v>
      </c>
      <c r="S639" s="516" t="s">
        <v>168</v>
      </c>
      <c r="T639" s="516"/>
      <c r="U639" s="516" t="s">
        <v>874</v>
      </c>
      <c r="V639" s="548" t="s">
        <v>590</v>
      </c>
      <c r="W639" s="541" t="s">
        <v>3762</v>
      </c>
      <c r="X639" s="516" t="s">
        <v>876</v>
      </c>
      <c r="Y639" s="542">
        <v>21524</v>
      </c>
      <c r="Z639" s="543">
        <f t="shared" ca="1" si="12"/>
        <v>67</v>
      </c>
      <c r="AA639" s="534" t="s">
        <v>3763</v>
      </c>
      <c r="AB639" s="516" t="s">
        <v>3764</v>
      </c>
      <c r="AC639" s="516" t="s">
        <v>802</v>
      </c>
      <c r="AD639" s="516" t="s">
        <v>794</v>
      </c>
      <c r="AE639" s="534" t="s">
        <v>713</v>
      </c>
      <c r="AF639" s="566" t="s">
        <v>713</v>
      </c>
      <c r="AG639" s="534" t="s">
        <v>3765</v>
      </c>
      <c r="AH639" s="516"/>
      <c r="AI639" s="516"/>
      <c r="AJ639" s="516" t="s">
        <v>867</v>
      </c>
      <c r="AK639" s="516"/>
      <c r="AL639" s="544"/>
      <c r="AM639" s="544"/>
    </row>
    <row r="640" spans="3:39" ht="18" customHeight="1">
      <c r="C640" s="516">
        <v>619</v>
      </c>
      <c r="D640" s="516" t="s">
        <v>3761</v>
      </c>
      <c r="E640" s="516">
        <f t="shared" si="11"/>
        <v>587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38" t="s">
        <v>1011</v>
      </c>
      <c r="Q640" s="539"/>
      <c r="R640" s="516" t="s">
        <v>62</v>
      </c>
      <c r="S640" s="516" t="s">
        <v>548</v>
      </c>
      <c r="T640" s="516"/>
      <c r="U640" s="516" t="s">
        <v>874</v>
      </c>
      <c r="V640" s="538" t="s">
        <v>617</v>
      </c>
      <c r="W640" s="541" t="s">
        <v>3766</v>
      </c>
      <c r="X640" s="516" t="s">
        <v>876</v>
      </c>
      <c r="Y640" s="542">
        <v>25485</v>
      </c>
      <c r="Z640" s="543">
        <f t="shared" ca="1" si="12"/>
        <v>56</v>
      </c>
      <c r="AA640" s="534" t="s">
        <v>3767</v>
      </c>
      <c r="AB640" s="516" t="s">
        <v>3768</v>
      </c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1427</v>
      </c>
      <c r="AH640" s="516"/>
      <c r="AI640" s="516"/>
      <c r="AJ640" s="516" t="s">
        <v>971</v>
      </c>
      <c r="AK640" s="516"/>
      <c r="AL640" s="544"/>
      <c r="AM640" s="544"/>
    </row>
    <row r="641" spans="3:39" ht="18" customHeight="1">
      <c r="C641" s="516">
        <v>620</v>
      </c>
      <c r="D641" s="516" t="s">
        <v>3769</v>
      </c>
      <c r="E641" s="516">
        <f t="shared" si="11"/>
        <v>588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/>
      <c r="R641" s="516"/>
      <c r="S641" s="516"/>
      <c r="T641" s="516"/>
      <c r="U641" s="516" t="s">
        <v>874</v>
      </c>
      <c r="V641" s="538" t="s">
        <v>598</v>
      </c>
      <c r="W641" s="541" t="s">
        <v>3770</v>
      </c>
      <c r="X641" s="516" t="s">
        <v>876</v>
      </c>
      <c r="Y641" s="542">
        <v>21286</v>
      </c>
      <c r="Z641" s="543">
        <f t="shared" ca="1" si="12"/>
        <v>67</v>
      </c>
      <c r="AA641" s="534" t="s">
        <v>3771</v>
      </c>
      <c r="AB641" s="516" t="s">
        <v>3772</v>
      </c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34" t="s">
        <v>741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621</v>
      </c>
      <c r="D642" s="516" t="s">
        <v>3773</v>
      </c>
      <c r="E642" s="516">
        <f t="shared" si="11"/>
        <v>589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/>
      <c r="R642" s="516"/>
      <c r="S642" s="516"/>
      <c r="T642" s="516"/>
      <c r="U642" s="516" t="s">
        <v>874</v>
      </c>
      <c r="V642" s="540" t="s">
        <v>635</v>
      </c>
      <c r="W642" s="541" t="s">
        <v>3774</v>
      </c>
      <c r="X642" s="516" t="s">
        <v>876</v>
      </c>
      <c r="Y642" s="542">
        <v>26525</v>
      </c>
      <c r="Z642" s="543">
        <f t="shared" ca="1" si="12"/>
        <v>53</v>
      </c>
      <c r="AA642" s="534" t="s">
        <v>3775</v>
      </c>
      <c r="AB642" s="516" t="s">
        <v>3776</v>
      </c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34" t="s">
        <v>3777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622</v>
      </c>
      <c r="D643" s="516" t="s">
        <v>3778</v>
      </c>
      <c r="E643" s="516">
        <f t="shared" si="11"/>
        <v>590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654</v>
      </c>
      <c r="W643" s="541" t="s">
        <v>3779</v>
      </c>
      <c r="X643" s="516" t="s">
        <v>876</v>
      </c>
      <c r="Y643" s="542">
        <v>21228</v>
      </c>
      <c r="Z643" s="543">
        <f t="shared" ca="1" si="12"/>
        <v>67</v>
      </c>
      <c r="AA643" s="534" t="s">
        <v>3780</v>
      </c>
      <c r="AB643" s="516" t="s">
        <v>3781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3782</v>
      </c>
      <c r="AH643" s="516"/>
      <c r="AI643" s="516"/>
      <c r="AJ643" s="632" t="s">
        <v>1438</v>
      </c>
      <c r="AK643" s="516"/>
      <c r="AL643" s="544"/>
      <c r="AM643" s="544"/>
    </row>
    <row r="644" spans="3:39" ht="18" customHeight="1">
      <c r="C644" s="516">
        <v>623</v>
      </c>
      <c r="D644" s="516" t="s">
        <v>3783</v>
      </c>
      <c r="E644" s="516">
        <f t="shared" si="11"/>
        <v>591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671</v>
      </c>
      <c r="W644" s="541" t="s">
        <v>3784</v>
      </c>
      <c r="X644" s="516" t="s">
        <v>876</v>
      </c>
      <c r="Y644" s="542">
        <v>23272</v>
      </c>
      <c r="Z644" s="543">
        <f t="shared" ca="1" si="12"/>
        <v>62</v>
      </c>
      <c r="AA644" s="534" t="s">
        <v>3785</v>
      </c>
      <c r="AB644" s="516" t="s">
        <v>3786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3765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624</v>
      </c>
      <c r="D645" s="516" t="s">
        <v>3787</v>
      </c>
      <c r="E645" s="516">
        <f t="shared" si="11"/>
        <v>592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59" t="s">
        <v>686</v>
      </c>
      <c r="W645" s="541" t="s">
        <v>3788</v>
      </c>
      <c r="X645" s="516" t="s">
        <v>876</v>
      </c>
      <c r="Y645" s="542">
        <v>23843</v>
      </c>
      <c r="Z645" s="543">
        <f t="shared" ca="1" si="12"/>
        <v>60</v>
      </c>
      <c r="AA645" s="534" t="s">
        <v>3789</v>
      </c>
      <c r="AB645" s="516" t="s">
        <v>3790</v>
      </c>
      <c r="AC645" s="516" t="s">
        <v>842</v>
      </c>
      <c r="AD645" s="516" t="s">
        <v>843</v>
      </c>
      <c r="AE645" s="534" t="s">
        <v>713</v>
      </c>
      <c r="AF645" s="534" t="s">
        <v>713</v>
      </c>
      <c r="AG645" s="534" t="s">
        <v>3791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625</v>
      </c>
      <c r="D646" s="516" t="s">
        <v>1178</v>
      </c>
      <c r="E646" s="516">
        <f t="shared" si="11"/>
        <v>592</v>
      </c>
      <c r="F646" s="534"/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1178</v>
      </c>
      <c r="L646" s="535" t="s">
        <v>3797</v>
      </c>
      <c r="M646" s="629" t="s">
        <v>3798</v>
      </c>
      <c r="N646" s="537"/>
      <c r="O646" s="537"/>
      <c r="P646" s="548" t="s">
        <v>1041</v>
      </c>
      <c r="Q646" s="539"/>
      <c r="R646" s="516" t="s">
        <v>163</v>
      </c>
      <c r="S646" s="516" t="s">
        <v>500</v>
      </c>
      <c r="T646" s="516"/>
      <c r="U646" s="562"/>
      <c r="V646" s="548" t="s">
        <v>243</v>
      </c>
      <c r="W646" s="560" t="s">
        <v>3799</v>
      </c>
      <c r="X646" s="516" t="s">
        <v>876</v>
      </c>
      <c r="Y646" s="542">
        <v>20283</v>
      </c>
      <c r="Z646" s="543">
        <f t="shared" ca="1" si="12"/>
        <v>70</v>
      </c>
      <c r="AA646" s="534" t="s">
        <v>1180</v>
      </c>
      <c r="AB646" s="516"/>
      <c r="AC646" s="516" t="s">
        <v>802</v>
      </c>
      <c r="AD646" s="516" t="s">
        <v>794</v>
      </c>
      <c r="AE646" s="534" t="s">
        <v>713</v>
      </c>
      <c r="AF646" s="534" t="s">
        <v>1163</v>
      </c>
      <c r="AG646" s="534" t="s">
        <v>1164</v>
      </c>
      <c r="AH646" s="516" t="s">
        <v>872</v>
      </c>
      <c r="AI646" s="516"/>
      <c r="AJ646" s="516"/>
      <c r="AK646" s="516"/>
      <c r="AL646" s="544"/>
      <c r="AM646" s="544"/>
    </row>
    <row r="647" spans="3:39" ht="18" customHeight="1">
      <c r="C647" s="516">
        <v>626</v>
      </c>
      <c r="D647" s="516" t="s">
        <v>3797</v>
      </c>
      <c r="E647" s="516">
        <f t="shared" si="11"/>
        <v>593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38" t="s">
        <v>1041</v>
      </c>
      <c r="Q647" s="539" t="s">
        <v>308</v>
      </c>
      <c r="R647" s="516" t="s">
        <v>62</v>
      </c>
      <c r="S647" s="516" t="s">
        <v>548</v>
      </c>
      <c r="T647" s="516"/>
      <c r="U647" s="562" t="s">
        <v>874</v>
      </c>
      <c r="V647" s="538" t="s">
        <v>599</v>
      </c>
      <c r="W647" s="560" t="s">
        <v>3800</v>
      </c>
      <c r="X647" s="516" t="s">
        <v>876</v>
      </c>
      <c r="Y647" s="542">
        <v>26069</v>
      </c>
      <c r="Z647" s="543">
        <f t="shared" ca="1" si="12"/>
        <v>54</v>
      </c>
      <c r="AA647" s="534" t="s">
        <v>3801</v>
      </c>
      <c r="AB647" s="516" t="s">
        <v>3802</v>
      </c>
      <c r="AC647" s="516" t="s">
        <v>842</v>
      </c>
      <c r="AD647" s="516" t="s">
        <v>851</v>
      </c>
      <c r="AE647" s="534" t="s">
        <v>713</v>
      </c>
      <c r="AF647" s="566" t="s">
        <v>713</v>
      </c>
      <c r="AG647" s="566" t="s">
        <v>1313</v>
      </c>
      <c r="AH647" s="516"/>
      <c r="AI647" s="516"/>
      <c r="AJ647" s="516" t="s">
        <v>1497</v>
      </c>
      <c r="AK647" s="516"/>
      <c r="AL647" s="544"/>
      <c r="AM647" s="544"/>
    </row>
    <row r="648" spans="3:39" ht="18" customHeight="1">
      <c r="C648" s="516">
        <v>627</v>
      </c>
      <c r="D648" s="516" t="s">
        <v>3803</v>
      </c>
      <c r="E648" s="516">
        <f t="shared" si="11"/>
        <v>594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/>
      <c r="S648" s="516"/>
      <c r="T648" s="516"/>
      <c r="U648" s="562" t="s">
        <v>874</v>
      </c>
      <c r="V648" s="538" t="s">
        <v>618</v>
      </c>
      <c r="W648" s="560" t="s">
        <v>3804</v>
      </c>
      <c r="X648" s="516" t="s">
        <v>876</v>
      </c>
      <c r="Y648" s="542">
        <v>21767</v>
      </c>
      <c r="Z648" s="543">
        <f t="shared" ca="1" si="12"/>
        <v>66</v>
      </c>
      <c r="AA648" s="534" t="s">
        <v>3805</v>
      </c>
      <c r="AB648" s="516" t="s">
        <v>3806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34" t="s">
        <v>1229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628</v>
      </c>
      <c r="D649" s="516" t="s">
        <v>3807</v>
      </c>
      <c r="E649" s="516">
        <f t="shared" si="11"/>
        <v>595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636</v>
      </c>
      <c r="W649" s="560" t="s">
        <v>3808</v>
      </c>
      <c r="X649" s="516" t="s">
        <v>876</v>
      </c>
      <c r="Y649" s="542">
        <v>21805</v>
      </c>
      <c r="Z649" s="543">
        <f t="shared" ca="1" si="12"/>
        <v>66</v>
      </c>
      <c r="AA649" s="534" t="s">
        <v>3809</v>
      </c>
      <c r="AB649" s="516" t="s">
        <v>3810</v>
      </c>
      <c r="AC649" s="516" t="s">
        <v>842</v>
      </c>
      <c r="AD649" s="516" t="s">
        <v>843</v>
      </c>
      <c r="AE649" s="534" t="s">
        <v>713</v>
      </c>
      <c r="AF649" s="566" t="s">
        <v>713</v>
      </c>
      <c r="AG649" s="566" t="s">
        <v>1313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629</v>
      </c>
      <c r="D650" s="516" t="s">
        <v>3811</v>
      </c>
      <c r="E650" s="516">
        <f t="shared" si="11"/>
        <v>596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655</v>
      </c>
      <c r="W650" s="560" t="s">
        <v>3812</v>
      </c>
      <c r="X650" s="516" t="s">
        <v>876</v>
      </c>
      <c r="Y650" s="542">
        <v>22122</v>
      </c>
      <c r="Z650" s="543">
        <f t="shared" ca="1" si="12"/>
        <v>65</v>
      </c>
      <c r="AA650" s="534" t="s">
        <v>3813</v>
      </c>
      <c r="AB650" s="516" t="s">
        <v>3814</v>
      </c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1431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630</v>
      </c>
      <c r="D651" s="666" t="s">
        <v>3815</v>
      </c>
      <c r="E651" s="516">
        <f t="shared" si="11"/>
        <v>597</v>
      </c>
      <c r="F651" s="667" t="s">
        <v>811</v>
      </c>
      <c r="G651" s="667" t="s">
        <v>3796</v>
      </c>
      <c r="H651" s="668" t="s">
        <v>1106</v>
      </c>
      <c r="I651" s="668" t="s">
        <v>243</v>
      </c>
      <c r="J651" s="668" t="s">
        <v>1178</v>
      </c>
      <c r="K651" s="668" t="s">
        <v>1178</v>
      </c>
      <c r="L651" s="668" t="s">
        <v>3797</v>
      </c>
      <c r="M651" s="669" t="s">
        <v>3798</v>
      </c>
      <c r="N651" s="670"/>
      <c r="O651" s="670"/>
      <c r="P651" s="671" t="s">
        <v>1041</v>
      </c>
      <c r="Q651" s="672"/>
      <c r="R651" s="666"/>
      <c r="S651" s="666"/>
      <c r="T651" s="666"/>
      <c r="U651" s="673" t="s">
        <v>874</v>
      </c>
      <c r="V651" s="538" t="s">
        <v>672</v>
      </c>
      <c r="W651" s="674" t="s">
        <v>3816</v>
      </c>
      <c r="X651" s="666" t="s">
        <v>876</v>
      </c>
      <c r="Y651" s="675">
        <v>23390</v>
      </c>
      <c r="Z651" s="676">
        <f t="shared" ca="1" si="12"/>
        <v>62</v>
      </c>
      <c r="AA651" s="667" t="s">
        <v>3817</v>
      </c>
      <c r="AB651" s="666" t="s">
        <v>3818</v>
      </c>
      <c r="AC651" s="666" t="s">
        <v>842</v>
      </c>
      <c r="AD651" s="666" t="s">
        <v>843</v>
      </c>
      <c r="AE651" s="667" t="s">
        <v>713</v>
      </c>
      <c r="AF651" s="666" t="s">
        <v>713</v>
      </c>
      <c r="AG651" s="667" t="s">
        <v>1361</v>
      </c>
      <c r="AH651" s="666"/>
      <c r="AI651" s="666"/>
      <c r="AJ651" s="666" t="s">
        <v>1497</v>
      </c>
      <c r="AK651" s="666"/>
      <c r="AL651" s="677"/>
      <c r="AM651" s="677"/>
    </row>
    <row r="652" spans="3:39" ht="18" customHeight="1">
      <c r="C652" s="516">
        <v>631</v>
      </c>
      <c r="D652" s="516" t="s">
        <v>3798</v>
      </c>
      <c r="E652" s="516">
        <f t="shared" si="11"/>
        <v>598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1178</v>
      </c>
      <c r="L652" s="535" t="s">
        <v>3797</v>
      </c>
      <c r="M652" s="629" t="s">
        <v>3798</v>
      </c>
      <c r="N652" s="537"/>
      <c r="O652" s="537"/>
      <c r="P652" s="538" t="s">
        <v>1041</v>
      </c>
      <c r="Q652" s="539" t="s">
        <v>308</v>
      </c>
      <c r="R652" s="516" t="s">
        <v>62</v>
      </c>
      <c r="S652" s="516" t="s">
        <v>548</v>
      </c>
      <c r="T652" s="516"/>
      <c r="U652" s="562" t="s">
        <v>874</v>
      </c>
      <c r="V652" s="538" t="s">
        <v>687</v>
      </c>
      <c r="W652" s="560" t="s">
        <v>3819</v>
      </c>
      <c r="X652" s="516" t="s">
        <v>876</v>
      </c>
      <c r="Y652" s="542">
        <v>26671</v>
      </c>
      <c r="Z652" s="543">
        <f t="shared" ca="1" si="12"/>
        <v>53</v>
      </c>
      <c r="AA652" s="534" t="s">
        <v>3820</v>
      </c>
      <c r="AB652" s="516" t="s">
        <v>3821</v>
      </c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66" t="s">
        <v>1313</v>
      </c>
      <c r="AH652" s="516"/>
      <c r="AI652" s="516"/>
      <c r="AJ652" s="516" t="s">
        <v>1497</v>
      </c>
      <c r="AK652" s="516"/>
      <c r="AL652" s="544"/>
      <c r="AM652" s="544"/>
    </row>
    <row r="653" spans="3:39" ht="18" customHeight="1">
      <c r="C653" s="516">
        <v>632</v>
      </c>
      <c r="D653" s="516" t="s">
        <v>3822</v>
      </c>
      <c r="E653" s="516">
        <f t="shared" si="11"/>
        <v>599</v>
      </c>
      <c r="F653" s="534" t="s">
        <v>1310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/>
      <c r="R653" s="516"/>
      <c r="S653" s="516"/>
      <c r="T653" s="516"/>
      <c r="U653" s="562" t="s">
        <v>874</v>
      </c>
      <c r="V653" s="538" t="s">
        <v>3823</v>
      </c>
      <c r="W653" s="560" t="s">
        <v>3824</v>
      </c>
      <c r="X653" s="516" t="s">
        <v>876</v>
      </c>
      <c r="Y653" s="542">
        <v>23348</v>
      </c>
      <c r="Z653" s="543">
        <f t="shared" ca="1" si="12"/>
        <v>62</v>
      </c>
      <c r="AA653" s="534" t="s">
        <v>3825</v>
      </c>
      <c r="AB653" s="516" t="s">
        <v>3826</v>
      </c>
      <c r="AC653" s="516" t="s">
        <v>842</v>
      </c>
      <c r="AD653" s="516" t="s">
        <v>843</v>
      </c>
      <c r="AE653" s="534" t="s">
        <v>713</v>
      </c>
      <c r="AF653" s="534" t="s">
        <v>713</v>
      </c>
      <c r="AG653" s="566" t="s">
        <v>1313</v>
      </c>
      <c r="AH653" s="516"/>
      <c r="AI653" s="516"/>
      <c r="AJ653" s="593" t="s">
        <v>1950</v>
      </c>
      <c r="AK653" s="516"/>
      <c r="AL653" s="544"/>
      <c r="AM653" s="544"/>
    </row>
    <row r="654" spans="3:39" ht="18" customHeight="1">
      <c r="C654" s="516">
        <v>633</v>
      </c>
      <c r="D654" s="516" t="s">
        <v>3827</v>
      </c>
      <c r="E654" s="516">
        <f t="shared" si="11"/>
        <v>600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49" t="s">
        <v>3828</v>
      </c>
      <c r="W654" s="560" t="s">
        <v>3829</v>
      </c>
      <c r="X654" s="516" t="s">
        <v>876</v>
      </c>
      <c r="Y654" s="542">
        <v>25538</v>
      </c>
      <c r="Z654" s="543">
        <f t="shared" ca="1" si="12"/>
        <v>56</v>
      </c>
      <c r="AA654" s="534" t="s">
        <v>3830</v>
      </c>
      <c r="AB654" s="516"/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34" t="s">
        <v>1781</v>
      </c>
      <c r="AH654" s="516" t="s">
        <v>1571</v>
      </c>
      <c r="AI654" s="516" t="s">
        <v>3831</v>
      </c>
      <c r="AJ654" s="516" t="s">
        <v>976</v>
      </c>
      <c r="AK654" s="516"/>
      <c r="AL654" s="544"/>
      <c r="AM654" s="544"/>
    </row>
    <row r="655" spans="3:39" ht="18" customHeight="1">
      <c r="C655" s="516">
        <v>634</v>
      </c>
      <c r="D655" s="516" t="s">
        <v>3832</v>
      </c>
      <c r="E655" s="516">
        <f t="shared" si="11"/>
        <v>601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898</v>
      </c>
      <c r="V655" s="635" t="s">
        <v>701</v>
      </c>
      <c r="W655" s="560" t="s">
        <v>3833</v>
      </c>
      <c r="X655" s="516" t="s">
        <v>876</v>
      </c>
      <c r="Y655" s="542">
        <v>18961</v>
      </c>
      <c r="Z655" s="543">
        <f t="shared" ca="1" si="12"/>
        <v>74</v>
      </c>
      <c r="AA655" s="534" t="s">
        <v>3834</v>
      </c>
      <c r="AB655" s="516" t="s">
        <v>3835</v>
      </c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1177</v>
      </c>
      <c r="AH655" s="516"/>
      <c r="AI655" s="516"/>
      <c r="AJ655" s="632" t="s">
        <v>1438</v>
      </c>
      <c r="AK655" s="516"/>
      <c r="AL655" s="544"/>
      <c r="AM655" s="544"/>
    </row>
    <row r="656" spans="3:39" ht="18" customHeight="1">
      <c r="C656" s="516">
        <v>635</v>
      </c>
      <c r="D656" s="516" t="s">
        <v>3836</v>
      </c>
      <c r="E656" s="516">
        <f t="shared" si="11"/>
        <v>602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874</v>
      </c>
      <c r="V656" s="502" t="s">
        <v>706</v>
      </c>
      <c r="W656" s="560" t="s">
        <v>3837</v>
      </c>
      <c r="X656" s="516" t="s">
        <v>876</v>
      </c>
      <c r="Y656" s="542">
        <v>21527</v>
      </c>
      <c r="Z656" s="543">
        <f t="shared" ca="1" si="12"/>
        <v>67</v>
      </c>
      <c r="AA656" s="534" t="s">
        <v>3838</v>
      </c>
      <c r="AB656" s="516" t="s">
        <v>3839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3734</v>
      </c>
      <c r="AH656" s="516"/>
      <c r="AI656" s="516"/>
      <c r="AJ656" s="575" t="s">
        <v>1438</v>
      </c>
      <c r="AK656" s="516"/>
      <c r="AL656" s="544"/>
      <c r="AM656" s="544"/>
    </row>
    <row r="657" spans="3:39" ht="18" customHeight="1">
      <c r="C657" s="516">
        <v>636</v>
      </c>
      <c r="D657" s="516" t="s">
        <v>3840</v>
      </c>
      <c r="E657" s="516">
        <f t="shared" si="11"/>
        <v>603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3840</v>
      </c>
      <c r="L657" s="662" t="s">
        <v>3841</v>
      </c>
      <c r="M657" s="536"/>
      <c r="N657" s="537"/>
      <c r="O657" s="537"/>
      <c r="P657" s="548" t="s">
        <v>1077</v>
      </c>
      <c r="Q657" s="539"/>
      <c r="R657" s="516" t="s">
        <v>49</v>
      </c>
      <c r="S657" s="516" t="s">
        <v>168</v>
      </c>
      <c r="T657" s="516"/>
      <c r="U657" s="516" t="s">
        <v>874</v>
      </c>
      <c r="V657" s="548" t="s">
        <v>591</v>
      </c>
      <c r="W657" s="541" t="s">
        <v>3842</v>
      </c>
      <c r="X657" s="516" t="s">
        <v>876</v>
      </c>
      <c r="Y657" s="542">
        <v>28783</v>
      </c>
      <c r="Z657" s="543">
        <f t="shared" ca="1" si="12"/>
        <v>47</v>
      </c>
      <c r="AA657" s="534" t="s">
        <v>3843</v>
      </c>
      <c r="AB657" s="614" t="s">
        <v>3844</v>
      </c>
      <c r="AC657" s="516" t="s">
        <v>842</v>
      </c>
      <c r="AD657" s="516" t="s">
        <v>851</v>
      </c>
      <c r="AE657" s="534" t="s">
        <v>713</v>
      </c>
      <c r="AF657" s="534" t="s">
        <v>1400</v>
      </c>
      <c r="AG657" s="534" t="s">
        <v>3845</v>
      </c>
      <c r="AH657" s="516"/>
      <c r="AI657" s="516"/>
      <c r="AJ657" s="516" t="s">
        <v>976</v>
      </c>
      <c r="AK657" s="516"/>
      <c r="AL657" s="544"/>
      <c r="AM657" s="544"/>
    </row>
    <row r="658" spans="3:39" ht="18" customHeight="1">
      <c r="C658" s="516">
        <v>637</v>
      </c>
      <c r="D658" s="516" t="s">
        <v>3850</v>
      </c>
      <c r="E658" s="516">
        <f t="shared" si="11"/>
        <v>604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38" t="s">
        <v>1077</v>
      </c>
      <c r="Q658" s="539"/>
      <c r="R658" s="516"/>
      <c r="S658" s="516"/>
      <c r="T658" s="516"/>
      <c r="U658" s="516" t="s">
        <v>898</v>
      </c>
      <c r="V658" s="538" t="s">
        <v>600</v>
      </c>
      <c r="W658" s="541" t="s">
        <v>3851</v>
      </c>
      <c r="X658" s="516" t="s">
        <v>876</v>
      </c>
      <c r="Y658" s="542">
        <v>19196</v>
      </c>
      <c r="Z658" s="543">
        <f t="shared" ca="1" si="12"/>
        <v>73</v>
      </c>
      <c r="AA658" s="534" t="s">
        <v>3852</v>
      </c>
      <c r="AB658" s="516" t="s">
        <v>3853</v>
      </c>
      <c r="AC658" s="516" t="s">
        <v>842</v>
      </c>
      <c r="AD658" s="516" t="s">
        <v>851</v>
      </c>
      <c r="AE658" s="534" t="s">
        <v>1289</v>
      </c>
      <c r="AF658" s="534" t="s">
        <v>1289</v>
      </c>
      <c r="AG658" s="534" t="s">
        <v>3854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638</v>
      </c>
      <c r="D659" s="516" t="s">
        <v>3841</v>
      </c>
      <c r="E659" s="516">
        <f t="shared" si="11"/>
        <v>605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619</v>
      </c>
      <c r="W659" s="541" t="s">
        <v>3846</v>
      </c>
      <c r="X659" s="516" t="s">
        <v>876</v>
      </c>
      <c r="Y659" s="542">
        <v>22484</v>
      </c>
      <c r="Z659" s="543">
        <f t="shared" ca="1" si="12"/>
        <v>64</v>
      </c>
      <c r="AA659" s="534" t="s">
        <v>3847</v>
      </c>
      <c r="AB659" s="516" t="s">
        <v>3848</v>
      </c>
      <c r="AC659" s="516" t="s">
        <v>842</v>
      </c>
      <c r="AD659" s="516" t="s">
        <v>851</v>
      </c>
      <c r="AE659" s="534" t="s">
        <v>713</v>
      </c>
      <c r="AF659" s="534" t="s">
        <v>1256</v>
      </c>
      <c r="AG659" s="534" t="s">
        <v>3849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639</v>
      </c>
      <c r="D660" s="516" t="s">
        <v>3855</v>
      </c>
      <c r="E660" s="516">
        <f t="shared" si="11"/>
        <v>606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59" t="s">
        <v>1077</v>
      </c>
      <c r="Q660" s="539"/>
      <c r="R660" s="516"/>
      <c r="S660" s="516"/>
      <c r="T660" s="516"/>
      <c r="U660" s="516" t="s">
        <v>874</v>
      </c>
      <c r="V660" s="559" t="s">
        <v>656</v>
      </c>
      <c r="W660" s="541" t="s">
        <v>3856</v>
      </c>
      <c r="X660" s="516" t="s">
        <v>876</v>
      </c>
      <c r="Y660" s="542">
        <v>26250</v>
      </c>
      <c r="Z660" s="543">
        <f t="shared" ca="1" si="12"/>
        <v>54</v>
      </c>
      <c r="AA660" s="534" t="s">
        <v>3857</v>
      </c>
      <c r="AB660" s="571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1718</v>
      </c>
      <c r="AH660" s="516"/>
      <c r="AI660" s="516" t="s">
        <v>3858</v>
      </c>
      <c r="AJ660" s="516" t="s">
        <v>976</v>
      </c>
      <c r="AK660" s="516"/>
      <c r="AL660" s="544"/>
      <c r="AM660" s="544"/>
    </row>
    <row r="661" spans="3:39" ht="18" customHeight="1">
      <c r="C661" s="516">
        <v>640</v>
      </c>
      <c r="D661" s="516" t="s">
        <v>1668</v>
      </c>
      <c r="E661" s="516">
        <f t="shared" si="11"/>
        <v>606</v>
      </c>
      <c r="F661" s="534"/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1668</v>
      </c>
      <c r="L661" s="535" t="s">
        <v>786</v>
      </c>
      <c r="M661" s="536"/>
      <c r="N661" s="537"/>
      <c r="O661" s="537"/>
      <c r="P661" s="548" t="s">
        <v>1755</v>
      </c>
      <c r="Q661" s="539"/>
      <c r="R661" s="516" t="s">
        <v>49</v>
      </c>
      <c r="S661" s="516" t="s">
        <v>168</v>
      </c>
      <c r="T661" s="516"/>
      <c r="U661" s="516"/>
      <c r="V661" s="548" t="s">
        <v>288</v>
      </c>
      <c r="W661" s="541" t="s">
        <v>1669</v>
      </c>
      <c r="X661" s="516" t="s">
        <v>876</v>
      </c>
      <c r="Y661" s="542">
        <v>22549</v>
      </c>
      <c r="Z661" s="543">
        <f t="shared" ca="1" si="12"/>
        <v>64</v>
      </c>
      <c r="AA661" s="594" t="s">
        <v>1670</v>
      </c>
      <c r="AB661" s="516" t="s">
        <v>3860</v>
      </c>
      <c r="AC661" s="516" t="s">
        <v>802</v>
      </c>
      <c r="AD661" s="516" t="s">
        <v>794</v>
      </c>
      <c r="AE661" s="534" t="s">
        <v>713</v>
      </c>
      <c r="AF661" s="534" t="s">
        <v>713</v>
      </c>
      <c r="AG661" s="534" t="s">
        <v>1672</v>
      </c>
      <c r="AH661" s="516" t="s">
        <v>872</v>
      </c>
      <c r="AI661" s="516"/>
      <c r="AJ661" s="516"/>
      <c r="AK661" s="516"/>
      <c r="AL661" s="544"/>
      <c r="AM661" s="544"/>
    </row>
    <row r="662" spans="3:39" ht="18" customHeight="1">
      <c r="C662" s="516">
        <v>641</v>
      </c>
      <c r="D662" s="516" t="s">
        <v>3859</v>
      </c>
      <c r="E662" s="516">
        <f t="shared" si="11"/>
        <v>607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3859</v>
      </c>
      <c r="M662" s="536"/>
      <c r="N662" s="537"/>
      <c r="O662" s="537"/>
      <c r="P662" s="538" t="s">
        <v>1755</v>
      </c>
      <c r="Q662" s="539"/>
      <c r="R662" s="516" t="s">
        <v>62</v>
      </c>
      <c r="S662" s="516" t="s">
        <v>548</v>
      </c>
      <c r="T662" s="516"/>
      <c r="U662" s="516" t="s">
        <v>898</v>
      </c>
      <c r="V662" s="538" t="s">
        <v>601</v>
      </c>
      <c r="W662" s="541" t="s">
        <v>3861</v>
      </c>
      <c r="X662" s="516" t="s">
        <v>876</v>
      </c>
      <c r="Y662" s="542">
        <v>20098</v>
      </c>
      <c r="Z662" s="543">
        <f t="shared" ca="1" si="12"/>
        <v>71</v>
      </c>
      <c r="AA662" s="534" t="s">
        <v>3862</v>
      </c>
      <c r="AB662" s="516" t="s">
        <v>3863</v>
      </c>
      <c r="AC662" s="516" t="s">
        <v>842</v>
      </c>
      <c r="AD662" s="516" t="s">
        <v>851</v>
      </c>
      <c r="AE662" s="534" t="s">
        <v>713</v>
      </c>
      <c r="AF662" s="566" t="s">
        <v>713</v>
      </c>
      <c r="AG662" s="534" t="s">
        <v>3864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642</v>
      </c>
      <c r="D663" s="516" t="s">
        <v>3870</v>
      </c>
      <c r="E663" s="516">
        <f t="shared" si="11"/>
        <v>608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/>
      <c r="N663" s="537"/>
      <c r="O663" s="537"/>
      <c r="P663" s="538" t="s">
        <v>1755</v>
      </c>
      <c r="Q663" s="539"/>
      <c r="R663" s="516"/>
      <c r="S663" s="516"/>
      <c r="T663" s="516"/>
      <c r="U663" s="516" t="s">
        <v>874</v>
      </c>
      <c r="V663" s="538" t="s">
        <v>620</v>
      </c>
      <c r="W663" s="541" t="s">
        <v>3871</v>
      </c>
      <c r="X663" s="516" t="s">
        <v>876</v>
      </c>
      <c r="Y663" s="542">
        <v>27355</v>
      </c>
      <c r="Z663" s="543">
        <f t="shared" ca="1" si="12"/>
        <v>51</v>
      </c>
      <c r="AA663" s="534" t="s">
        <v>3872</v>
      </c>
      <c r="AB663" s="516" t="s">
        <v>3873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3874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643</v>
      </c>
      <c r="D664" s="516" t="s">
        <v>3865</v>
      </c>
      <c r="E664" s="516">
        <f t="shared" si="11"/>
        <v>609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/>
      <c r="N664" s="537"/>
      <c r="O664" s="537"/>
      <c r="P664" s="538" t="s">
        <v>1755</v>
      </c>
      <c r="Q664" s="539"/>
      <c r="R664" s="516"/>
      <c r="S664" s="516"/>
      <c r="T664" s="516"/>
      <c r="U664" s="516" t="s">
        <v>898</v>
      </c>
      <c r="V664" s="538" t="s">
        <v>638</v>
      </c>
      <c r="W664" s="541" t="s">
        <v>3866</v>
      </c>
      <c r="X664" s="516" t="s">
        <v>876</v>
      </c>
      <c r="Y664" s="542">
        <v>15828</v>
      </c>
      <c r="Z664" s="543">
        <f t="shared" ca="1" si="12"/>
        <v>82</v>
      </c>
      <c r="AA664" s="534" t="s">
        <v>3867</v>
      </c>
      <c r="AB664" s="516" t="s">
        <v>3868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3869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644</v>
      </c>
      <c r="D665" s="516" t="s">
        <v>3875</v>
      </c>
      <c r="E665" s="516">
        <f t="shared" si="11"/>
        <v>610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/>
      <c r="N665" s="537"/>
      <c r="O665" s="537"/>
      <c r="P665" s="538" t="s">
        <v>1755</v>
      </c>
      <c r="Q665" s="539"/>
      <c r="R665" s="516"/>
      <c r="S665" s="516"/>
      <c r="T665" s="516"/>
      <c r="U665" s="516" t="s">
        <v>874</v>
      </c>
      <c r="V665" s="538" t="s">
        <v>657</v>
      </c>
      <c r="W665" s="541" t="s">
        <v>3876</v>
      </c>
      <c r="X665" s="516" t="s">
        <v>876</v>
      </c>
      <c r="Y665" s="542">
        <v>21451</v>
      </c>
      <c r="Z665" s="543">
        <f t="shared" ca="1" si="12"/>
        <v>67</v>
      </c>
      <c r="AA665" s="534" t="s">
        <v>3877</v>
      </c>
      <c r="AB665" s="516" t="s">
        <v>3878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3879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645</v>
      </c>
      <c r="D666" s="516" t="s">
        <v>3880</v>
      </c>
      <c r="E666" s="516">
        <f t="shared" si="11"/>
        <v>611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/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673</v>
      </c>
      <c r="W666" s="541" t="s">
        <v>3881</v>
      </c>
      <c r="X666" s="516" t="s">
        <v>876</v>
      </c>
      <c r="Y666" s="542">
        <v>25299</v>
      </c>
      <c r="Z666" s="543">
        <f t="shared" ca="1" si="12"/>
        <v>56</v>
      </c>
      <c r="AA666" s="534" t="s">
        <v>3882</v>
      </c>
      <c r="AB666" s="516" t="s">
        <v>3883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3884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646</v>
      </c>
      <c r="D667" s="516" t="s">
        <v>3885</v>
      </c>
      <c r="E667" s="516">
        <f t="shared" si="11"/>
        <v>612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/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688</v>
      </c>
      <c r="W667" s="541" t="s">
        <v>3886</v>
      </c>
      <c r="X667" s="516" t="s">
        <v>876</v>
      </c>
      <c r="Y667" s="542">
        <v>29981</v>
      </c>
      <c r="Z667" s="543">
        <f t="shared" ca="1" si="12"/>
        <v>43</v>
      </c>
      <c r="AA667" s="534" t="s">
        <v>3887</v>
      </c>
      <c r="AB667" s="516" t="s">
        <v>3888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3889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647</v>
      </c>
      <c r="D668" s="516" t="s">
        <v>3890</v>
      </c>
      <c r="E668" s="516">
        <f t="shared" si="11"/>
        <v>613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/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696</v>
      </c>
      <c r="W668" s="541" t="s">
        <v>3891</v>
      </c>
      <c r="X668" s="516" t="s">
        <v>876</v>
      </c>
      <c r="Y668" s="542">
        <v>30203</v>
      </c>
      <c r="Z668" s="543">
        <f t="shared" ca="1" si="12"/>
        <v>43</v>
      </c>
      <c r="AA668" s="534" t="s">
        <v>3892</v>
      </c>
      <c r="AB668" s="516" t="s">
        <v>3893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3894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648</v>
      </c>
      <c r="D669" s="516" t="s">
        <v>3895</v>
      </c>
      <c r="E669" s="516">
        <f t="shared" si="11"/>
        <v>614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/>
      <c r="N669" s="537"/>
      <c r="O669" s="537"/>
      <c r="P669" s="559" t="s">
        <v>1755</v>
      </c>
      <c r="Q669" s="539"/>
      <c r="R669" s="516"/>
      <c r="S669" s="516"/>
      <c r="T669" s="516"/>
      <c r="U669" s="516" t="s">
        <v>874</v>
      </c>
      <c r="V669" s="559" t="s">
        <v>3896</v>
      </c>
      <c r="W669" s="541" t="s">
        <v>3897</v>
      </c>
      <c r="X669" s="516" t="s">
        <v>876</v>
      </c>
      <c r="Y669" s="542">
        <v>21232</v>
      </c>
      <c r="Z669" s="543">
        <f t="shared" ca="1" si="12"/>
        <v>67</v>
      </c>
      <c r="AA669" s="534" t="s">
        <v>3898</v>
      </c>
      <c r="AB669" s="516" t="s">
        <v>3899</v>
      </c>
      <c r="AC669" s="516" t="s">
        <v>842</v>
      </c>
      <c r="AD669" s="516" t="s">
        <v>843</v>
      </c>
      <c r="AE669" s="534" t="s">
        <v>713</v>
      </c>
      <c r="AF669" s="534" t="s">
        <v>713</v>
      </c>
      <c r="AG669" s="534" t="s">
        <v>3900</v>
      </c>
      <c r="AH669" s="516"/>
      <c r="AI669" s="516" t="s">
        <v>866</v>
      </c>
      <c r="AJ669" s="516" t="s">
        <v>1852</v>
      </c>
      <c r="AK669" s="516"/>
      <c r="AL669" s="544"/>
      <c r="AM669" s="544"/>
    </row>
    <row r="670" spans="3:39" ht="18" customHeight="1">
      <c r="C670" s="516">
        <v>649</v>
      </c>
      <c r="D670" s="516" t="s">
        <v>2384</v>
      </c>
      <c r="E670" s="516">
        <f t="shared" si="11"/>
        <v>614</v>
      </c>
      <c r="F670" s="534"/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2384</v>
      </c>
      <c r="L670" s="535" t="s">
        <v>3901</v>
      </c>
      <c r="M670" s="570" t="s">
        <v>3902</v>
      </c>
      <c r="N670" s="537"/>
      <c r="O670" s="537"/>
      <c r="P670" s="548" t="s">
        <v>3903</v>
      </c>
      <c r="Q670" s="539"/>
      <c r="R670" s="516" t="s">
        <v>49</v>
      </c>
      <c r="S670" s="516" t="s">
        <v>168</v>
      </c>
      <c r="T670" s="516"/>
      <c r="U670" s="516"/>
      <c r="V670" s="548" t="s">
        <v>197</v>
      </c>
      <c r="W670" s="541" t="s">
        <v>2385</v>
      </c>
      <c r="X670" s="516" t="s">
        <v>876</v>
      </c>
      <c r="Y670" s="542">
        <v>28739</v>
      </c>
      <c r="Z670" s="543">
        <f t="shared" ca="1" si="12"/>
        <v>47</v>
      </c>
      <c r="AA670" s="534"/>
      <c r="AB670" s="516"/>
      <c r="AC670" s="516" t="s">
        <v>802</v>
      </c>
      <c r="AD670" s="516" t="s">
        <v>794</v>
      </c>
      <c r="AE670" s="534" t="s">
        <v>1735</v>
      </c>
      <c r="AF670" s="534" t="s">
        <v>1735</v>
      </c>
      <c r="AG670" s="534" t="s">
        <v>2388</v>
      </c>
      <c r="AH670" s="516" t="s">
        <v>872</v>
      </c>
      <c r="AI670" s="516"/>
      <c r="AJ670" s="516"/>
      <c r="AK670" s="516"/>
      <c r="AL670" s="544"/>
      <c r="AM670" s="544"/>
    </row>
    <row r="671" spans="3:39" ht="18" customHeight="1">
      <c r="C671" s="516">
        <v>650</v>
      </c>
      <c r="D671" s="516" t="s">
        <v>3901</v>
      </c>
      <c r="E671" s="516">
        <f t="shared" si="11"/>
        <v>615</v>
      </c>
      <c r="F671" s="534" t="s">
        <v>811</v>
      </c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38" t="s">
        <v>3903</v>
      </c>
      <c r="Q671" s="539"/>
      <c r="R671" s="516" t="s">
        <v>62</v>
      </c>
      <c r="S671" s="516" t="s">
        <v>548</v>
      </c>
      <c r="T671" s="516"/>
      <c r="U671" s="516" t="s">
        <v>874</v>
      </c>
      <c r="V671" s="538" t="s">
        <v>602</v>
      </c>
      <c r="W671" s="541" t="s">
        <v>3904</v>
      </c>
      <c r="X671" s="516" t="s">
        <v>876</v>
      </c>
      <c r="Y671" s="542">
        <v>24860</v>
      </c>
      <c r="Z671" s="543">
        <f t="shared" ca="1" si="12"/>
        <v>58</v>
      </c>
      <c r="AA671" s="534" t="s">
        <v>3905</v>
      </c>
      <c r="AB671" s="516" t="s">
        <v>3906</v>
      </c>
      <c r="AC671" s="516" t="s">
        <v>842</v>
      </c>
      <c r="AD671" s="516" t="s">
        <v>851</v>
      </c>
      <c r="AE671" s="534" t="s">
        <v>713</v>
      </c>
      <c r="AF671" s="566" t="s">
        <v>713</v>
      </c>
      <c r="AG671" s="534" t="s">
        <v>3907</v>
      </c>
      <c r="AH671" s="516"/>
      <c r="AI671" s="516"/>
      <c r="AJ671" s="516" t="s">
        <v>1852</v>
      </c>
      <c r="AK671" s="516"/>
      <c r="AL671" s="544"/>
      <c r="AM671" s="544"/>
    </row>
    <row r="672" spans="3:39" ht="18" customHeight="1">
      <c r="C672" s="516">
        <v>651</v>
      </c>
      <c r="D672" s="516" t="s">
        <v>3902</v>
      </c>
      <c r="E672" s="516">
        <f t="shared" si="11"/>
        <v>616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621</v>
      </c>
      <c r="W672" s="541" t="s">
        <v>3908</v>
      </c>
      <c r="X672" s="516" t="s">
        <v>876</v>
      </c>
      <c r="Y672" s="542">
        <v>23911</v>
      </c>
      <c r="Z672" s="543">
        <f t="shared" ca="1" si="12"/>
        <v>60</v>
      </c>
      <c r="AA672" s="534" t="s">
        <v>3909</v>
      </c>
      <c r="AB672" s="516" t="s">
        <v>3910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3911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652</v>
      </c>
      <c r="D673" s="516" t="s">
        <v>3912</v>
      </c>
      <c r="E673" s="516">
        <f t="shared" si="11"/>
        <v>617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/>
      <c r="S673" s="516"/>
      <c r="T673" s="516"/>
      <c r="U673" s="516" t="s">
        <v>874</v>
      </c>
      <c r="V673" s="538" t="s">
        <v>639</v>
      </c>
      <c r="W673" s="541" t="s">
        <v>3913</v>
      </c>
      <c r="X673" s="516" t="s">
        <v>876</v>
      </c>
      <c r="Y673" s="542">
        <v>24181</v>
      </c>
      <c r="Z673" s="543">
        <f t="shared" ca="1" si="12"/>
        <v>59</v>
      </c>
      <c r="AA673" s="534" t="s">
        <v>3914</v>
      </c>
      <c r="AB673" s="516" t="s">
        <v>3915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3916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653</v>
      </c>
      <c r="D674" s="516" t="s">
        <v>3917</v>
      </c>
      <c r="E674" s="516">
        <f t="shared" si="11"/>
        <v>618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658</v>
      </c>
      <c r="W674" s="541" t="s">
        <v>3918</v>
      </c>
      <c r="X674" s="516" t="s">
        <v>876</v>
      </c>
      <c r="Y674" s="542">
        <v>29947</v>
      </c>
      <c r="Z674" s="543">
        <f t="shared" ca="1" si="12"/>
        <v>44</v>
      </c>
      <c r="AA674" s="534" t="s">
        <v>3919</v>
      </c>
      <c r="AB674" s="516" t="s">
        <v>3920</v>
      </c>
      <c r="AC674" s="516" t="s">
        <v>842</v>
      </c>
      <c r="AD674" s="516" t="s">
        <v>851</v>
      </c>
      <c r="AE674" s="534" t="s">
        <v>1256</v>
      </c>
      <c r="AF674" s="534" t="s">
        <v>1256</v>
      </c>
      <c r="AG674" s="534" t="s">
        <v>3921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654</v>
      </c>
      <c r="D675" s="516" t="s">
        <v>3922</v>
      </c>
      <c r="E675" s="516">
        <f t="shared" si="11"/>
        <v>619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674</v>
      </c>
      <c r="W675" s="541" t="s">
        <v>3923</v>
      </c>
      <c r="X675" s="516" t="s">
        <v>876</v>
      </c>
      <c r="Y675" s="542">
        <v>30310</v>
      </c>
      <c r="Z675" s="543">
        <f t="shared" ca="1" si="12"/>
        <v>43</v>
      </c>
      <c r="AA675" s="534" t="s">
        <v>3924</v>
      </c>
      <c r="AB675" s="516" t="s">
        <v>3925</v>
      </c>
      <c r="AC675" s="516" t="s">
        <v>842</v>
      </c>
      <c r="AD675" s="516" t="s">
        <v>843</v>
      </c>
      <c r="AE675" s="534" t="s">
        <v>713</v>
      </c>
      <c r="AF675" s="566" t="s">
        <v>713</v>
      </c>
      <c r="AG675" s="534" t="s">
        <v>3926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655</v>
      </c>
      <c r="D676" s="516" t="s">
        <v>3927</v>
      </c>
      <c r="E676" s="516">
        <f t="shared" si="11"/>
        <v>620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689</v>
      </c>
      <c r="W676" s="541" t="s">
        <v>3928</v>
      </c>
      <c r="X676" s="516" t="s">
        <v>876</v>
      </c>
      <c r="Y676" s="542">
        <v>32130</v>
      </c>
      <c r="Z676" s="543">
        <f t="shared" ca="1" si="12"/>
        <v>38</v>
      </c>
      <c r="AA676" s="534" t="s">
        <v>3929</v>
      </c>
      <c r="AB676" s="571"/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3930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656</v>
      </c>
      <c r="D677" s="516" t="s">
        <v>3931</v>
      </c>
      <c r="E677" s="516">
        <f t="shared" si="11"/>
        <v>621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 t="s">
        <v>308</v>
      </c>
      <c r="R677" s="516"/>
      <c r="S677" s="516"/>
      <c r="T677" s="516"/>
      <c r="U677" s="516" t="s">
        <v>874</v>
      </c>
      <c r="V677" s="538" t="s">
        <v>3932</v>
      </c>
      <c r="W677" s="541" t="s">
        <v>3933</v>
      </c>
      <c r="X677" s="516" t="s">
        <v>876</v>
      </c>
      <c r="Y677" s="542">
        <v>22724</v>
      </c>
      <c r="Z677" s="543">
        <f t="shared" ca="1" si="12"/>
        <v>63</v>
      </c>
      <c r="AA677" s="534" t="s">
        <v>3934</v>
      </c>
      <c r="AB677" s="516" t="s">
        <v>3935</v>
      </c>
      <c r="AC677" s="516" t="s">
        <v>842</v>
      </c>
      <c r="AD677" s="516" t="s">
        <v>843</v>
      </c>
      <c r="AE677" s="534" t="s">
        <v>713</v>
      </c>
      <c r="AF677" s="534" t="s">
        <v>1436</v>
      </c>
      <c r="AG677" s="534" t="s">
        <v>1437</v>
      </c>
      <c r="AH677" s="516"/>
      <c r="AI677" s="516"/>
      <c r="AJ677" s="565" t="s">
        <v>1087</v>
      </c>
      <c r="AK677" s="516"/>
      <c r="AL677" s="544"/>
      <c r="AM677" s="544"/>
    </row>
    <row r="678" spans="3:39" ht="18" customHeight="1">
      <c r="C678" s="516">
        <v>657</v>
      </c>
      <c r="D678" s="516" t="s">
        <v>3936</v>
      </c>
      <c r="E678" s="516">
        <f t="shared" si="11"/>
        <v>622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3937</v>
      </c>
      <c r="W678" s="541" t="s">
        <v>3938</v>
      </c>
      <c r="X678" s="516" t="s">
        <v>876</v>
      </c>
      <c r="Y678" s="542">
        <v>22873</v>
      </c>
      <c r="Z678" s="543">
        <f t="shared" ca="1" si="12"/>
        <v>63</v>
      </c>
      <c r="AA678" s="534" t="s">
        <v>3939</v>
      </c>
      <c r="AB678" s="516"/>
      <c r="AC678" s="516" t="s">
        <v>842</v>
      </c>
      <c r="AD678" s="516" t="s">
        <v>843</v>
      </c>
      <c r="AE678" s="534" t="s">
        <v>713</v>
      </c>
      <c r="AF678" s="534" t="s">
        <v>713</v>
      </c>
      <c r="AG678" s="534" t="s">
        <v>3940</v>
      </c>
      <c r="AH678" s="516" t="s">
        <v>1571</v>
      </c>
      <c r="AI678" s="516" t="s">
        <v>3941</v>
      </c>
      <c r="AJ678" s="565" t="s">
        <v>1087</v>
      </c>
      <c r="AK678" s="516"/>
      <c r="AL678" s="544"/>
      <c r="AM678" s="544"/>
    </row>
    <row r="679" spans="3:39" ht="18" customHeight="1">
      <c r="C679" s="516">
        <v>658</v>
      </c>
      <c r="D679" s="516" t="s">
        <v>3942</v>
      </c>
      <c r="E679" s="516">
        <f t="shared" si="11"/>
        <v>623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59" t="s">
        <v>3903</v>
      </c>
      <c r="Q679" s="539" t="s">
        <v>308</v>
      </c>
      <c r="R679" s="516"/>
      <c r="S679" s="516"/>
      <c r="T679" s="516"/>
      <c r="U679" s="516" t="s">
        <v>874</v>
      </c>
      <c r="V679" s="559" t="s">
        <v>3943</v>
      </c>
      <c r="W679" s="541" t="s">
        <v>3944</v>
      </c>
      <c r="X679" s="516" t="s">
        <v>876</v>
      </c>
      <c r="Y679" s="542">
        <v>25028</v>
      </c>
      <c r="Z679" s="543">
        <f t="shared" ca="1" si="12"/>
        <v>57</v>
      </c>
      <c r="AA679" s="534" t="s">
        <v>3945</v>
      </c>
      <c r="AB679" s="516" t="s">
        <v>3946</v>
      </c>
      <c r="AC679" s="516" t="s">
        <v>842</v>
      </c>
      <c r="AD679" s="516" t="s">
        <v>843</v>
      </c>
      <c r="AE679" s="534" t="s">
        <v>713</v>
      </c>
      <c r="AF679" s="566" t="s">
        <v>713</v>
      </c>
      <c r="AG679" s="534" t="s">
        <v>3734</v>
      </c>
      <c r="AH679" s="516"/>
      <c r="AI679" s="516"/>
      <c r="AJ679" s="565" t="s">
        <v>1087</v>
      </c>
      <c r="AK679" s="516"/>
      <c r="AL679" s="544"/>
      <c r="AM679" s="544"/>
    </row>
    <row r="680" spans="3:39" ht="18" customHeight="1">
      <c r="C680" s="516">
        <v>659</v>
      </c>
      <c r="D680" s="516" t="s">
        <v>827</v>
      </c>
      <c r="E680" s="516">
        <f t="shared" si="11"/>
        <v>623</v>
      </c>
      <c r="F680" s="534"/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827</v>
      </c>
      <c r="L680" s="535"/>
      <c r="M680" s="536"/>
      <c r="N680" s="537"/>
      <c r="O680" s="537"/>
      <c r="P680" s="548" t="s">
        <v>3947</v>
      </c>
      <c r="Q680" s="539"/>
      <c r="R680" s="516" t="s">
        <v>49</v>
      </c>
      <c r="S680" s="516" t="s">
        <v>168</v>
      </c>
      <c r="T680" s="516"/>
      <c r="U680" s="516"/>
      <c r="V680" s="548" t="s">
        <v>71</v>
      </c>
      <c r="W680" s="541" t="s">
        <v>833</v>
      </c>
      <c r="X680" s="516" t="s">
        <v>790</v>
      </c>
      <c r="Y680" s="542">
        <v>33031</v>
      </c>
      <c r="Z680" s="543">
        <f t="shared" ca="1" si="12"/>
        <v>35</v>
      </c>
      <c r="AA680" s="534" t="s">
        <v>834</v>
      </c>
      <c r="AB680" s="516" t="s">
        <v>3948</v>
      </c>
      <c r="AC680" s="516" t="s">
        <v>802</v>
      </c>
      <c r="AD680" s="516" t="s">
        <v>794</v>
      </c>
      <c r="AE680" s="534"/>
      <c r="AF680" s="534"/>
      <c r="AG680" s="534"/>
      <c r="AH680" s="516" t="s">
        <v>872</v>
      </c>
      <c r="AI680" s="516"/>
      <c r="AJ680" s="516"/>
      <c r="AK680" s="516"/>
      <c r="AL680" s="544"/>
      <c r="AM680" s="544"/>
    </row>
    <row r="681" spans="3:39" ht="18" customHeight="1">
      <c r="C681" s="516">
        <v>660</v>
      </c>
      <c r="D681" s="516" t="s">
        <v>3949</v>
      </c>
      <c r="E681" s="516">
        <f t="shared" si="11"/>
        <v>624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 t="s">
        <v>786</v>
      </c>
      <c r="M681" s="536"/>
      <c r="N681" s="537"/>
      <c r="O681" s="537"/>
      <c r="P681" s="538" t="s">
        <v>3947</v>
      </c>
      <c r="Q681" s="539" t="s">
        <v>308</v>
      </c>
      <c r="R681" s="516"/>
      <c r="S681" s="516"/>
      <c r="T681" s="516"/>
      <c r="U681" s="516" t="s">
        <v>788</v>
      </c>
      <c r="V681" s="538" t="s">
        <v>3950</v>
      </c>
      <c r="W681" s="541" t="s">
        <v>3951</v>
      </c>
      <c r="X681" s="516" t="s">
        <v>790</v>
      </c>
      <c r="Y681" s="542">
        <v>34371</v>
      </c>
      <c r="Z681" s="543">
        <f t="shared" ca="1" si="12"/>
        <v>31</v>
      </c>
      <c r="AA681" s="534" t="s">
        <v>3952</v>
      </c>
      <c r="AB681" s="516" t="s">
        <v>3953</v>
      </c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3954</v>
      </c>
      <c r="AH681" s="516"/>
      <c r="AI681" s="516"/>
      <c r="AJ681" s="516" t="s">
        <v>971</v>
      </c>
      <c r="AK681" s="516"/>
      <c r="AL681" s="544"/>
      <c r="AM681" s="544"/>
    </row>
    <row r="682" spans="3:39" ht="18" customHeight="1">
      <c r="C682" s="516">
        <v>661</v>
      </c>
      <c r="D682" s="516" t="s">
        <v>3955</v>
      </c>
      <c r="E682" s="516">
        <f t="shared" si="11"/>
        <v>625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59" t="s">
        <v>3947</v>
      </c>
      <c r="Q682" s="539" t="s">
        <v>308</v>
      </c>
      <c r="R682" s="516"/>
      <c r="S682" s="516"/>
      <c r="T682" s="516"/>
      <c r="U682" s="516" t="s">
        <v>799</v>
      </c>
      <c r="V682" s="559" t="s">
        <v>3956</v>
      </c>
      <c r="W682" s="541" t="s">
        <v>3957</v>
      </c>
      <c r="X682" s="516" t="s">
        <v>790</v>
      </c>
      <c r="Y682" s="542">
        <v>30717</v>
      </c>
      <c r="Z682" s="543">
        <f t="shared" ca="1" si="12"/>
        <v>41</v>
      </c>
      <c r="AA682" s="534" t="s">
        <v>3958</v>
      </c>
      <c r="AB682" s="516"/>
      <c r="AC682" s="516" t="s">
        <v>842</v>
      </c>
      <c r="AD682" s="516" t="s">
        <v>843</v>
      </c>
      <c r="AE682" s="534" t="s">
        <v>815</v>
      </c>
      <c r="AF682" s="534" t="s">
        <v>815</v>
      </c>
      <c r="AG682" s="534" t="s">
        <v>1282</v>
      </c>
      <c r="AH682" s="516" t="s">
        <v>1571</v>
      </c>
      <c r="AI682" s="516" t="s">
        <v>3959</v>
      </c>
      <c r="AJ682" s="516" t="s">
        <v>971</v>
      </c>
      <c r="AK682" s="516"/>
      <c r="AL682" s="544"/>
      <c r="AM682" s="544"/>
    </row>
    <row r="683" spans="3:39" ht="18" customHeight="1">
      <c r="C683" s="516">
        <v>662</v>
      </c>
      <c r="D683" s="516" t="s">
        <v>785</v>
      </c>
      <c r="E683" s="516">
        <f t="shared" si="11"/>
        <v>625</v>
      </c>
      <c r="F683" s="534"/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785</v>
      </c>
      <c r="L683" s="535" t="s">
        <v>3960</v>
      </c>
      <c r="M683" s="536" t="s">
        <v>3961</v>
      </c>
      <c r="N683" s="537"/>
      <c r="O683" s="537"/>
      <c r="P683" s="548" t="s">
        <v>3962</v>
      </c>
      <c r="Q683" s="539"/>
      <c r="R683" s="516" t="s">
        <v>163</v>
      </c>
      <c r="S683" s="516" t="s">
        <v>163</v>
      </c>
      <c r="T683" s="516" t="s">
        <v>168</v>
      </c>
      <c r="U683" s="516"/>
      <c r="V683" s="548" t="s">
        <v>57</v>
      </c>
      <c r="W683" s="541" t="s">
        <v>3963</v>
      </c>
      <c r="X683" s="516" t="s">
        <v>790</v>
      </c>
      <c r="Y683" s="542">
        <v>32431</v>
      </c>
      <c r="Z683" s="543">
        <f t="shared" ca="1" si="12"/>
        <v>37</v>
      </c>
      <c r="AA683" s="534" t="s">
        <v>800</v>
      </c>
      <c r="AB683" s="516" t="s">
        <v>3964</v>
      </c>
      <c r="AC683" s="516" t="s">
        <v>802</v>
      </c>
      <c r="AD683" s="516" t="s">
        <v>794</v>
      </c>
      <c r="AE683" s="534" t="s">
        <v>803</v>
      </c>
      <c r="AF683" s="534" t="s">
        <v>795</v>
      </c>
      <c r="AG683" s="534" t="s">
        <v>796</v>
      </c>
      <c r="AH683" s="516" t="s">
        <v>872</v>
      </c>
      <c r="AI683" s="516"/>
      <c r="AJ683" s="516"/>
      <c r="AK683" s="516"/>
      <c r="AL683" s="544"/>
      <c r="AM683" s="544"/>
    </row>
    <row r="684" spans="3:39" ht="18" customHeight="1">
      <c r="C684" s="516">
        <v>663</v>
      </c>
      <c r="D684" s="516" t="s">
        <v>3960</v>
      </c>
      <c r="E684" s="516">
        <f t="shared" si="11"/>
        <v>626</v>
      </c>
      <c r="F684" s="534" t="s">
        <v>1001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785</v>
      </c>
      <c r="L684" s="535" t="s">
        <v>3960</v>
      </c>
      <c r="M684" s="536" t="s">
        <v>3961</v>
      </c>
      <c r="N684" s="537"/>
      <c r="O684" s="537"/>
      <c r="P684" s="538" t="s">
        <v>3962</v>
      </c>
      <c r="Q684" s="539" t="s">
        <v>308</v>
      </c>
      <c r="R684" s="516" t="s">
        <v>62</v>
      </c>
      <c r="S684" s="516" t="s">
        <v>548</v>
      </c>
      <c r="T684" s="516"/>
      <c r="U684" s="516" t="s">
        <v>799</v>
      </c>
      <c r="V684" s="538" t="s">
        <v>604</v>
      </c>
      <c r="W684" s="541" t="s">
        <v>3965</v>
      </c>
      <c r="X684" s="516" t="s">
        <v>790</v>
      </c>
      <c r="Y684" s="542">
        <v>22474</v>
      </c>
      <c r="Z684" s="543">
        <f t="shared" ca="1" si="12"/>
        <v>64</v>
      </c>
      <c r="AA684" s="534" t="s">
        <v>3966</v>
      </c>
      <c r="AB684" s="516" t="s">
        <v>3967</v>
      </c>
      <c r="AC684" s="516" t="s">
        <v>842</v>
      </c>
      <c r="AD684" s="516" t="s">
        <v>843</v>
      </c>
      <c r="AE684" s="534" t="s">
        <v>236</v>
      </c>
      <c r="AF684" s="534" t="s">
        <v>236</v>
      </c>
      <c r="AG684" s="574" t="s">
        <v>3968</v>
      </c>
      <c r="AH684" s="516"/>
      <c r="AI684" s="516"/>
      <c r="AJ684" s="516" t="s">
        <v>976</v>
      </c>
      <c r="AK684" s="516"/>
      <c r="AL684" s="544"/>
      <c r="AM684" s="544"/>
    </row>
    <row r="685" spans="3:39" ht="18" customHeight="1">
      <c r="C685" s="516">
        <v>664</v>
      </c>
      <c r="D685" s="516" t="s">
        <v>3961</v>
      </c>
      <c r="E685" s="516">
        <f t="shared" si="11"/>
        <v>627</v>
      </c>
      <c r="F685" s="534" t="s">
        <v>1001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38" t="s">
        <v>3962</v>
      </c>
      <c r="Q685" s="539" t="s">
        <v>308</v>
      </c>
      <c r="R685" s="516" t="s">
        <v>62</v>
      </c>
      <c r="S685" s="516" t="s">
        <v>548</v>
      </c>
      <c r="T685" s="516"/>
      <c r="U685" s="516" t="s">
        <v>874</v>
      </c>
      <c r="V685" s="538" t="s">
        <v>623</v>
      </c>
      <c r="W685" s="541" t="s">
        <v>3969</v>
      </c>
      <c r="X685" s="516" t="s">
        <v>876</v>
      </c>
      <c r="Y685" s="542">
        <v>26681</v>
      </c>
      <c r="Z685" s="543">
        <f t="shared" ca="1" si="12"/>
        <v>53</v>
      </c>
      <c r="AA685" s="534" t="s">
        <v>3970</v>
      </c>
      <c r="AB685" s="516" t="s">
        <v>3971</v>
      </c>
      <c r="AC685" s="516" t="s">
        <v>842</v>
      </c>
      <c r="AD685" s="516" t="s">
        <v>851</v>
      </c>
      <c r="AE685" s="534" t="s">
        <v>236</v>
      </c>
      <c r="AF685" s="534" t="s">
        <v>236</v>
      </c>
      <c r="AG685" s="574" t="s">
        <v>3968</v>
      </c>
      <c r="AH685" s="516"/>
      <c r="AI685" s="516"/>
      <c r="AJ685" s="516" t="s">
        <v>976</v>
      </c>
      <c r="AK685" s="516"/>
      <c r="AL685" s="544"/>
      <c r="AM685" s="544"/>
    </row>
    <row r="686" spans="3:39" ht="18" customHeight="1">
      <c r="C686" s="516">
        <v>665</v>
      </c>
      <c r="D686" s="516" t="s">
        <v>3972</v>
      </c>
      <c r="E686" s="516">
        <f t="shared" si="11"/>
        <v>628</v>
      </c>
      <c r="F686" s="534" t="s">
        <v>1001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/>
      <c r="S686" s="516"/>
      <c r="T686" s="516"/>
      <c r="U686" s="516" t="s">
        <v>799</v>
      </c>
      <c r="V686" s="538" t="s">
        <v>3973</v>
      </c>
      <c r="W686" s="541" t="s">
        <v>3974</v>
      </c>
      <c r="X686" s="516" t="s">
        <v>790</v>
      </c>
      <c r="Y686" s="542">
        <v>26062</v>
      </c>
      <c r="Z686" s="543">
        <f t="shared" ca="1" si="12"/>
        <v>54</v>
      </c>
      <c r="AA686" s="534" t="s">
        <v>3975</v>
      </c>
      <c r="AB686" s="516" t="s">
        <v>3976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34" t="s">
        <v>3977</v>
      </c>
      <c r="AH686" s="516"/>
      <c r="AI686" s="516"/>
      <c r="AJ686" s="516" t="s">
        <v>971</v>
      </c>
      <c r="AK686" s="516"/>
      <c r="AL686" s="544"/>
      <c r="AM686" s="544"/>
    </row>
    <row r="687" spans="3:39" ht="18" customHeight="1">
      <c r="C687" s="516">
        <v>666</v>
      </c>
      <c r="D687" s="516" t="s">
        <v>3978</v>
      </c>
      <c r="E687" s="516">
        <f t="shared" si="11"/>
        <v>629</v>
      </c>
      <c r="F687" s="534" t="s">
        <v>1822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/>
      <c r="S687" s="516"/>
      <c r="T687" s="516"/>
      <c r="U687" s="516" t="s">
        <v>799</v>
      </c>
      <c r="V687" s="538" t="s">
        <v>659</v>
      </c>
      <c r="W687" s="541" t="s">
        <v>3979</v>
      </c>
      <c r="X687" s="516" t="s">
        <v>790</v>
      </c>
      <c r="Y687" s="542">
        <v>24209</v>
      </c>
      <c r="Z687" s="543">
        <f t="shared" ca="1" si="12"/>
        <v>59</v>
      </c>
      <c r="AA687" s="534" t="s">
        <v>3980</v>
      </c>
      <c r="AB687" s="516" t="s">
        <v>3981</v>
      </c>
      <c r="AC687" s="516" t="s">
        <v>842</v>
      </c>
      <c r="AD687" s="516" t="s">
        <v>843</v>
      </c>
      <c r="AE687" s="534" t="s">
        <v>809</v>
      </c>
      <c r="AF687" s="534" t="s">
        <v>809</v>
      </c>
      <c r="AG687" s="534" t="s">
        <v>2218</v>
      </c>
      <c r="AH687" s="516"/>
      <c r="AI687" s="516"/>
      <c r="AJ687" s="516" t="s">
        <v>976</v>
      </c>
      <c r="AK687" s="516" t="s">
        <v>1863</v>
      </c>
      <c r="AL687" s="544"/>
      <c r="AM687" s="544"/>
    </row>
    <row r="688" spans="3:39" ht="18" customHeight="1">
      <c r="C688" s="516">
        <v>667</v>
      </c>
      <c r="D688" s="516" t="s">
        <v>3982</v>
      </c>
      <c r="E688" s="516">
        <f t="shared" si="11"/>
        <v>630</v>
      </c>
      <c r="F688" s="534" t="s">
        <v>1822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675</v>
      </c>
      <c r="W688" s="541" t="s">
        <v>3983</v>
      </c>
      <c r="X688" s="516" t="s">
        <v>790</v>
      </c>
      <c r="Y688" s="542">
        <v>26119</v>
      </c>
      <c r="Z688" s="543">
        <f t="shared" ca="1" si="12"/>
        <v>54</v>
      </c>
      <c r="AA688" s="534"/>
      <c r="AB688" s="516" t="s">
        <v>3984</v>
      </c>
      <c r="AC688" s="516" t="s">
        <v>842</v>
      </c>
      <c r="AD688" s="516" t="s">
        <v>843</v>
      </c>
      <c r="AE688" s="534" t="s">
        <v>809</v>
      </c>
      <c r="AF688" s="534" t="s">
        <v>809</v>
      </c>
      <c r="AG688" s="534" t="s">
        <v>2218</v>
      </c>
      <c r="AH688" s="516"/>
      <c r="AI688" s="516"/>
      <c r="AJ688" s="516" t="s">
        <v>976</v>
      </c>
      <c r="AK688" s="516" t="s">
        <v>1863</v>
      </c>
      <c r="AL688" s="544"/>
      <c r="AM688" s="544"/>
    </row>
    <row r="689" spans="3:39" ht="18" customHeight="1">
      <c r="C689" s="516">
        <v>668</v>
      </c>
      <c r="D689" s="516" t="s">
        <v>3985</v>
      </c>
      <c r="E689" s="516">
        <f t="shared" si="11"/>
        <v>631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874</v>
      </c>
      <c r="V689" s="549" t="s">
        <v>3986</v>
      </c>
      <c r="W689" s="541" t="s">
        <v>3987</v>
      </c>
      <c r="X689" s="516" t="s">
        <v>876</v>
      </c>
      <c r="Y689" s="542">
        <v>22399</v>
      </c>
      <c r="Z689" s="543">
        <f t="shared" ca="1" si="12"/>
        <v>64</v>
      </c>
      <c r="AA689" s="534" t="s">
        <v>3988</v>
      </c>
      <c r="AB689" s="571"/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 t="s">
        <v>3989</v>
      </c>
      <c r="AJ689" s="516" t="s">
        <v>976</v>
      </c>
      <c r="AK689" s="516" t="s">
        <v>860</v>
      </c>
      <c r="AL689" s="544" t="s">
        <v>1083</v>
      </c>
      <c r="AM689" s="544"/>
    </row>
    <row r="690" spans="3:39" ht="18" customHeight="1">
      <c r="C690" s="516">
        <v>669</v>
      </c>
      <c r="D690" s="516" t="s">
        <v>3990</v>
      </c>
      <c r="E690" s="516">
        <f t="shared" si="11"/>
        <v>632</v>
      </c>
      <c r="F690" s="534" t="s">
        <v>811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61" t="s">
        <v>698</v>
      </c>
      <c r="W690" s="541" t="s">
        <v>3991</v>
      </c>
      <c r="X690" s="516" t="s">
        <v>790</v>
      </c>
      <c r="Y690" s="542">
        <v>26765</v>
      </c>
      <c r="Z690" s="543">
        <f t="shared" ca="1" si="12"/>
        <v>52</v>
      </c>
      <c r="AA690" s="534" t="s">
        <v>3992</v>
      </c>
      <c r="AB690" s="516" t="s">
        <v>3993</v>
      </c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3994</v>
      </c>
      <c r="AH690" s="516"/>
      <c r="AI690" s="516"/>
      <c r="AJ690" s="631" t="s">
        <v>1438</v>
      </c>
      <c r="AK690" s="516"/>
      <c r="AL690" s="544"/>
      <c r="AM690" s="544"/>
    </row>
    <row r="691" spans="3:39" ht="18" customHeight="1">
      <c r="C691" s="516">
        <v>670</v>
      </c>
      <c r="D691" s="516" t="s">
        <v>1159</v>
      </c>
      <c r="E691" s="516">
        <f t="shared" si="11"/>
        <v>632</v>
      </c>
      <c r="F691" s="534"/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1159</v>
      </c>
      <c r="L691" s="535" t="s">
        <v>786</v>
      </c>
      <c r="M691" s="536"/>
      <c r="N691" s="537"/>
      <c r="O691" s="537"/>
      <c r="P691" s="548" t="s">
        <v>3995</v>
      </c>
      <c r="Q691" s="539"/>
      <c r="R691" s="516" t="s">
        <v>49</v>
      </c>
      <c r="S691" s="516" t="s">
        <v>168</v>
      </c>
      <c r="T691" s="516"/>
      <c r="U691" s="516"/>
      <c r="V691" s="548" t="s">
        <v>181</v>
      </c>
      <c r="W691" s="541" t="s">
        <v>1165</v>
      </c>
      <c r="X691" s="516" t="s">
        <v>790</v>
      </c>
      <c r="Y691" s="542">
        <v>19232</v>
      </c>
      <c r="Z691" s="543">
        <f t="shared" ca="1" si="12"/>
        <v>73</v>
      </c>
      <c r="AA691" s="534" t="s">
        <v>1166</v>
      </c>
      <c r="AB691" s="516" t="s">
        <v>3996</v>
      </c>
      <c r="AC691" s="516" t="s">
        <v>802</v>
      </c>
      <c r="AD691" s="516" t="s">
        <v>794</v>
      </c>
      <c r="AE691" s="534" t="s">
        <v>713</v>
      </c>
      <c r="AF691" s="534" t="s">
        <v>1163</v>
      </c>
      <c r="AG691" s="534" t="s">
        <v>1164</v>
      </c>
      <c r="AH691" s="516" t="s">
        <v>872</v>
      </c>
      <c r="AI691" s="516"/>
      <c r="AJ691" s="516"/>
      <c r="AK691" s="516"/>
      <c r="AL691" s="544"/>
      <c r="AM691" s="544"/>
    </row>
    <row r="692" spans="3:39" ht="18" customHeight="1">
      <c r="C692" s="516">
        <v>671</v>
      </c>
      <c r="D692" s="516" t="s">
        <v>3997</v>
      </c>
      <c r="E692" s="516">
        <f t="shared" si="11"/>
        <v>633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1159</v>
      </c>
      <c r="L692" s="535" t="s">
        <v>786</v>
      </c>
      <c r="M692" s="536"/>
      <c r="N692" s="537"/>
      <c r="O692" s="537"/>
      <c r="P692" s="538" t="s">
        <v>3995</v>
      </c>
      <c r="Q692" s="539" t="s">
        <v>308</v>
      </c>
      <c r="R692" s="516"/>
      <c r="S692" s="516"/>
      <c r="T692" s="516"/>
      <c r="U692" s="516" t="s">
        <v>799</v>
      </c>
      <c r="V692" s="538" t="s">
        <v>605</v>
      </c>
      <c r="W692" s="541" t="s">
        <v>3998</v>
      </c>
      <c r="X692" s="516" t="s">
        <v>790</v>
      </c>
      <c r="Y692" s="542">
        <v>22720</v>
      </c>
      <c r="Z692" s="543">
        <f t="shared" ca="1" si="12"/>
        <v>63</v>
      </c>
      <c r="AA692" s="534" t="s">
        <v>3999</v>
      </c>
      <c r="AB692" s="516" t="s">
        <v>4000</v>
      </c>
      <c r="AC692" s="516" t="s">
        <v>842</v>
      </c>
      <c r="AD692" s="516" t="s">
        <v>851</v>
      </c>
      <c r="AE692" s="534" t="s">
        <v>713</v>
      </c>
      <c r="AF692" s="566" t="s">
        <v>713</v>
      </c>
      <c r="AG692" s="534" t="s">
        <v>4001</v>
      </c>
      <c r="AH692" s="516"/>
      <c r="AI692" s="516"/>
      <c r="AJ692" s="516" t="s">
        <v>1852</v>
      </c>
      <c r="AK692" s="516"/>
      <c r="AL692" s="544"/>
      <c r="AM692" s="544"/>
    </row>
    <row r="693" spans="3:39" ht="18" customHeight="1">
      <c r="C693" s="516">
        <v>672</v>
      </c>
      <c r="D693" s="516" t="s">
        <v>4002</v>
      </c>
      <c r="E693" s="516">
        <f t="shared" si="11"/>
        <v>634</v>
      </c>
      <c r="F693" s="534" t="s">
        <v>811</v>
      </c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38" t="s">
        <v>3995</v>
      </c>
      <c r="Q693" s="539" t="s">
        <v>308</v>
      </c>
      <c r="R693" s="516"/>
      <c r="S693" s="516"/>
      <c r="T693" s="516"/>
      <c r="U693" s="516" t="s">
        <v>799</v>
      </c>
      <c r="V693" s="538" t="s">
        <v>641</v>
      </c>
      <c r="W693" s="541" t="s">
        <v>4003</v>
      </c>
      <c r="X693" s="516" t="s">
        <v>790</v>
      </c>
      <c r="Y693" s="542">
        <v>35402</v>
      </c>
      <c r="Z693" s="543">
        <f t="shared" ca="1" si="12"/>
        <v>29</v>
      </c>
      <c r="AA693" s="534" t="s">
        <v>4004</v>
      </c>
      <c r="AB693" s="636"/>
      <c r="AC693" s="516" t="s">
        <v>842</v>
      </c>
      <c r="AD693" s="516" t="s">
        <v>851</v>
      </c>
      <c r="AE693" s="534" t="s">
        <v>713</v>
      </c>
      <c r="AF693" s="566" t="s">
        <v>713</v>
      </c>
      <c r="AG693" s="534" t="s">
        <v>4005</v>
      </c>
      <c r="AH693" s="516"/>
      <c r="AI693" s="516"/>
      <c r="AJ693" s="516" t="s">
        <v>1852</v>
      </c>
      <c r="AK693" s="516"/>
      <c r="AL693" s="544"/>
      <c r="AM693" s="544"/>
    </row>
    <row r="694" spans="3:39" ht="18" customHeight="1">
      <c r="C694" s="516">
        <v>673</v>
      </c>
      <c r="D694" s="516" t="s">
        <v>4006</v>
      </c>
      <c r="E694" s="516">
        <f t="shared" si="11"/>
        <v>635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660</v>
      </c>
      <c r="W694" s="541" t="s">
        <v>4007</v>
      </c>
      <c r="X694" s="516" t="s">
        <v>790</v>
      </c>
      <c r="Y694" s="542">
        <v>35555</v>
      </c>
      <c r="Z694" s="543">
        <f t="shared" ca="1" si="12"/>
        <v>28</v>
      </c>
      <c r="AA694" s="534" t="s">
        <v>4008</v>
      </c>
      <c r="AB694" s="516" t="s">
        <v>4009</v>
      </c>
      <c r="AC694" s="516" t="s">
        <v>842</v>
      </c>
      <c r="AD694" s="516" t="s">
        <v>843</v>
      </c>
      <c r="AE694" s="534" t="s">
        <v>713</v>
      </c>
      <c r="AF694" s="566" t="s">
        <v>713</v>
      </c>
      <c r="AG694" s="534" t="s">
        <v>4005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674</v>
      </c>
      <c r="D695" s="516" t="s">
        <v>4010</v>
      </c>
      <c r="E695" s="516">
        <f t="shared" si="11"/>
        <v>636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898</v>
      </c>
      <c r="V695" s="538" t="s">
        <v>691</v>
      </c>
      <c r="W695" s="541" t="s">
        <v>4011</v>
      </c>
      <c r="X695" s="516" t="s">
        <v>790</v>
      </c>
      <c r="Y695" s="542">
        <v>18218</v>
      </c>
      <c r="Z695" s="543">
        <f t="shared" ca="1" si="12"/>
        <v>76</v>
      </c>
      <c r="AA695" s="534" t="s">
        <v>4012</v>
      </c>
      <c r="AB695" s="516" t="s">
        <v>4013</v>
      </c>
      <c r="AC695" s="516" t="s">
        <v>842</v>
      </c>
      <c r="AD695" s="516" t="s">
        <v>843</v>
      </c>
      <c r="AE695" s="534" t="s">
        <v>713</v>
      </c>
      <c r="AF695" s="566" t="s">
        <v>713</v>
      </c>
      <c r="AG695" s="534" t="s">
        <v>1729</v>
      </c>
      <c r="AH695" s="516"/>
      <c r="AI695" s="516"/>
      <c r="AJ695" s="516" t="s">
        <v>971</v>
      </c>
      <c r="AK695" s="516"/>
      <c r="AL695" s="544"/>
      <c r="AM695" s="544"/>
    </row>
    <row r="696" spans="3:39" ht="18" customHeight="1">
      <c r="C696" s="516">
        <v>675</v>
      </c>
      <c r="D696" s="516" t="s">
        <v>4014</v>
      </c>
      <c r="E696" s="516">
        <f t="shared" si="11"/>
        <v>637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4015</v>
      </c>
      <c r="W696" s="541" t="s">
        <v>4016</v>
      </c>
      <c r="X696" s="516" t="s">
        <v>790</v>
      </c>
      <c r="Y696" s="542">
        <v>22220</v>
      </c>
      <c r="Z696" s="543">
        <f t="shared" ca="1" si="12"/>
        <v>65</v>
      </c>
      <c r="AA696" s="534" t="s">
        <v>4017</v>
      </c>
      <c r="AB696" s="516" t="s">
        <v>4018</v>
      </c>
      <c r="AC696" s="516" t="s">
        <v>842</v>
      </c>
      <c r="AD696" s="516" t="s">
        <v>851</v>
      </c>
      <c r="AE696" s="534" t="s">
        <v>713</v>
      </c>
      <c r="AF696" s="534" t="s">
        <v>1735</v>
      </c>
      <c r="AG696" s="534" t="s">
        <v>4019</v>
      </c>
      <c r="AH696" s="516"/>
      <c r="AI696" s="516"/>
      <c r="AJ696" s="516" t="s">
        <v>971</v>
      </c>
      <c r="AK696" s="516"/>
      <c r="AL696" s="544"/>
      <c r="AM696" s="544"/>
    </row>
    <row r="697" spans="3:39" ht="18" customHeight="1">
      <c r="C697" s="516">
        <v>676</v>
      </c>
      <c r="D697" s="516" t="s">
        <v>4020</v>
      </c>
      <c r="E697" s="516">
        <f t="shared" si="11"/>
        <v>638</v>
      </c>
      <c r="F697" s="534" t="s">
        <v>981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4021</v>
      </c>
      <c r="W697" s="541" t="s">
        <v>4022</v>
      </c>
      <c r="X697" s="516" t="s">
        <v>790</v>
      </c>
      <c r="Y697" s="542">
        <v>18796</v>
      </c>
      <c r="Z697" s="543">
        <f t="shared" ca="1" si="12"/>
        <v>74</v>
      </c>
      <c r="AA697" s="534" t="s">
        <v>4023</v>
      </c>
      <c r="AB697" s="516" t="s">
        <v>4024</v>
      </c>
      <c r="AC697" s="516" t="s">
        <v>842</v>
      </c>
      <c r="AD697" s="516" t="s">
        <v>843</v>
      </c>
      <c r="AE697" s="534" t="s">
        <v>815</v>
      </c>
      <c r="AF697" s="534" t="s">
        <v>1735</v>
      </c>
      <c r="AG697" s="534" t="s">
        <v>4025</v>
      </c>
      <c r="AH697" s="516"/>
      <c r="AI697" s="516"/>
      <c r="AJ697" s="516" t="s">
        <v>1497</v>
      </c>
      <c r="AK697" s="516"/>
      <c r="AL697" s="544"/>
      <c r="AM697" s="544"/>
    </row>
    <row r="698" spans="3:39" ht="18" customHeight="1">
      <c r="C698" s="516">
        <v>677</v>
      </c>
      <c r="D698" s="516" t="s">
        <v>4026</v>
      </c>
      <c r="E698" s="516">
        <f t="shared" si="11"/>
        <v>639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4027</v>
      </c>
      <c r="W698" s="541" t="s">
        <v>4028</v>
      </c>
      <c r="X698" s="516" t="s">
        <v>790</v>
      </c>
      <c r="Y698" s="542">
        <v>21313</v>
      </c>
      <c r="Z698" s="543">
        <f t="shared" ca="1" si="12"/>
        <v>67</v>
      </c>
      <c r="AA698" s="534" t="s">
        <v>4029</v>
      </c>
      <c r="AB698" s="516" t="s">
        <v>4030</v>
      </c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1229</v>
      </c>
      <c r="AH698" s="516"/>
      <c r="AI698" s="516"/>
      <c r="AJ698" s="516" t="s">
        <v>1497</v>
      </c>
      <c r="AK698" s="516"/>
      <c r="AL698" s="544"/>
      <c r="AM698" s="544"/>
    </row>
    <row r="699" spans="3:39" ht="18" customHeight="1">
      <c r="C699" s="516">
        <v>678</v>
      </c>
      <c r="D699" s="516" t="s">
        <v>4031</v>
      </c>
      <c r="E699" s="516">
        <f t="shared" si="11"/>
        <v>640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59" t="s">
        <v>3995</v>
      </c>
      <c r="Q699" s="539" t="s">
        <v>308</v>
      </c>
      <c r="R699" s="516"/>
      <c r="S699" s="516"/>
      <c r="T699" s="516"/>
      <c r="U699" s="516" t="s">
        <v>799</v>
      </c>
      <c r="V699" s="559" t="s">
        <v>4032</v>
      </c>
      <c r="W699" s="541" t="s">
        <v>4033</v>
      </c>
      <c r="X699" s="516" t="s">
        <v>790</v>
      </c>
      <c r="Y699" s="542">
        <v>26711</v>
      </c>
      <c r="Z699" s="543">
        <f t="shared" ca="1" si="12"/>
        <v>52</v>
      </c>
      <c r="AA699" s="534" t="s">
        <v>4034</v>
      </c>
      <c r="AB699" s="571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4035</v>
      </c>
      <c r="AH699" s="516"/>
      <c r="AI699" s="516" t="s">
        <v>866</v>
      </c>
      <c r="AJ699" s="516" t="s">
        <v>1852</v>
      </c>
      <c r="AK699" s="516"/>
      <c r="AL699" s="544"/>
      <c r="AM699" s="544"/>
    </row>
    <row r="700" spans="3:39" ht="18" customHeight="1">
      <c r="C700" s="516">
        <v>679</v>
      </c>
      <c r="D700" s="516" t="s">
        <v>1186</v>
      </c>
      <c r="E700" s="516">
        <f t="shared" si="11"/>
        <v>640</v>
      </c>
      <c r="F700" s="534"/>
      <c r="G700" s="534" t="s">
        <v>4036</v>
      </c>
      <c r="H700" s="535" t="s">
        <v>1106</v>
      </c>
      <c r="I700" s="535" t="s">
        <v>80</v>
      </c>
      <c r="J700" s="535" t="s">
        <v>908</v>
      </c>
      <c r="K700" s="535" t="s">
        <v>1186</v>
      </c>
      <c r="L700" s="535"/>
      <c r="M700" s="536"/>
      <c r="N700" s="537"/>
      <c r="O700" s="537"/>
      <c r="P700" s="548" t="s">
        <v>4037</v>
      </c>
      <c r="Q700" s="539"/>
      <c r="R700" s="516" t="s">
        <v>49</v>
      </c>
      <c r="S700" s="516" t="s">
        <v>168</v>
      </c>
      <c r="T700" s="516"/>
      <c r="U700" s="516"/>
      <c r="V700" s="548" t="s">
        <v>275</v>
      </c>
      <c r="W700" s="541" t="s">
        <v>4038</v>
      </c>
      <c r="X700" s="516" t="s">
        <v>876</v>
      </c>
      <c r="Y700" s="542">
        <v>29090</v>
      </c>
      <c r="Z700" s="543">
        <f t="shared" ca="1" si="12"/>
        <v>46</v>
      </c>
      <c r="AA700" s="534" t="s">
        <v>1188</v>
      </c>
      <c r="AB700" s="516" t="s">
        <v>1189</v>
      </c>
      <c r="AC700" s="516" t="s">
        <v>802</v>
      </c>
      <c r="AD700" s="516" t="s">
        <v>794</v>
      </c>
      <c r="AE700" s="534" t="s">
        <v>713</v>
      </c>
      <c r="AF700" s="534" t="s">
        <v>1163</v>
      </c>
      <c r="AG700" s="534" t="s">
        <v>1172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680</v>
      </c>
      <c r="D701" s="516" t="s">
        <v>4039</v>
      </c>
      <c r="E701" s="516">
        <f t="shared" si="11"/>
        <v>641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1118</v>
      </c>
      <c r="K701" s="535" t="s">
        <v>1186</v>
      </c>
      <c r="L701" s="535"/>
      <c r="M701" s="536"/>
      <c r="N701" s="537"/>
      <c r="O701" s="537"/>
      <c r="P701" s="538" t="s">
        <v>4037</v>
      </c>
      <c r="Q701" s="539" t="s">
        <v>308</v>
      </c>
      <c r="R701" s="516"/>
      <c r="S701" s="516"/>
      <c r="T701" s="516"/>
      <c r="U701" s="516" t="s">
        <v>874</v>
      </c>
      <c r="V701" s="538" t="s">
        <v>606</v>
      </c>
      <c r="W701" s="541" t="s">
        <v>4040</v>
      </c>
      <c r="X701" s="516" t="s">
        <v>876</v>
      </c>
      <c r="Y701" s="542">
        <v>24600</v>
      </c>
      <c r="Z701" s="543">
        <f t="shared" ca="1" si="12"/>
        <v>58</v>
      </c>
      <c r="AA701" s="534" t="s">
        <v>4041</v>
      </c>
      <c r="AB701" s="516" t="s">
        <v>4042</v>
      </c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1229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681</v>
      </c>
      <c r="D702" s="516" t="s">
        <v>4043</v>
      </c>
      <c r="E702" s="516">
        <f t="shared" si="11"/>
        <v>642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1186</v>
      </c>
      <c r="L702" s="535"/>
      <c r="M702" s="536"/>
      <c r="N702" s="537"/>
      <c r="O702" s="537"/>
      <c r="P702" s="538" t="s">
        <v>4037</v>
      </c>
      <c r="Q702" s="539" t="s">
        <v>308</v>
      </c>
      <c r="R702" s="516"/>
      <c r="S702" s="516"/>
      <c r="T702" s="516"/>
      <c r="U702" s="516" t="s">
        <v>874</v>
      </c>
      <c r="V702" s="538" t="s">
        <v>625</v>
      </c>
      <c r="W702" s="541" t="s">
        <v>4044</v>
      </c>
      <c r="X702" s="516" t="s">
        <v>876</v>
      </c>
      <c r="Y702" s="542">
        <v>26817</v>
      </c>
      <c r="Z702" s="543">
        <f t="shared" ca="1" si="12"/>
        <v>52</v>
      </c>
      <c r="AA702" s="534" t="s">
        <v>4045</v>
      </c>
      <c r="AB702" s="571"/>
      <c r="AC702" s="516" t="s">
        <v>842</v>
      </c>
      <c r="AD702" s="516" t="s">
        <v>843</v>
      </c>
      <c r="AE702" s="534" t="s">
        <v>713</v>
      </c>
      <c r="AF702" s="534" t="s">
        <v>713</v>
      </c>
      <c r="AG702" s="534" t="s">
        <v>1373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682</v>
      </c>
      <c r="D703" s="516" t="s">
        <v>4046</v>
      </c>
      <c r="E703" s="516">
        <f t="shared" si="11"/>
        <v>643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642</v>
      </c>
      <c r="W703" s="541" t="s">
        <v>4047</v>
      </c>
      <c r="X703" s="516" t="s">
        <v>876</v>
      </c>
      <c r="Y703" s="542">
        <v>27630</v>
      </c>
      <c r="Z703" s="543">
        <f t="shared" ca="1" si="12"/>
        <v>50</v>
      </c>
      <c r="AA703" s="534" t="s">
        <v>4048</v>
      </c>
      <c r="AB703" s="516" t="s">
        <v>4049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4050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683</v>
      </c>
      <c r="D704" s="516" t="s">
        <v>4051</v>
      </c>
      <c r="E704" s="516">
        <f t="shared" si="11"/>
        <v>644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661</v>
      </c>
      <c r="W704" s="541" t="s">
        <v>4052</v>
      </c>
      <c r="X704" s="516" t="s">
        <v>876</v>
      </c>
      <c r="Y704" s="542">
        <v>29536</v>
      </c>
      <c r="Z704" s="543">
        <f t="shared" ca="1" si="12"/>
        <v>45</v>
      </c>
      <c r="AA704" s="534" t="s">
        <v>4053</v>
      </c>
      <c r="AB704" s="516"/>
      <c r="AC704" s="516" t="s">
        <v>842</v>
      </c>
      <c r="AD704" s="516" t="s">
        <v>843</v>
      </c>
      <c r="AE704" s="534" t="s">
        <v>2039</v>
      </c>
      <c r="AF704" s="534" t="s">
        <v>2039</v>
      </c>
      <c r="AG704" s="534" t="s">
        <v>4054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684</v>
      </c>
      <c r="D705" s="516" t="s">
        <v>4055</v>
      </c>
      <c r="E705" s="516">
        <f t="shared" si="11"/>
        <v>645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59" t="s">
        <v>4037</v>
      </c>
      <c r="Q705" s="539" t="s">
        <v>308</v>
      </c>
      <c r="R705" s="516"/>
      <c r="S705" s="516"/>
      <c r="T705" s="516"/>
      <c r="U705" s="516" t="s">
        <v>874</v>
      </c>
      <c r="V705" s="559" t="s">
        <v>677</v>
      </c>
      <c r="W705" s="541" t="s">
        <v>4056</v>
      </c>
      <c r="X705" s="516" t="s">
        <v>876</v>
      </c>
      <c r="Y705" s="542">
        <v>31881</v>
      </c>
      <c r="Z705" s="543">
        <f t="shared" ca="1" si="12"/>
        <v>38</v>
      </c>
      <c r="AA705" s="534" t="s">
        <v>4057</v>
      </c>
      <c r="AB705" s="516" t="s">
        <v>4058</v>
      </c>
      <c r="AC705" s="516" t="s">
        <v>842</v>
      </c>
      <c r="AD705" s="516" t="s">
        <v>843</v>
      </c>
      <c r="AE705" s="534" t="s">
        <v>2039</v>
      </c>
      <c r="AF705" s="534" t="s">
        <v>713</v>
      </c>
      <c r="AG705" s="534" t="s">
        <v>1229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685</v>
      </c>
      <c r="D706" s="516" t="s">
        <v>3760</v>
      </c>
      <c r="E706" s="516">
        <f t="shared" si="11"/>
        <v>645</v>
      </c>
      <c r="F706" s="534"/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3760</v>
      </c>
      <c r="L706" s="535"/>
      <c r="M706" s="536"/>
      <c r="N706" s="537"/>
      <c r="O706" s="537"/>
      <c r="P706" s="548" t="s">
        <v>4059</v>
      </c>
      <c r="Q706" s="539"/>
      <c r="R706" s="516" t="s">
        <v>49</v>
      </c>
      <c r="S706" s="516" t="s">
        <v>168</v>
      </c>
      <c r="T706" s="516"/>
      <c r="U706" s="516"/>
      <c r="V706" s="548" t="s">
        <v>590</v>
      </c>
      <c r="W706" s="541" t="s">
        <v>3762</v>
      </c>
      <c r="X706" s="516" t="s">
        <v>876</v>
      </c>
      <c r="Y706" s="542">
        <v>21524</v>
      </c>
      <c r="Z706" s="543">
        <f t="shared" ca="1" si="12"/>
        <v>67</v>
      </c>
      <c r="AA706" s="534" t="s">
        <v>3763</v>
      </c>
      <c r="AB706" s="516" t="s">
        <v>4060</v>
      </c>
      <c r="AC706" s="516" t="s">
        <v>802</v>
      </c>
      <c r="AD706" s="516" t="s">
        <v>794</v>
      </c>
      <c r="AE706" s="534"/>
      <c r="AF706" s="534"/>
      <c r="AG706" s="534"/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686</v>
      </c>
      <c r="D707" s="516" t="s">
        <v>4061</v>
      </c>
      <c r="E707" s="516">
        <f t="shared" si="11"/>
        <v>646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3760</v>
      </c>
      <c r="L707" s="535"/>
      <c r="M707" s="536"/>
      <c r="N707" s="537"/>
      <c r="O707" s="537"/>
      <c r="P707" s="538" t="s">
        <v>4059</v>
      </c>
      <c r="Q707" s="539" t="s">
        <v>308</v>
      </c>
      <c r="R707" s="516"/>
      <c r="S707" s="516"/>
      <c r="T707" s="516"/>
      <c r="U707" s="516" t="s">
        <v>874</v>
      </c>
      <c r="V707" s="538" t="s">
        <v>607</v>
      </c>
      <c r="W707" s="541" t="s">
        <v>4062</v>
      </c>
      <c r="X707" s="516" t="s">
        <v>876</v>
      </c>
      <c r="Y707" s="542">
        <v>22993</v>
      </c>
      <c r="Z707" s="543">
        <f t="shared" ca="1" si="12"/>
        <v>63</v>
      </c>
      <c r="AA707" s="534" t="s">
        <v>4063</v>
      </c>
      <c r="AB707" s="516" t="s">
        <v>4064</v>
      </c>
      <c r="AC707" s="516" t="s">
        <v>842</v>
      </c>
      <c r="AD707" s="516" t="s">
        <v>843</v>
      </c>
      <c r="AE707" s="534" t="s">
        <v>713</v>
      </c>
      <c r="AF707" s="534" t="s">
        <v>713</v>
      </c>
      <c r="AG707" s="534" t="s">
        <v>1094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687</v>
      </c>
      <c r="D708" s="516" t="s">
        <v>4065</v>
      </c>
      <c r="E708" s="516">
        <f t="shared" si="11"/>
        <v>647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38" t="s">
        <v>4059</v>
      </c>
      <c r="Q708" s="539" t="s">
        <v>308</v>
      </c>
      <c r="R708" s="516"/>
      <c r="S708" s="516"/>
      <c r="T708" s="516"/>
      <c r="U708" s="516" t="s">
        <v>874</v>
      </c>
      <c r="V708" s="538" t="s">
        <v>626</v>
      </c>
      <c r="W708" s="541" t="s">
        <v>4066</v>
      </c>
      <c r="X708" s="516" t="s">
        <v>876</v>
      </c>
      <c r="Y708" s="542">
        <v>24691</v>
      </c>
      <c r="Z708" s="543">
        <f t="shared" ca="1" si="12"/>
        <v>58</v>
      </c>
      <c r="AA708" s="534" t="s">
        <v>4067</v>
      </c>
      <c r="AB708" s="516" t="s">
        <v>4068</v>
      </c>
      <c r="AC708" s="516" t="s">
        <v>842</v>
      </c>
      <c r="AD708" s="516" t="s">
        <v>843</v>
      </c>
      <c r="AE708" s="534" t="s">
        <v>713</v>
      </c>
      <c r="AF708" s="534" t="s">
        <v>713</v>
      </c>
      <c r="AG708" s="534" t="s">
        <v>1894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688</v>
      </c>
      <c r="D709" s="516" t="s">
        <v>4069</v>
      </c>
      <c r="E709" s="516">
        <f t="shared" si="11"/>
        <v>648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643</v>
      </c>
      <c r="W709" s="541" t="s">
        <v>4070</v>
      </c>
      <c r="X709" s="516" t="s">
        <v>876</v>
      </c>
      <c r="Y709" s="542">
        <v>24929</v>
      </c>
      <c r="Z709" s="543">
        <f t="shared" ca="1" si="12"/>
        <v>57</v>
      </c>
      <c r="AA709" s="534" t="s">
        <v>4071</v>
      </c>
      <c r="AB709" s="516" t="s">
        <v>4072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1427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689</v>
      </c>
      <c r="D710" s="516" t="s">
        <v>4073</v>
      </c>
      <c r="E710" s="516">
        <f t="shared" si="11"/>
        <v>649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3760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662</v>
      </c>
      <c r="W710" s="541" t="s">
        <v>4074</v>
      </c>
      <c r="X710" s="516" t="s">
        <v>876</v>
      </c>
      <c r="Y710" s="542">
        <v>26306</v>
      </c>
      <c r="Z710" s="543">
        <f t="shared" ca="1" si="12"/>
        <v>54</v>
      </c>
      <c r="AA710" s="534" t="s">
        <v>4075</v>
      </c>
      <c r="AB710" s="516" t="s">
        <v>4076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4077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690</v>
      </c>
      <c r="D711" s="516" t="s">
        <v>4078</v>
      </c>
      <c r="E711" s="516">
        <f t="shared" si="11"/>
        <v>650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3760</v>
      </c>
      <c r="K711" s="535" t="s">
        <v>3760</v>
      </c>
      <c r="L711" s="535"/>
      <c r="M711" s="536"/>
      <c r="N711" s="537"/>
      <c r="O711" s="537"/>
      <c r="P711" s="559" t="s">
        <v>4059</v>
      </c>
      <c r="Q711" s="539" t="s">
        <v>308</v>
      </c>
      <c r="R711" s="516"/>
      <c r="S711" s="516"/>
      <c r="T711" s="516"/>
      <c r="U711" s="516" t="s">
        <v>874</v>
      </c>
      <c r="V711" s="559" t="s">
        <v>678</v>
      </c>
      <c r="W711" s="541" t="s">
        <v>4079</v>
      </c>
      <c r="X711" s="516" t="s">
        <v>876</v>
      </c>
      <c r="Y711" s="542">
        <v>28381</v>
      </c>
      <c r="Z711" s="543">
        <f t="shared" ca="1" si="12"/>
        <v>48</v>
      </c>
      <c r="AA711" s="534" t="s">
        <v>4080</v>
      </c>
      <c r="AB711" s="516" t="s">
        <v>4081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4082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691</v>
      </c>
      <c r="D712" s="516" t="s">
        <v>2520</v>
      </c>
      <c r="E712" s="516">
        <f t="shared" si="11"/>
        <v>650</v>
      </c>
      <c r="F712" s="534"/>
      <c r="G712" s="534" t="s">
        <v>4036</v>
      </c>
      <c r="H712" s="535" t="s">
        <v>1106</v>
      </c>
      <c r="I712" s="535" t="s">
        <v>80</v>
      </c>
      <c r="J712" s="535" t="s">
        <v>2520</v>
      </c>
      <c r="K712" s="535" t="s">
        <v>2520</v>
      </c>
      <c r="L712" s="535"/>
      <c r="M712" s="536"/>
      <c r="N712" s="537"/>
      <c r="O712" s="537"/>
      <c r="P712" s="548" t="s">
        <v>4083</v>
      </c>
      <c r="Q712" s="539"/>
      <c r="R712" s="516"/>
      <c r="S712" s="516" t="s">
        <v>168</v>
      </c>
      <c r="T712" s="516"/>
      <c r="U712" s="516"/>
      <c r="V712" s="548" t="s">
        <v>180</v>
      </c>
      <c r="W712" s="541" t="s">
        <v>2522</v>
      </c>
      <c r="X712" s="516" t="s">
        <v>876</v>
      </c>
      <c r="Y712" s="542">
        <v>25699</v>
      </c>
      <c r="Z712" s="543">
        <f t="shared" ca="1" si="12"/>
        <v>55</v>
      </c>
      <c r="AA712" s="534" t="s">
        <v>2523</v>
      </c>
      <c r="AB712" s="516"/>
      <c r="AC712" s="516" t="s">
        <v>802</v>
      </c>
      <c r="AD712" s="516" t="s">
        <v>794</v>
      </c>
      <c r="AE712" s="534" t="s">
        <v>815</v>
      </c>
      <c r="AF712" s="534" t="s">
        <v>815</v>
      </c>
      <c r="AG712" s="534" t="s">
        <v>2525</v>
      </c>
      <c r="AH712" s="516" t="s">
        <v>872</v>
      </c>
      <c r="AI712" s="516"/>
      <c r="AJ712" s="516"/>
      <c r="AK712" s="516"/>
      <c r="AL712" s="544"/>
      <c r="AM712" s="544"/>
    </row>
    <row r="713" spans="3:39" ht="18" customHeight="1">
      <c r="C713" s="516">
        <v>692</v>
      </c>
      <c r="D713" s="516" t="s">
        <v>4084</v>
      </c>
      <c r="E713" s="516">
        <f t="shared" si="11"/>
        <v>651</v>
      </c>
      <c r="F713" s="534" t="s">
        <v>981</v>
      </c>
      <c r="G713" s="534" t="s">
        <v>4036</v>
      </c>
      <c r="H713" s="535" t="s">
        <v>1106</v>
      </c>
      <c r="I713" s="535" t="s">
        <v>80</v>
      </c>
      <c r="J713" s="535" t="s">
        <v>2520</v>
      </c>
      <c r="K713" s="535" t="s">
        <v>2520</v>
      </c>
      <c r="L713" s="535"/>
      <c r="M713" s="536"/>
      <c r="N713" s="537"/>
      <c r="O713" s="537"/>
      <c r="P713" s="538" t="s">
        <v>4083</v>
      </c>
      <c r="Q713" s="539" t="s">
        <v>308</v>
      </c>
      <c r="R713" s="516"/>
      <c r="S713" s="516"/>
      <c r="T713" s="516"/>
      <c r="U713" s="516" t="s">
        <v>874</v>
      </c>
      <c r="V713" s="538" t="s">
        <v>4085</v>
      </c>
      <c r="W713" s="541" t="s">
        <v>4086</v>
      </c>
      <c r="X713" s="516" t="s">
        <v>876</v>
      </c>
      <c r="Y713" s="542">
        <v>20919</v>
      </c>
      <c r="Z713" s="543">
        <f t="shared" ca="1" si="12"/>
        <v>68</v>
      </c>
      <c r="AA713" s="534" t="s">
        <v>4087</v>
      </c>
      <c r="AB713" s="516" t="s">
        <v>4088</v>
      </c>
      <c r="AC713" s="516" t="s">
        <v>842</v>
      </c>
      <c r="AD713" s="516" t="s">
        <v>843</v>
      </c>
      <c r="AE713" s="534" t="s">
        <v>815</v>
      </c>
      <c r="AF713" s="534" t="s">
        <v>1400</v>
      </c>
      <c r="AG713" s="534" t="s">
        <v>2888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693</v>
      </c>
      <c r="D714" s="516" t="s">
        <v>4089</v>
      </c>
      <c r="E714" s="516">
        <f t="shared" si="11"/>
        <v>652</v>
      </c>
      <c r="F714" s="534" t="s">
        <v>981</v>
      </c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38" t="s">
        <v>4083</v>
      </c>
      <c r="Q714" s="539" t="s">
        <v>308</v>
      </c>
      <c r="R714" s="516"/>
      <c r="S714" s="516"/>
      <c r="T714" s="516"/>
      <c r="U714" s="516" t="s">
        <v>874</v>
      </c>
      <c r="V714" s="538" t="s">
        <v>627</v>
      </c>
      <c r="W714" s="541" t="s">
        <v>4090</v>
      </c>
      <c r="X714" s="516" t="s">
        <v>876</v>
      </c>
      <c r="Y714" s="542">
        <v>22040</v>
      </c>
      <c r="Z714" s="543">
        <f t="shared" ca="1" si="12"/>
        <v>65</v>
      </c>
      <c r="AA714" s="534" t="s">
        <v>4091</v>
      </c>
      <c r="AB714" s="516" t="s">
        <v>4092</v>
      </c>
      <c r="AC714" s="516" t="s">
        <v>842</v>
      </c>
      <c r="AD714" s="516" t="s">
        <v>843</v>
      </c>
      <c r="AE714" s="534" t="s">
        <v>815</v>
      </c>
      <c r="AF714" s="534" t="s">
        <v>815</v>
      </c>
      <c r="AG714" s="534" t="s">
        <v>4093</v>
      </c>
      <c r="AH714" s="516"/>
      <c r="AI714" s="516"/>
      <c r="AJ714" s="569" t="s">
        <v>1224</v>
      </c>
      <c r="AK714" s="516"/>
      <c r="AL714" s="544"/>
      <c r="AM714" s="544"/>
    </row>
    <row r="715" spans="3:39" ht="18" customHeight="1">
      <c r="C715" s="516">
        <v>694</v>
      </c>
      <c r="D715" s="516" t="s">
        <v>4094</v>
      </c>
      <c r="E715" s="516">
        <f t="shared" si="11"/>
        <v>653</v>
      </c>
      <c r="F715" s="534" t="s">
        <v>981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644</v>
      </c>
      <c r="W715" s="541" t="s">
        <v>4095</v>
      </c>
      <c r="X715" s="516" t="s">
        <v>876</v>
      </c>
      <c r="Y715" s="542">
        <v>26478</v>
      </c>
      <c r="Z715" s="543">
        <f t="shared" ca="1" si="12"/>
        <v>53</v>
      </c>
      <c r="AA715" s="534" t="s">
        <v>4096</v>
      </c>
      <c r="AB715" s="516" t="s">
        <v>4097</v>
      </c>
      <c r="AC715" s="516" t="s">
        <v>842</v>
      </c>
      <c r="AD715" s="516" t="s">
        <v>843</v>
      </c>
      <c r="AE715" s="534" t="s">
        <v>815</v>
      </c>
      <c r="AF715" s="534" t="s">
        <v>815</v>
      </c>
      <c r="AG715" s="534" t="s">
        <v>4093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695</v>
      </c>
      <c r="D716" s="516" t="s">
        <v>4098</v>
      </c>
      <c r="E716" s="516">
        <f t="shared" si="11"/>
        <v>654</v>
      </c>
      <c r="F716" s="534" t="s">
        <v>981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663</v>
      </c>
      <c r="W716" s="541" t="s">
        <v>4099</v>
      </c>
      <c r="X716" s="516" t="s">
        <v>876</v>
      </c>
      <c r="Y716" s="542">
        <v>27186</v>
      </c>
      <c r="Z716" s="543">
        <f t="shared" ca="1" si="12"/>
        <v>51</v>
      </c>
      <c r="AA716" s="534" t="s">
        <v>4100</v>
      </c>
      <c r="AB716" s="516" t="s">
        <v>4101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1352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696</v>
      </c>
      <c r="D717" s="516" t="s">
        <v>4102</v>
      </c>
      <c r="E717" s="516">
        <f t="shared" si="11"/>
        <v>655</v>
      </c>
      <c r="F717" s="534" t="s">
        <v>981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59" t="s">
        <v>4083</v>
      </c>
      <c r="Q717" s="539" t="s">
        <v>308</v>
      </c>
      <c r="R717" s="516"/>
      <c r="S717" s="516"/>
      <c r="T717" s="516"/>
      <c r="U717" s="516" t="s">
        <v>874</v>
      </c>
      <c r="V717" s="559" t="s">
        <v>679</v>
      </c>
      <c r="W717" s="541" t="s">
        <v>4103</v>
      </c>
      <c r="X717" s="516" t="s">
        <v>876</v>
      </c>
      <c r="Y717" s="542">
        <v>28887</v>
      </c>
      <c r="Z717" s="543">
        <f t="shared" ca="1" si="12"/>
        <v>46</v>
      </c>
      <c r="AA717" s="534" t="s">
        <v>4104</v>
      </c>
      <c r="AB717" s="516" t="s">
        <v>4105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2411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697</v>
      </c>
      <c r="D718" s="516" t="s">
        <v>2918</v>
      </c>
      <c r="E718" s="516">
        <f t="shared" si="11"/>
        <v>655</v>
      </c>
      <c r="F718" s="534"/>
      <c r="G718" s="534" t="s">
        <v>4036</v>
      </c>
      <c r="H718" s="535" t="s">
        <v>1106</v>
      </c>
      <c r="I718" s="535" t="s">
        <v>80</v>
      </c>
      <c r="J718" s="535" t="s">
        <v>2918</v>
      </c>
      <c r="K718" s="535" t="s">
        <v>2918</v>
      </c>
      <c r="L718" s="535"/>
      <c r="M718" s="536"/>
      <c r="N718" s="537"/>
      <c r="O718" s="537"/>
      <c r="P718" s="548" t="s">
        <v>4106</v>
      </c>
      <c r="Q718" s="539"/>
      <c r="R718" s="516" t="s">
        <v>163</v>
      </c>
      <c r="S718" s="516" t="s">
        <v>500</v>
      </c>
      <c r="T718" s="516" t="s">
        <v>49</v>
      </c>
      <c r="U718" s="516"/>
      <c r="V718" s="548" t="s">
        <v>498</v>
      </c>
      <c r="W718" s="541" t="s">
        <v>2919</v>
      </c>
      <c r="X718" s="516" t="s">
        <v>876</v>
      </c>
      <c r="Y718" s="542">
        <v>22147</v>
      </c>
      <c r="Z718" s="543">
        <f t="shared" ca="1" si="12"/>
        <v>65</v>
      </c>
      <c r="AA718" s="534" t="s">
        <v>2920</v>
      </c>
      <c r="AB718" s="516" t="s">
        <v>2921</v>
      </c>
      <c r="AC718" s="516" t="s">
        <v>842</v>
      </c>
      <c r="AD718" s="516" t="s">
        <v>794</v>
      </c>
      <c r="AE718" s="534" t="s">
        <v>236</v>
      </c>
      <c r="AF718" s="534" t="s">
        <v>236</v>
      </c>
      <c r="AG718" s="534" t="s">
        <v>865</v>
      </c>
      <c r="AH718" s="516" t="s">
        <v>872</v>
      </c>
      <c r="AI718" s="516"/>
      <c r="AJ718" s="516"/>
      <c r="AK718" s="516"/>
      <c r="AL718" s="544"/>
      <c r="AM718" s="544"/>
    </row>
    <row r="719" spans="3:39" ht="18" customHeight="1">
      <c r="C719" s="516">
        <v>698</v>
      </c>
      <c r="D719" s="516" t="s">
        <v>4107</v>
      </c>
      <c r="E719" s="516">
        <f t="shared" si="11"/>
        <v>656</v>
      </c>
      <c r="F719" s="534" t="s">
        <v>1001</v>
      </c>
      <c r="G719" s="534" t="s">
        <v>4036</v>
      </c>
      <c r="H719" s="535" t="s">
        <v>1106</v>
      </c>
      <c r="I719" s="535" t="s">
        <v>80</v>
      </c>
      <c r="J719" s="535" t="s">
        <v>2918</v>
      </c>
      <c r="K719" s="535" t="s">
        <v>2918</v>
      </c>
      <c r="L719" s="535"/>
      <c r="M719" s="536"/>
      <c r="N719" s="537"/>
      <c r="O719" s="537"/>
      <c r="P719" s="538" t="s">
        <v>4106</v>
      </c>
      <c r="Q719" s="539" t="s">
        <v>308</v>
      </c>
      <c r="R719" s="516"/>
      <c r="S719" s="516"/>
      <c r="T719" s="516"/>
      <c r="U719" s="516" t="s">
        <v>874</v>
      </c>
      <c r="V719" s="538" t="s">
        <v>609</v>
      </c>
      <c r="W719" s="541" t="s">
        <v>4108</v>
      </c>
      <c r="X719" s="516" t="s">
        <v>876</v>
      </c>
      <c r="Y719" s="542">
        <v>20956</v>
      </c>
      <c r="Z719" s="543">
        <f t="shared" ca="1" si="12"/>
        <v>68</v>
      </c>
      <c r="AA719" s="534" t="s">
        <v>4109</v>
      </c>
      <c r="AB719" s="516" t="s">
        <v>4110</v>
      </c>
      <c r="AC719" s="516" t="s">
        <v>842</v>
      </c>
      <c r="AD719" s="516" t="s">
        <v>843</v>
      </c>
      <c r="AE719" s="534" t="s">
        <v>236</v>
      </c>
      <c r="AF719" s="534" t="s">
        <v>236</v>
      </c>
      <c r="AG719" s="534" t="s">
        <v>865</v>
      </c>
      <c r="AH719" s="516"/>
      <c r="AI719" s="516"/>
      <c r="AJ719" s="569" t="s">
        <v>4111</v>
      </c>
      <c r="AK719" s="516"/>
      <c r="AL719" s="544"/>
      <c r="AM719" s="544"/>
    </row>
    <row r="720" spans="3:39" ht="18" customHeight="1">
      <c r="C720" s="516">
        <v>699</v>
      </c>
      <c r="D720" s="516" t="s">
        <v>4112</v>
      </c>
      <c r="E720" s="516">
        <f t="shared" si="11"/>
        <v>657</v>
      </c>
      <c r="F720" s="534" t="s">
        <v>1841</v>
      </c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38" t="s">
        <v>4106</v>
      </c>
      <c r="Q720" s="539" t="s">
        <v>308</v>
      </c>
      <c r="R720" s="516"/>
      <c r="S720" s="516"/>
      <c r="T720" s="516"/>
      <c r="U720" s="516" t="s">
        <v>874</v>
      </c>
      <c r="V720" s="538" t="s">
        <v>628</v>
      </c>
      <c r="W720" s="541" t="s">
        <v>4113</v>
      </c>
      <c r="X720" s="516" t="s">
        <v>876</v>
      </c>
      <c r="Y720" s="542">
        <v>23295</v>
      </c>
      <c r="Z720" s="543">
        <f t="shared" ca="1" si="12"/>
        <v>62</v>
      </c>
      <c r="AA720" s="534" t="s">
        <v>4114</v>
      </c>
      <c r="AB720" s="516" t="s">
        <v>4115</v>
      </c>
      <c r="AC720" s="516" t="s">
        <v>842</v>
      </c>
      <c r="AD720" s="516" t="s">
        <v>843</v>
      </c>
      <c r="AE720" s="534" t="s">
        <v>236</v>
      </c>
      <c r="AF720" s="534" t="s">
        <v>236</v>
      </c>
      <c r="AG720" s="534" t="s">
        <v>1846</v>
      </c>
      <c r="AH720" s="516"/>
      <c r="AI720" s="516"/>
      <c r="AJ720" s="569" t="s">
        <v>1224</v>
      </c>
      <c r="AK720" s="516"/>
      <c r="AL720" s="544"/>
      <c r="AM720" s="544"/>
    </row>
    <row r="721" spans="3:39" ht="18" customHeight="1">
      <c r="C721" s="516">
        <v>700</v>
      </c>
      <c r="D721" s="516" t="s">
        <v>4116</v>
      </c>
      <c r="E721" s="516">
        <f t="shared" si="11"/>
        <v>658</v>
      </c>
      <c r="F721" s="534" t="s">
        <v>1841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645</v>
      </c>
      <c r="W721" s="541" t="s">
        <v>4117</v>
      </c>
      <c r="X721" s="516" t="s">
        <v>876</v>
      </c>
      <c r="Y721" s="542">
        <v>23392</v>
      </c>
      <c r="Z721" s="543">
        <f t="shared" ca="1" si="12"/>
        <v>62</v>
      </c>
      <c r="AA721" s="534" t="s">
        <v>4118</v>
      </c>
      <c r="AB721" s="516" t="s">
        <v>4119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743</v>
      </c>
      <c r="AH721" s="516"/>
      <c r="AI721" s="516"/>
      <c r="AJ721" s="569" t="s">
        <v>1224</v>
      </c>
      <c r="AK721" s="516"/>
      <c r="AL721" s="544"/>
      <c r="AM721" s="544"/>
    </row>
    <row r="722" spans="3:39" ht="18" customHeight="1">
      <c r="C722" s="516">
        <v>701</v>
      </c>
      <c r="D722" s="516" t="s">
        <v>4120</v>
      </c>
      <c r="E722" s="516">
        <f t="shared" si="11"/>
        <v>659</v>
      </c>
      <c r="F722" s="534" t="s">
        <v>1841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664</v>
      </c>
      <c r="W722" s="541" t="s">
        <v>4121</v>
      </c>
      <c r="X722" s="516" t="s">
        <v>876</v>
      </c>
      <c r="Y722" s="542">
        <v>23701</v>
      </c>
      <c r="Z722" s="543">
        <f t="shared" ca="1" si="12"/>
        <v>61</v>
      </c>
      <c r="AA722" s="534" t="s">
        <v>4122</v>
      </c>
      <c r="AB722" s="516" t="s">
        <v>4123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744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702</v>
      </c>
      <c r="D723" s="516" t="s">
        <v>4124</v>
      </c>
      <c r="E723" s="516">
        <f t="shared" si="11"/>
        <v>660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59" t="s">
        <v>4106</v>
      </c>
      <c r="Q723" s="539" t="s">
        <v>308</v>
      </c>
      <c r="R723" s="516"/>
      <c r="S723" s="516"/>
      <c r="T723" s="516"/>
      <c r="U723" s="516" t="s">
        <v>874</v>
      </c>
      <c r="V723" s="540" t="s">
        <v>680</v>
      </c>
      <c r="W723" s="541" t="s">
        <v>4125</v>
      </c>
      <c r="X723" s="516" t="s">
        <v>876</v>
      </c>
      <c r="Y723" s="542">
        <v>24508</v>
      </c>
      <c r="Z723" s="543">
        <f t="shared" ca="1" si="12"/>
        <v>58</v>
      </c>
      <c r="AA723" s="534" t="s">
        <v>4126</v>
      </c>
      <c r="AB723" s="516"/>
      <c r="AC723" s="516" t="s">
        <v>842</v>
      </c>
      <c r="AD723" s="516" t="s">
        <v>843</v>
      </c>
      <c r="AE723" s="534" t="s">
        <v>942</v>
      </c>
      <c r="AF723" s="534" t="s">
        <v>942</v>
      </c>
      <c r="AG723" s="534" t="s">
        <v>4127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703</v>
      </c>
      <c r="D724" s="516" t="s">
        <v>1679</v>
      </c>
      <c r="E724" s="516">
        <f t="shared" si="11"/>
        <v>660</v>
      </c>
      <c r="F724" s="534"/>
      <c r="G724" s="534" t="s">
        <v>4128</v>
      </c>
      <c r="H724" s="535" t="s">
        <v>1106</v>
      </c>
      <c r="I724" s="535" t="s">
        <v>80</v>
      </c>
      <c r="J724" s="535" t="s">
        <v>1106</v>
      </c>
      <c r="K724" s="535" t="s">
        <v>1679</v>
      </c>
      <c r="L724" s="535" t="s">
        <v>786</v>
      </c>
      <c r="M724" s="536"/>
      <c r="N724" s="537"/>
      <c r="O724" s="537"/>
      <c r="P724" s="548" t="s">
        <v>4129</v>
      </c>
      <c r="Q724" s="539"/>
      <c r="R724" s="516" t="s">
        <v>49</v>
      </c>
      <c r="S724" s="516" t="s">
        <v>168</v>
      </c>
      <c r="T724" s="516"/>
      <c r="U724" s="562"/>
      <c r="V724" s="548" t="s">
        <v>278</v>
      </c>
      <c r="W724" s="560" t="s">
        <v>1680</v>
      </c>
      <c r="X724" s="516" t="s">
        <v>876</v>
      </c>
      <c r="Y724" s="542">
        <v>28944</v>
      </c>
      <c r="Z724" s="543">
        <f t="shared" ca="1" si="12"/>
        <v>46</v>
      </c>
      <c r="AA724" s="534" t="s">
        <v>1681</v>
      </c>
      <c r="AB724" s="516" t="s">
        <v>3659</v>
      </c>
      <c r="AC724" s="516" t="s">
        <v>802</v>
      </c>
      <c r="AD724" s="516" t="s">
        <v>794</v>
      </c>
      <c r="AE724" s="534" t="s">
        <v>236</v>
      </c>
      <c r="AF724" s="534" t="s">
        <v>236</v>
      </c>
      <c r="AG724" s="534" t="s">
        <v>1683</v>
      </c>
      <c r="AH724" s="516" t="s">
        <v>872</v>
      </c>
      <c r="AI724" s="516"/>
      <c r="AJ724" s="516"/>
      <c r="AK724" s="516"/>
      <c r="AL724" s="544"/>
      <c r="AM724" s="544"/>
    </row>
    <row r="725" spans="3:39" ht="18" customHeight="1">
      <c r="C725" s="516">
        <v>704</v>
      </c>
      <c r="D725" s="516" t="s">
        <v>4130</v>
      </c>
      <c r="E725" s="516">
        <f t="shared" si="11"/>
        <v>661</v>
      </c>
      <c r="F725" s="534" t="s">
        <v>811</v>
      </c>
      <c r="G725" s="534" t="s">
        <v>4128</v>
      </c>
      <c r="H725" s="535" t="s">
        <v>1106</v>
      </c>
      <c r="I725" s="535" t="s">
        <v>80</v>
      </c>
      <c r="J725" s="535" t="s">
        <v>1106</v>
      </c>
      <c r="K725" s="535" t="s">
        <v>1679</v>
      </c>
      <c r="L725" s="535" t="s">
        <v>786</v>
      </c>
      <c r="M725" s="536"/>
      <c r="N725" s="537"/>
      <c r="O725" s="537"/>
      <c r="P725" s="538" t="s">
        <v>4129</v>
      </c>
      <c r="Q725" s="539" t="s">
        <v>308</v>
      </c>
      <c r="R725" s="516"/>
      <c r="S725" s="516"/>
      <c r="T725" s="516"/>
      <c r="U725" s="562" t="s">
        <v>874</v>
      </c>
      <c r="V725" s="502" t="s">
        <v>610</v>
      </c>
      <c r="W725" s="560" t="s">
        <v>4131</v>
      </c>
      <c r="X725" s="516" t="s">
        <v>876</v>
      </c>
      <c r="Y725" s="542">
        <v>28386</v>
      </c>
      <c r="Z725" s="543">
        <f t="shared" ca="1" si="12"/>
        <v>48</v>
      </c>
      <c r="AA725" s="534" t="s">
        <v>4132</v>
      </c>
      <c r="AB725" s="516" t="s">
        <v>4133</v>
      </c>
      <c r="AC725" s="516" t="s">
        <v>842</v>
      </c>
      <c r="AD725" s="516" t="s">
        <v>843</v>
      </c>
      <c r="AE725" s="534" t="s">
        <v>2480</v>
      </c>
      <c r="AF725" s="534" t="s">
        <v>2480</v>
      </c>
      <c r="AG725" s="534" t="s">
        <v>4134</v>
      </c>
      <c r="AH725" s="516"/>
      <c r="AI725" s="516"/>
      <c r="AJ725" s="575" t="s">
        <v>1438</v>
      </c>
      <c r="AK725" s="516"/>
      <c r="AL725" s="544"/>
      <c r="AM725" s="544"/>
    </row>
    <row r="726" spans="3:39" ht="18" customHeight="1">
      <c r="C726" s="516">
        <v>705</v>
      </c>
      <c r="D726" s="516" t="s">
        <v>4135</v>
      </c>
      <c r="E726" s="516">
        <f t="shared" si="11"/>
        <v>662</v>
      </c>
      <c r="F726" s="534" t="s">
        <v>811</v>
      </c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38" t="s">
        <v>4129</v>
      </c>
      <c r="Q726" s="539" t="s">
        <v>308</v>
      </c>
      <c r="R726" s="516"/>
      <c r="S726" s="516"/>
      <c r="T726" s="516"/>
      <c r="U726" s="562" t="s">
        <v>874</v>
      </c>
      <c r="V726" s="502" t="s">
        <v>629</v>
      </c>
      <c r="W726" s="560" t="s">
        <v>4136</v>
      </c>
      <c r="X726" s="516" t="s">
        <v>876</v>
      </c>
      <c r="Y726" s="542">
        <v>29120</v>
      </c>
      <c r="Z726" s="543">
        <f t="shared" ca="1" si="12"/>
        <v>46</v>
      </c>
      <c r="AA726" s="534" t="s">
        <v>4137</v>
      </c>
      <c r="AB726" s="516" t="s">
        <v>4138</v>
      </c>
      <c r="AC726" s="516" t="s">
        <v>842</v>
      </c>
      <c r="AD726" s="516" t="s">
        <v>843</v>
      </c>
      <c r="AE726" s="534" t="s">
        <v>1256</v>
      </c>
      <c r="AF726" s="534" t="s">
        <v>1256</v>
      </c>
      <c r="AG726" s="534" t="s">
        <v>1338</v>
      </c>
      <c r="AH726" s="516"/>
      <c r="AI726" s="516"/>
      <c r="AJ726" s="575" t="s">
        <v>1438</v>
      </c>
      <c r="AK726" s="516"/>
      <c r="AL726" s="544"/>
      <c r="AM726" s="544"/>
    </row>
    <row r="727" spans="3:39" ht="18" customHeight="1">
      <c r="C727" s="516">
        <v>706</v>
      </c>
      <c r="D727" s="516" t="s">
        <v>4139</v>
      </c>
      <c r="E727" s="516">
        <f t="shared" si="11"/>
        <v>663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646</v>
      </c>
      <c r="W727" s="560" t="s">
        <v>4140</v>
      </c>
      <c r="X727" s="516" t="s">
        <v>876</v>
      </c>
      <c r="Y727" s="542">
        <v>30879</v>
      </c>
      <c r="Z727" s="543">
        <f t="shared" ca="1" si="12"/>
        <v>41</v>
      </c>
      <c r="AA727" s="637" t="s">
        <v>4141</v>
      </c>
      <c r="AB727" s="516" t="s">
        <v>4142</v>
      </c>
      <c r="AC727" s="516" t="s">
        <v>842</v>
      </c>
      <c r="AD727" s="516" t="s">
        <v>843</v>
      </c>
      <c r="AE727" s="534" t="s">
        <v>713</v>
      </c>
      <c r="AF727" s="534" t="s">
        <v>713</v>
      </c>
      <c r="AG727" s="534" t="s">
        <v>1177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707</v>
      </c>
      <c r="D728" s="516" t="s">
        <v>4143</v>
      </c>
      <c r="E728" s="516">
        <f t="shared" si="11"/>
        <v>664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3" t="s">
        <v>665</v>
      </c>
      <c r="W728" s="560" t="s">
        <v>4144</v>
      </c>
      <c r="X728" s="516" t="s">
        <v>876</v>
      </c>
      <c r="Y728" s="542">
        <v>31503</v>
      </c>
      <c r="Z728" s="543">
        <f t="shared" ca="1" si="12"/>
        <v>39</v>
      </c>
      <c r="AA728" s="534" t="s">
        <v>4145</v>
      </c>
      <c r="AB728" s="516" t="s">
        <v>4146</v>
      </c>
      <c r="AC728" s="516" t="s">
        <v>842</v>
      </c>
      <c r="AD728" s="516" t="s">
        <v>843</v>
      </c>
      <c r="AE728" s="534" t="s">
        <v>713</v>
      </c>
      <c r="AF728" s="534" t="s">
        <v>713</v>
      </c>
      <c r="AG728" s="534" t="s">
        <v>4147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708</v>
      </c>
      <c r="D729" s="516" t="s">
        <v>1439</v>
      </c>
      <c r="E729" s="516">
        <f t="shared" si="11"/>
        <v>664</v>
      </c>
      <c r="F729" s="534"/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1439</v>
      </c>
      <c r="L729" s="535" t="s">
        <v>786</v>
      </c>
      <c r="M729" s="536"/>
      <c r="N729" s="537"/>
      <c r="O729" s="537"/>
      <c r="P729" s="548" t="s">
        <v>4157</v>
      </c>
      <c r="Q729" s="539"/>
      <c r="R729" s="516" t="s">
        <v>49</v>
      </c>
      <c r="S729" s="516" t="s">
        <v>168</v>
      </c>
      <c r="T729" s="516"/>
      <c r="U729" s="562"/>
      <c r="V729" s="548" t="s">
        <v>593</v>
      </c>
      <c r="W729" s="560" t="s">
        <v>1441</v>
      </c>
      <c r="X729" s="516" t="s">
        <v>876</v>
      </c>
      <c r="Y729" s="542">
        <v>23479</v>
      </c>
      <c r="Z729" s="543">
        <f t="shared" ca="1" si="12"/>
        <v>61</v>
      </c>
      <c r="AA729" s="534" t="s">
        <v>1442</v>
      </c>
      <c r="AB729" s="516" t="s">
        <v>1443</v>
      </c>
      <c r="AC729" s="516" t="s">
        <v>802</v>
      </c>
      <c r="AD729" s="516" t="s">
        <v>794</v>
      </c>
      <c r="AE729" s="534" t="s">
        <v>713</v>
      </c>
      <c r="AF729" s="534" t="s">
        <v>1163</v>
      </c>
      <c r="AG729" s="534" t="s">
        <v>1444</v>
      </c>
      <c r="AH729" s="516" t="s">
        <v>872</v>
      </c>
      <c r="AI729" s="516"/>
      <c r="AJ729" s="516"/>
      <c r="AK729" s="516"/>
      <c r="AL729" s="544"/>
      <c r="AM729" s="544"/>
    </row>
    <row r="730" spans="3:39" ht="18" customHeight="1">
      <c r="C730" s="516">
        <v>709</v>
      </c>
      <c r="D730" s="516" t="s">
        <v>4158</v>
      </c>
      <c r="E730" s="516">
        <f t="shared" si="11"/>
        <v>665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1439</v>
      </c>
      <c r="L730" s="535" t="s">
        <v>786</v>
      </c>
      <c r="M730" s="536"/>
      <c r="N730" s="537"/>
      <c r="O730" s="537"/>
      <c r="P730" s="538" t="s">
        <v>4157</v>
      </c>
      <c r="Q730" s="539" t="s">
        <v>308</v>
      </c>
      <c r="R730" s="516"/>
      <c r="S730" s="516"/>
      <c r="T730" s="516"/>
      <c r="U730" s="562" t="s">
        <v>874</v>
      </c>
      <c r="V730" s="638" t="s">
        <v>611</v>
      </c>
      <c r="W730" s="560" t="s">
        <v>4159</v>
      </c>
      <c r="X730" s="516" t="s">
        <v>876</v>
      </c>
      <c r="Y730" s="542">
        <v>23563</v>
      </c>
      <c r="Z730" s="543">
        <f t="shared" ca="1" si="12"/>
        <v>61</v>
      </c>
      <c r="AA730" s="534" t="s">
        <v>4160</v>
      </c>
      <c r="AB730" s="516" t="s">
        <v>4161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1313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710</v>
      </c>
      <c r="D731" s="516" t="s">
        <v>4162</v>
      </c>
      <c r="E731" s="516">
        <f t="shared" si="11"/>
        <v>666</v>
      </c>
      <c r="F731" s="534" t="s">
        <v>811</v>
      </c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38" t="s">
        <v>4157</v>
      </c>
      <c r="Q731" s="539" t="s">
        <v>308</v>
      </c>
      <c r="R731" s="516"/>
      <c r="S731" s="516"/>
      <c r="T731" s="516"/>
      <c r="U731" s="562" t="s">
        <v>874</v>
      </c>
      <c r="V731" s="639" t="s">
        <v>630</v>
      </c>
      <c r="W731" s="560" t="s">
        <v>4163</v>
      </c>
      <c r="X731" s="516" t="s">
        <v>876</v>
      </c>
      <c r="Y731" s="542">
        <v>25153</v>
      </c>
      <c r="Z731" s="543">
        <f t="shared" ca="1" si="12"/>
        <v>57</v>
      </c>
      <c r="AA731" s="534" t="s">
        <v>4164</v>
      </c>
      <c r="AB731" s="516" t="s">
        <v>4165</v>
      </c>
      <c r="AC731" s="516" t="s">
        <v>842</v>
      </c>
      <c r="AD731" s="516" t="s">
        <v>843</v>
      </c>
      <c r="AE731" s="534" t="s">
        <v>713</v>
      </c>
      <c r="AF731" s="534" t="s">
        <v>713</v>
      </c>
      <c r="AG731" s="534" t="s">
        <v>4166</v>
      </c>
      <c r="AH731" s="516"/>
      <c r="AI731" s="516"/>
      <c r="AJ731" s="575" t="s">
        <v>1438</v>
      </c>
      <c r="AK731" s="516"/>
      <c r="AL731" s="544"/>
      <c r="AM731" s="544"/>
    </row>
    <row r="732" spans="3:39" ht="18" customHeight="1">
      <c r="C732" s="516">
        <v>711</v>
      </c>
      <c r="D732" s="516" t="s">
        <v>4167</v>
      </c>
      <c r="E732" s="516">
        <f t="shared" si="11"/>
        <v>667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647</v>
      </c>
      <c r="W732" s="560" t="s">
        <v>4168</v>
      </c>
      <c r="X732" s="516" t="s">
        <v>876</v>
      </c>
      <c r="Y732" s="542">
        <v>25850</v>
      </c>
      <c r="Z732" s="543">
        <f t="shared" ca="1" si="12"/>
        <v>55</v>
      </c>
      <c r="AA732" s="534" t="s">
        <v>4169</v>
      </c>
      <c r="AB732" s="516" t="s">
        <v>4170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4171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712</v>
      </c>
      <c r="D733" s="516" t="s">
        <v>4172</v>
      </c>
      <c r="E733" s="516">
        <f t="shared" si="11"/>
        <v>668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8" t="s">
        <v>666</v>
      </c>
      <c r="W733" s="560" t="s">
        <v>4173</v>
      </c>
      <c r="X733" s="516" t="s">
        <v>876</v>
      </c>
      <c r="Y733" s="542">
        <v>25908</v>
      </c>
      <c r="Z733" s="543">
        <f t="shared" ca="1" si="12"/>
        <v>55</v>
      </c>
      <c r="AA733" s="534" t="s">
        <v>4174</v>
      </c>
      <c r="AB733" s="516" t="s">
        <v>4175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4176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713</v>
      </c>
      <c r="D734" s="516" t="s">
        <v>4177</v>
      </c>
      <c r="E734" s="516">
        <f t="shared" si="11"/>
        <v>669</v>
      </c>
      <c r="F734" s="534" t="s">
        <v>1310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40" t="s">
        <v>681</v>
      </c>
      <c r="W734" s="560" t="s">
        <v>4178</v>
      </c>
      <c r="X734" s="516" t="s">
        <v>876</v>
      </c>
      <c r="Y734" s="542">
        <v>24619</v>
      </c>
      <c r="Z734" s="543">
        <f t="shared" ca="1" si="12"/>
        <v>58</v>
      </c>
      <c r="AA734" s="534" t="s">
        <v>4179</v>
      </c>
      <c r="AB734" s="516" t="s">
        <v>4180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1313</v>
      </c>
      <c r="AH734" s="516"/>
      <c r="AI734" s="516"/>
      <c r="AJ734" s="575" t="s">
        <v>1224</v>
      </c>
      <c r="AK734" s="516"/>
      <c r="AL734" s="544"/>
      <c r="AM734" s="544"/>
    </row>
    <row r="735" spans="3:39" ht="18" customHeight="1">
      <c r="C735" s="516">
        <v>714</v>
      </c>
      <c r="D735" s="516" t="s">
        <v>2090</v>
      </c>
      <c r="E735" s="516">
        <f t="shared" si="11"/>
        <v>669</v>
      </c>
      <c r="F735" s="534"/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2090</v>
      </c>
      <c r="L735" s="535" t="s">
        <v>786</v>
      </c>
      <c r="M735" s="536"/>
      <c r="N735" s="537"/>
      <c r="O735" s="537"/>
      <c r="P735" s="548" t="s">
        <v>4181</v>
      </c>
      <c r="Q735" s="539"/>
      <c r="R735" s="516" t="s">
        <v>49</v>
      </c>
      <c r="S735" s="516" t="s">
        <v>168</v>
      </c>
      <c r="T735" s="516"/>
      <c r="U735" s="562"/>
      <c r="V735" s="548" t="s">
        <v>212</v>
      </c>
      <c r="W735" s="560" t="s">
        <v>2091</v>
      </c>
      <c r="X735" s="516" t="s">
        <v>876</v>
      </c>
      <c r="Y735" s="542">
        <v>21600</v>
      </c>
      <c r="Z735" s="543">
        <f t="shared" ca="1" si="12"/>
        <v>66</v>
      </c>
      <c r="AA735" s="534" t="s">
        <v>2092</v>
      </c>
      <c r="AB735" s="516" t="s">
        <v>2093</v>
      </c>
      <c r="AC735" s="516" t="s">
        <v>802</v>
      </c>
      <c r="AD735" s="516" t="s">
        <v>794</v>
      </c>
      <c r="AE735" s="534" t="s">
        <v>809</v>
      </c>
      <c r="AF735" s="534" t="s">
        <v>809</v>
      </c>
      <c r="AG735" s="534" t="s">
        <v>2085</v>
      </c>
      <c r="AH735" s="516" t="s">
        <v>872</v>
      </c>
      <c r="AI735" s="516"/>
      <c r="AJ735" s="516"/>
      <c r="AK735" s="516"/>
      <c r="AL735" s="544"/>
      <c r="AM735" s="544"/>
    </row>
    <row r="736" spans="3:39" ht="18" customHeight="1">
      <c r="C736" s="516">
        <v>715</v>
      </c>
      <c r="D736" s="516" t="s">
        <v>4182</v>
      </c>
      <c r="E736" s="516">
        <f t="shared" si="11"/>
        <v>670</v>
      </c>
      <c r="F736" s="534" t="s">
        <v>811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2090</v>
      </c>
      <c r="L736" s="535"/>
      <c r="M736" s="536"/>
      <c r="N736" s="537"/>
      <c r="O736" s="537"/>
      <c r="P736" s="540" t="s">
        <v>4181</v>
      </c>
      <c r="Q736" s="539" t="s">
        <v>308</v>
      </c>
      <c r="R736" s="516"/>
      <c r="S736" s="516"/>
      <c r="T736" s="516"/>
      <c r="U736" s="562" t="s">
        <v>874</v>
      </c>
      <c r="V736" s="503" t="s">
        <v>612</v>
      </c>
      <c r="W736" s="560" t="s">
        <v>4183</v>
      </c>
      <c r="X736" s="516" t="s">
        <v>876</v>
      </c>
      <c r="Y736" s="542">
        <v>21629</v>
      </c>
      <c r="Z736" s="543">
        <f t="shared" ca="1" si="12"/>
        <v>66</v>
      </c>
      <c r="AA736" s="534" t="s">
        <v>4184</v>
      </c>
      <c r="AB736" s="516" t="s">
        <v>4185</v>
      </c>
      <c r="AC736" s="516" t="s">
        <v>842</v>
      </c>
      <c r="AD736" s="516" t="s">
        <v>843</v>
      </c>
      <c r="AE736" s="534" t="s">
        <v>809</v>
      </c>
      <c r="AF736" s="534" t="s">
        <v>809</v>
      </c>
      <c r="AG736" s="534" t="s">
        <v>2085</v>
      </c>
      <c r="AH736" s="516"/>
      <c r="AI736" s="516"/>
      <c r="AJ736" s="575" t="s">
        <v>1438</v>
      </c>
      <c r="AK736" s="516"/>
      <c r="AL736" s="544"/>
      <c r="AM736" s="544"/>
    </row>
    <row r="737" spans="3:39" ht="18" customHeight="1">
      <c r="C737" s="516">
        <v>716</v>
      </c>
      <c r="D737" s="516" t="s">
        <v>4186</v>
      </c>
      <c r="E737" s="516">
        <f t="shared" si="11"/>
        <v>671</v>
      </c>
      <c r="F737" s="534" t="s">
        <v>811</v>
      </c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/>
      <c r="M737" s="536"/>
      <c r="N737" s="537"/>
      <c r="O737" s="537"/>
      <c r="P737" s="540" t="s">
        <v>4181</v>
      </c>
      <c r="Q737" s="539" t="s">
        <v>308</v>
      </c>
      <c r="R737" s="516"/>
      <c r="S737" s="516"/>
      <c r="T737" s="516"/>
      <c r="U737" s="562" t="s">
        <v>874</v>
      </c>
      <c r="V737" s="504" t="s">
        <v>631</v>
      </c>
      <c r="W737" s="560" t="s">
        <v>4187</v>
      </c>
      <c r="X737" s="516" t="s">
        <v>876</v>
      </c>
      <c r="Y737" s="542">
        <v>22009</v>
      </c>
      <c r="Z737" s="543">
        <f t="shared" ca="1" si="12"/>
        <v>65</v>
      </c>
      <c r="AA737" s="334" t="s">
        <v>4188</v>
      </c>
      <c r="AB737" s="516" t="s">
        <v>4189</v>
      </c>
      <c r="AC737" s="516" t="s">
        <v>842</v>
      </c>
      <c r="AD737" s="516" t="s">
        <v>843</v>
      </c>
      <c r="AE737" s="534" t="s">
        <v>942</v>
      </c>
      <c r="AF737" s="534" t="s">
        <v>942</v>
      </c>
      <c r="AG737" s="534" t="s">
        <v>2179</v>
      </c>
      <c r="AH737" s="516"/>
      <c r="AI737" s="516"/>
      <c r="AJ737" s="575" t="s">
        <v>1438</v>
      </c>
      <c r="AK737" s="516"/>
      <c r="AL737" s="544"/>
      <c r="AM737" s="544"/>
    </row>
    <row r="738" spans="3:39" ht="18" customHeight="1">
      <c r="C738" s="516">
        <v>717</v>
      </c>
      <c r="D738" s="516" t="s">
        <v>4190</v>
      </c>
      <c r="E738" s="516">
        <f t="shared" si="11"/>
        <v>672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2" t="s">
        <v>648</v>
      </c>
      <c r="W738" s="560" t="s">
        <v>4191</v>
      </c>
      <c r="X738" s="516" t="s">
        <v>876</v>
      </c>
      <c r="Y738" s="542">
        <v>22260</v>
      </c>
      <c r="Z738" s="543">
        <f t="shared" ca="1" si="12"/>
        <v>65</v>
      </c>
      <c r="AA738" s="534" t="s">
        <v>4192</v>
      </c>
      <c r="AB738" s="516" t="s">
        <v>4193</v>
      </c>
      <c r="AC738" s="516" t="s">
        <v>842</v>
      </c>
      <c r="AD738" s="516" t="s">
        <v>843</v>
      </c>
      <c r="AE738" s="534" t="s">
        <v>942</v>
      </c>
      <c r="AF738" s="534" t="s">
        <v>942</v>
      </c>
      <c r="AG738" s="534" t="s">
        <v>2179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718</v>
      </c>
      <c r="D739" s="516" t="s">
        <v>4194</v>
      </c>
      <c r="E739" s="516">
        <f t="shared" si="11"/>
        <v>673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2" t="s">
        <v>667</v>
      </c>
      <c r="W739" s="560" t="s">
        <v>4195</v>
      </c>
      <c r="X739" s="516" t="s">
        <v>876</v>
      </c>
      <c r="Y739" s="542">
        <v>22477</v>
      </c>
      <c r="Z739" s="543">
        <f t="shared" ca="1" si="12"/>
        <v>64</v>
      </c>
      <c r="AA739" s="534" t="s">
        <v>4196</v>
      </c>
      <c r="AB739" s="516"/>
      <c r="AC739" s="516" t="s">
        <v>842</v>
      </c>
      <c r="AD739" s="516" t="s">
        <v>843</v>
      </c>
      <c r="AE739" s="534" t="s">
        <v>809</v>
      </c>
      <c r="AF739" s="534" t="s">
        <v>809</v>
      </c>
      <c r="AG739" s="534" t="s">
        <v>2085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719</v>
      </c>
      <c r="D740" s="516" t="s">
        <v>4197</v>
      </c>
      <c r="E740" s="516">
        <f t="shared" si="11"/>
        <v>674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682</v>
      </c>
      <c r="W740" s="560" t="s">
        <v>4198</v>
      </c>
      <c r="X740" s="516" t="s">
        <v>876</v>
      </c>
      <c r="Y740" s="542">
        <v>22929</v>
      </c>
      <c r="Z740" s="543">
        <f t="shared" ca="1" si="12"/>
        <v>63</v>
      </c>
      <c r="AA740" s="534" t="s">
        <v>4199</v>
      </c>
      <c r="AB740" s="516" t="s">
        <v>4200</v>
      </c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720</v>
      </c>
      <c r="D741" s="516" t="s">
        <v>4201</v>
      </c>
      <c r="E741" s="516">
        <f t="shared" si="11"/>
        <v>675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5" t="s">
        <v>692</v>
      </c>
      <c r="W741" s="560" t="s">
        <v>4202</v>
      </c>
      <c r="X741" s="516" t="s">
        <v>876</v>
      </c>
      <c r="Y741" s="542">
        <v>23749</v>
      </c>
      <c r="Z741" s="543">
        <f t="shared" ca="1" si="12"/>
        <v>61</v>
      </c>
      <c r="AA741" s="534" t="s">
        <v>4203</v>
      </c>
      <c r="AB741" s="516" t="s">
        <v>4204</v>
      </c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4205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06"/>
      <c r="D742" s="506"/>
      <c r="E742" s="506"/>
      <c r="F742" s="641"/>
      <c r="G742" s="515"/>
      <c r="H742" s="641"/>
      <c r="I742" s="641"/>
      <c r="J742" s="641"/>
      <c r="K742" s="641"/>
      <c r="L742" s="641"/>
      <c r="M742" s="642"/>
      <c r="N742" s="642"/>
      <c r="O742" s="642"/>
      <c r="P742" s="515"/>
      <c r="Q742" s="506"/>
      <c r="R742" s="506"/>
      <c r="S742" s="506"/>
      <c r="T742" s="506"/>
      <c r="U742" s="506"/>
      <c r="V742" s="515"/>
      <c r="W742" s="643"/>
      <c r="X742" s="506"/>
      <c r="Y742" s="644"/>
      <c r="Z742" s="645"/>
      <c r="AA742" s="515"/>
      <c r="AB742" s="506"/>
      <c r="AC742" s="506"/>
      <c r="AD742" s="506"/>
      <c r="AE742" s="515"/>
      <c r="AF742" s="515"/>
      <c r="AG742" s="515"/>
      <c r="AH742" s="506"/>
      <c r="AI742" s="506"/>
      <c r="AJ742" s="646"/>
      <c r="AK742" s="506"/>
      <c r="AL742" s="647"/>
      <c r="AM742" s="647"/>
    </row>
    <row r="743" spans="3:39" ht="18" customHeight="1">
      <c r="C743" s="506"/>
      <c r="D743" s="506"/>
      <c r="E743" s="506"/>
      <c r="F743" s="641"/>
      <c r="G743" s="515"/>
      <c r="H743" s="641"/>
      <c r="I743" s="641"/>
      <c r="J743" s="641"/>
      <c r="K743" s="641"/>
      <c r="L743" s="641"/>
      <c r="M743" s="642"/>
      <c r="N743" s="642"/>
      <c r="O743" s="642"/>
      <c r="P743" s="515"/>
      <c r="Q743" s="506"/>
      <c r="R743" s="506"/>
      <c r="S743" s="506"/>
      <c r="T743" s="506"/>
      <c r="U743" s="506"/>
      <c r="V743" s="515"/>
      <c r="W743" s="643"/>
      <c r="X743" s="506"/>
      <c r="Y743" s="644"/>
      <c r="Z743" s="645"/>
      <c r="AA743" s="515"/>
      <c r="AB743" s="506"/>
      <c r="AC743" s="506"/>
      <c r="AD743" s="506"/>
      <c r="AE743" s="515"/>
      <c r="AF743" s="515"/>
      <c r="AG743" s="515"/>
      <c r="AH743" s="506"/>
      <c r="AI743" s="506"/>
      <c r="AJ743" s="646"/>
      <c r="AK743" s="506"/>
      <c r="AL743" s="647"/>
      <c r="AM743" s="647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/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506" t="s">
        <v>4206</v>
      </c>
      <c r="D746" s="506"/>
      <c r="E746" s="506"/>
      <c r="F746" s="641"/>
      <c r="G746" s="515"/>
      <c r="H746" s="641"/>
      <c r="I746" s="641"/>
      <c r="J746" s="641"/>
      <c r="K746" s="641"/>
      <c r="L746" s="641"/>
      <c r="M746" s="642"/>
      <c r="N746" s="642"/>
      <c r="O746" s="642"/>
      <c r="P746" s="515"/>
      <c r="Q746" s="506"/>
      <c r="R746" s="506"/>
      <c r="S746" s="506"/>
      <c r="T746" s="506"/>
      <c r="U746" s="506"/>
      <c r="V746" s="515"/>
      <c r="W746" s="643"/>
      <c r="X746" s="506"/>
      <c r="Y746" s="644"/>
      <c r="Z746" s="645"/>
      <c r="AA746" s="515"/>
      <c r="AB746" s="506"/>
      <c r="AC746" s="506"/>
      <c r="AD746" s="506"/>
      <c r="AE746" s="515"/>
      <c r="AF746" s="515"/>
      <c r="AG746" s="515"/>
      <c r="AH746" s="506"/>
      <c r="AI746" s="506"/>
      <c r="AJ746" s="646"/>
      <c r="AK746" s="506"/>
      <c r="AL746" s="647"/>
      <c r="AM746" s="647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641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641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641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</sheetData>
  <autoFilter ref="C20:AM741" xr:uid="{00000000-0009-0000-0000-000003000000}"/>
  <mergeCells count="2">
    <mergeCell ref="A92:B92"/>
    <mergeCell ref="A98:B98"/>
  </mergeCells>
  <phoneticPr fontId="139" type="noConversion"/>
  <conditionalFormatting sqref="C20:U755 AI20:AI385 V20:V724 W20:AH755 AJ20:AK755 AI387:AI755 V729 V735 V742:V755">
    <cfRule type="expression" dxfId="119" priority="15">
      <formula>$AH20="중복"</formula>
    </cfRule>
  </conditionalFormatting>
  <conditionalFormatting sqref="D19">
    <cfRule type="expression" dxfId="118" priority="2">
      <formula>$AI19="출결제외"</formula>
    </cfRule>
    <cfRule type="containsText" dxfId="117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116" priority="4">
      <formula>$AH22="중복"</formula>
    </cfRule>
    <cfRule type="containsText" dxfId="115" priority="5" operator="containsText" text="출결제외">
      <formula>NOT(ISERROR(SEARCH(("출결제외"),(E22))))</formula>
    </cfRule>
    <cfRule type="expression" dxfId="114" priority="6">
      <formula>$AH22="출결제외"</formula>
    </cfRule>
  </conditionalFormatting>
  <conditionalFormatting sqref="F21:F755">
    <cfRule type="containsText" dxfId="113" priority="7" operator="containsText" text="카자흐스탄(악토베)">
      <formula>NOT(ISERROR(SEARCH(("카자흐스탄(악토베)"),(F21))))</formula>
    </cfRule>
    <cfRule type="containsText" dxfId="112" priority="8" operator="containsText" text="우즈베키스탄(타슈켄트)">
      <formula>NOT(ISERROR(SEARCH(("우즈베키스탄(타슈켄트)"),(F21))))</formula>
    </cfRule>
    <cfRule type="containsText" dxfId="111" priority="9" operator="containsText" text="러시아(모스크바)">
      <formula>NOT(ISERROR(SEARCH(("러시아(모스크바)"),(F21))))</formula>
    </cfRule>
    <cfRule type="containsText" dxfId="110" priority="10" operator="containsText" text="카자흐스탄(알마티)">
      <formula>NOT(ISERROR(SEARCH(("카자흐스탄(알마티)"),(F21))))</formula>
    </cfRule>
    <cfRule type="containsText" dxfId="109" priority="11" operator="containsText" text="우크라이나(키이우)">
      <formula>NOT(ISERROR(SEARCH(("우크라이나(키이우)"),(F21))))</formula>
    </cfRule>
    <cfRule type="containsText" dxfId="108" priority="12" operator="containsText" text="크림공화국">
      <formula>NOT(ISERROR(SEARCH(("크림공화국"),(F21))))</formula>
    </cfRule>
    <cfRule type="containsText" dxfId="107" priority="13" operator="containsText" text="해외개척">
      <formula>NOT(ISERROR(SEARCH(("해외개척"),(F21))))</formula>
    </cfRule>
    <cfRule type="containsText" dxfId="106" priority="14" operator="containsText" text="국내성도">
      <formula>NOT(ISERROR(SEARCH(("국내성도"),(F21))))</formula>
    </cfRule>
  </conditionalFormatting>
  <conditionalFormatting sqref="U21:U755">
    <cfRule type="containsText" dxfId="105" priority="17" operator="containsText" text="6유년">
      <formula>NOT(ISERROR(SEARCH(("6유년"),(U21))))</formula>
    </cfRule>
    <cfRule type="containsText" dxfId="104" priority="18" operator="containsText" text="5학생">
      <formula>NOT(ISERROR(SEARCH(("5학생"),(U21))))</formula>
    </cfRule>
    <cfRule type="containsText" dxfId="103" priority="19" operator="containsText" text="4청년">
      <formula>NOT(ISERROR(SEARCH(("4청년"),(U21))))</formula>
    </cfRule>
    <cfRule type="containsText" dxfId="102" priority="20" operator="containsText" text="3부녀">
      <formula>NOT(ISERROR(SEARCH(("3부녀"),(U21))))</formula>
    </cfRule>
    <cfRule type="containsText" dxfId="101" priority="21" operator="containsText" text="2장년">
      <formula>NOT(ISERROR(SEARCH(("2장년"),(U21))))</formula>
    </cfRule>
    <cfRule type="containsText" dxfId="100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99" priority="1">
      <formula>$AH20="출결제외"</formula>
    </cfRule>
    <cfRule type="containsText" dxfId="98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6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0.3320312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V17" s="509"/>
      <c r="W17" s="513"/>
      <c r="Z17" s="514"/>
      <c r="AA17" s="648"/>
      <c r="AF17" s="509"/>
      <c r="AG17" s="509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1:39" ht="18" customHeight="1">
      <c r="A19" s="506"/>
      <c r="B19" s="506"/>
      <c r="C19" s="506">
        <v>672</v>
      </c>
      <c r="D19" s="654" t="s">
        <v>747</v>
      </c>
      <c r="E19" s="516">
        <f>SUBTOTAL(103,$F$21:F743)</f>
        <v>672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9" t="s">
        <v>4215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5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/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4232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16"/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781</v>
      </c>
      <c r="L27" s="535" t="s">
        <v>786</v>
      </c>
      <c r="M27" s="536" t="s">
        <v>786</v>
      </c>
      <c r="N27" s="537"/>
      <c r="O27" s="537"/>
      <c r="P27" s="540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1:39" ht="18" customHeight="1">
      <c r="C28" s="516">
        <v>8</v>
      </c>
      <c r="D28" s="516" t="s">
        <v>826</v>
      </c>
      <c r="E28" s="516">
        <f t="shared" si="0"/>
        <v>8</v>
      </c>
      <c r="F28" s="534" t="s">
        <v>782</v>
      </c>
      <c r="G28" s="534" t="s">
        <v>783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786</v>
      </c>
      <c r="M28" s="536" t="s">
        <v>786</v>
      </c>
      <c r="N28" s="537"/>
      <c r="O28" s="537"/>
      <c r="P28" s="548" t="s">
        <v>828</v>
      </c>
      <c r="Q28" s="539"/>
      <c r="R28" s="516" t="s">
        <v>49</v>
      </c>
      <c r="S28" s="516" t="s">
        <v>49</v>
      </c>
      <c r="T28" s="516"/>
      <c r="U28" s="516" t="s">
        <v>788</v>
      </c>
      <c r="V28" s="548" t="s">
        <v>50</v>
      </c>
      <c r="W28" s="541" t="s">
        <v>829</v>
      </c>
      <c r="X28" s="516" t="s">
        <v>790</v>
      </c>
      <c r="Y28" s="542">
        <v>32305</v>
      </c>
      <c r="Z28" s="543">
        <f t="shared" ca="1" si="1"/>
        <v>37</v>
      </c>
      <c r="AA28" s="534" t="s">
        <v>830</v>
      </c>
      <c r="AB28" s="516" t="s">
        <v>831</v>
      </c>
      <c r="AC28" s="516" t="s">
        <v>793</v>
      </c>
      <c r="AD28" s="516" t="s">
        <v>794</v>
      </c>
      <c r="AE28" s="534" t="s">
        <v>713</v>
      </c>
      <c r="AF28" s="534" t="s">
        <v>795</v>
      </c>
      <c r="AG28" s="534" t="s">
        <v>804</v>
      </c>
      <c r="AH28" s="516"/>
      <c r="AI28" s="516"/>
      <c r="AJ28" s="516" t="s">
        <v>832</v>
      </c>
      <c r="AK28" s="516"/>
      <c r="AL28" s="544"/>
      <c r="AM28" s="544"/>
    </row>
    <row r="29" spans="1:39" ht="18" customHeight="1">
      <c r="C29" s="516">
        <v>9</v>
      </c>
      <c r="D29" s="516" t="s">
        <v>827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38" t="s">
        <v>828</v>
      </c>
      <c r="Q29" s="539"/>
      <c r="R29" s="516" t="s">
        <v>163</v>
      </c>
      <c r="S29" s="516" t="s">
        <v>500</v>
      </c>
      <c r="T29" s="516" t="s">
        <v>49</v>
      </c>
      <c r="U29" s="516" t="s">
        <v>799</v>
      </c>
      <c r="V29" s="549" t="s">
        <v>71</v>
      </c>
      <c r="W29" s="541" t="s">
        <v>833</v>
      </c>
      <c r="X29" s="516" t="s">
        <v>790</v>
      </c>
      <c r="Y29" s="542">
        <v>33031</v>
      </c>
      <c r="Z29" s="543">
        <f t="shared" ca="1" si="1"/>
        <v>35</v>
      </c>
      <c r="AA29" s="534" t="s">
        <v>834</v>
      </c>
      <c r="AB29" s="516" t="s">
        <v>835</v>
      </c>
      <c r="AC29" s="516" t="s">
        <v>802</v>
      </c>
      <c r="AD29" s="516" t="s">
        <v>794</v>
      </c>
      <c r="AE29" s="534" t="s">
        <v>713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836</v>
      </c>
      <c r="E30" s="516">
        <f t="shared" si="0"/>
        <v>10</v>
      </c>
      <c r="F30" s="534" t="s">
        <v>782</v>
      </c>
      <c r="G30" s="534" t="s">
        <v>797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799</v>
      </c>
      <c r="V30" s="538" t="s">
        <v>59</v>
      </c>
      <c r="W30" s="541" t="s">
        <v>837</v>
      </c>
      <c r="X30" s="516" t="s">
        <v>790</v>
      </c>
      <c r="Y30" s="542">
        <v>33599</v>
      </c>
      <c r="Z30" s="543">
        <f t="shared" ca="1" si="1"/>
        <v>34</v>
      </c>
      <c r="AA30" s="534" t="s">
        <v>838</v>
      </c>
      <c r="AB30" s="516"/>
      <c r="AC30" s="516" t="s">
        <v>802</v>
      </c>
      <c r="AD30" s="516" t="s">
        <v>794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1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50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1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0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0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2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0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2"/>
        <v>41</v>
      </c>
      <c r="AA36" s="534" t="s">
        <v>881</v>
      </c>
      <c r="AB36" s="516"/>
      <c r="AC36" s="516" t="s">
        <v>802</v>
      </c>
      <c r="AD36" s="516" t="s">
        <v>794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0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2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0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2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0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2"/>
        <v>39</v>
      </c>
      <c r="AA39" s="534" t="s">
        <v>891</v>
      </c>
      <c r="AB39" s="516"/>
      <c r="AC39" s="516" t="s">
        <v>793</v>
      </c>
      <c r="AD39" s="516" t="s">
        <v>794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0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2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0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2"/>
        <v>71</v>
      </c>
      <c r="AA41" s="534" t="s">
        <v>901</v>
      </c>
      <c r="AB41" s="516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0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2"/>
        <v>35</v>
      </c>
      <c r="AA42" s="534" t="s">
        <v>906</v>
      </c>
      <c r="AB42" s="516"/>
      <c r="AC42" s="516" t="s">
        <v>842</v>
      </c>
      <c r="AD42" s="516" t="s">
        <v>851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0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2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0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2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0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2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796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0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2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0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2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0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2"/>
        <v>39</v>
      </c>
      <c r="AA48" s="534" t="s">
        <v>929</v>
      </c>
      <c r="AB48" s="516"/>
      <c r="AC48" s="516" t="s">
        <v>793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1:39" ht="18" customHeight="1">
      <c r="C49" s="516">
        <v>29</v>
      </c>
      <c r="D49" s="516" t="s">
        <v>930</v>
      </c>
      <c r="E49" s="516">
        <f t="shared" si="0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2"/>
        <v>35</v>
      </c>
      <c r="AA49" s="534" t="s">
        <v>933</v>
      </c>
      <c r="AB49" s="516"/>
      <c r="AC49" s="516" t="s">
        <v>793</v>
      </c>
      <c r="AD49" s="516" t="s">
        <v>794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1:39" ht="18" customHeight="1">
      <c r="C50" s="516">
        <v>30</v>
      </c>
      <c r="D50" s="516" t="s">
        <v>870</v>
      </c>
      <c r="E50" s="516">
        <f t="shared" si="0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535" t="s">
        <v>935</v>
      </c>
      <c r="L50" s="536" t="s">
        <v>936</v>
      </c>
      <c r="M50" s="535" t="s">
        <v>937</v>
      </c>
      <c r="N50" s="537"/>
      <c r="O50" s="537"/>
      <c r="P50" s="548" t="s">
        <v>938</v>
      </c>
      <c r="Q50" s="539"/>
      <c r="R50" s="516"/>
      <c r="S50" s="516"/>
      <c r="T50" s="516"/>
      <c r="U50" s="516" t="s">
        <v>874</v>
      </c>
      <c r="V50" s="548" t="s">
        <v>1075</v>
      </c>
      <c r="W50" s="541" t="s">
        <v>4224</v>
      </c>
      <c r="X50" s="516" t="s">
        <v>876</v>
      </c>
      <c r="Y50" s="542">
        <v>30625</v>
      </c>
      <c r="Z50" s="543">
        <f t="shared" ca="1" si="2"/>
        <v>42</v>
      </c>
      <c r="AA50" s="534" t="s">
        <v>4235</v>
      </c>
      <c r="AB50" s="516" t="s">
        <v>4236</v>
      </c>
      <c r="AC50" s="516" t="s">
        <v>802</v>
      </c>
      <c r="AD50" s="516" t="s">
        <v>794</v>
      </c>
      <c r="AE50" s="534" t="s">
        <v>795</v>
      </c>
      <c r="AF50" s="534" t="s">
        <v>795</v>
      </c>
      <c r="AG50" s="534" t="s">
        <v>4234</v>
      </c>
      <c r="AH50" s="516"/>
      <c r="AI50" s="516"/>
      <c r="AJ50" s="516"/>
      <c r="AK50" s="516"/>
      <c r="AL50" s="544"/>
      <c r="AM50" s="544"/>
    </row>
    <row r="51" spans="1:39" ht="18" customHeight="1">
      <c r="A51" s="173"/>
      <c r="B51" s="173"/>
      <c r="C51" s="516">
        <v>36</v>
      </c>
      <c r="D51" s="516" t="s">
        <v>935</v>
      </c>
      <c r="E51" s="516">
        <f>SUBTOTAL(103,$U$21:U51)</f>
        <v>30</v>
      </c>
      <c r="F51" s="553" t="s">
        <v>782</v>
      </c>
      <c r="G51" s="516" t="s">
        <v>869</v>
      </c>
      <c r="H51" s="535" t="s">
        <v>784</v>
      </c>
      <c r="I51" s="535" t="s">
        <v>4</v>
      </c>
      <c r="J51" s="535" t="s">
        <v>868</v>
      </c>
      <c r="K51" s="535" t="s">
        <v>935</v>
      </c>
      <c r="L51" s="535" t="s">
        <v>936</v>
      </c>
      <c r="M51" s="535" t="s">
        <v>937</v>
      </c>
      <c r="N51" s="567"/>
      <c r="O51" s="567"/>
      <c r="P51" s="556" t="s">
        <v>938</v>
      </c>
      <c r="Q51" s="568"/>
      <c r="R51" s="681" t="s">
        <v>62</v>
      </c>
      <c r="S51" s="681" t="s">
        <v>49</v>
      </c>
      <c r="T51" s="554"/>
      <c r="U51" s="596" t="s">
        <v>874</v>
      </c>
      <c r="V51" s="556" t="s">
        <v>111</v>
      </c>
      <c r="W51" s="557" t="s">
        <v>939</v>
      </c>
      <c r="X51" s="516" t="s">
        <v>876</v>
      </c>
      <c r="Y51" s="542">
        <v>24988</v>
      </c>
      <c r="Z51" s="543">
        <f t="shared" ca="1" si="2"/>
        <v>57</v>
      </c>
      <c r="AA51" s="516" t="s">
        <v>940</v>
      </c>
      <c r="AB51" s="516" t="s">
        <v>941</v>
      </c>
      <c r="AC51" s="516" t="s">
        <v>842</v>
      </c>
      <c r="AD51" s="516" t="s">
        <v>851</v>
      </c>
      <c r="AE51" s="516" t="s">
        <v>942</v>
      </c>
      <c r="AF51" s="516" t="s">
        <v>795</v>
      </c>
      <c r="AG51" s="516" t="s">
        <v>943</v>
      </c>
      <c r="AH51" s="554"/>
      <c r="AI51" s="554"/>
      <c r="AJ51" s="516" t="s">
        <v>832</v>
      </c>
      <c r="AK51" s="554"/>
      <c r="AL51" s="554"/>
      <c r="AM51" s="554"/>
    </row>
    <row r="52" spans="1:39" ht="18" customHeight="1">
      <c r="C52" s="516">
        <v>31</v>
      </c>
      <c r="D52" s="516" t="s">
        <v>936</v>
      </c>
      <c r="E52" s="516">
        <f t="shared" ref="E52:E255" si="3">SUBTOTAL(103,$U$21:U52)</f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535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38" t="s">
        <v>74</v>
      </c>
      <c r="W52" s="541" t="s">
        <v>944</v>
      </c>
      <c r="X52" s="516" t="s">
        <v>876</v>
      </c>
      <c r="Y52" s="542">
        <v>30935</v>
      </c>
      <c r="Z52" s="543">
        <f t="shared" ca="1" si="2"/>
        <v>41</v>
      </c>
      <c r="AA52" s="534" t="s">
        <v>945</v>
      </c>
      <c r="AB52" s="516" t="s">
        <v>946</v>
      </c>
      <c r="AC52" s="516" t="s">
        <v>802</v>
      </c>
      <c r="AD52" s="516" t="s">
        <v>794</v>
      </c>
      <c r="AE52" s="534" t="s">
        <v>942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1:39" ht="18" customHeight="1">
      <c r="C53" s="516">
        <v>32</v>
      </c>
      <c r="D53" s="516" t="s">
        <v>937</v>
      </c>
      <c r="E53" s="516">
        <f t="shared" si="3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535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 t="s">
        <v>62</v>
      </c>
      <c r="S53" s="516" t="s">
        <v>62</v>
      </c>
      <c r="T53" s="516"/>
      <c r="U53" s="516" t="s">
        <v>874</v>
      </c>
      <c r="V53" s="540" t="s">
        <v>63</v>
      </c>
      <c r="W53" s="541" t="s">
        <v>947</v>
      </c>
      <c r="X53" s="516" t="s">
        <v>876</v>
      </c>
      <c r="Y53" s="542">
        <v>29183</v>
      </c>
      <c r="Z53" s="543">
        <f t="shared" ca="1" si="2"/>
        <v>46</v>
      </c>
      <c r="AA53" s="534" t="s">
        <v>948</v>
      </c>
      <c r="AB53" s="516" t="s">
        <v>949</v>
      </c>
      <c r="AC53" s="516" t="s">
        <v>802</v>
      </c>
      <c r="AD53" s="516" t="s">
        <v>794</v>
      </c>
      <c r="AE53" s="534" t="s">
        <v>236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1:39" ht="18" customHeight="1">
      <c r="C54" s="516">
        <v>33</v>
      </c>
      <c r="D54" s="516" t="s">
        <v>950</v>
      </c>
      <c r="E54" s="516">
        <f t="shared" si="3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535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874</v>
      </c>
      <c r="V54" s="538" t="s">
        <v>86</v>
      </c>
      <c r="W54" s="541" t="s">
        <v>951</v>
      </c>
      <c r="X54" s="516" t="s">
        <v>876</v>
      </c>
      <c r="Y54" s="542">
        <v>33662</v>
      </c>
      <c r="Z54" s="543">
        <f t="shared" ca="1" si="2"/>
        <v>33</v>
      </c>
      <c r="AA54" s="534" t="s">
        <v>952</v>
      </c>
      <c r="AB54" s="516"/>
      <c r="AC54" s="516" t="s">
        <v>802</v>
      </c>
      <c r="AD54" s="516" t="s">
        <v>794</v>
      </c>
      <c r="AE54" s="534" t="s">
        <v>809</v>
      </c>
      <c r="AF54" s="534" t="s">
        <v>795</v>
      </c>
      <c r="AG54" s="534" t="s">
        <v>796</v>
      </c>
      <c r="AH54" s="516"/>
      <c r="AI54" s="516"/>
      <c r="AJ54" s="516"/>
      <c r="AK54" s="516"/>
      <c r="AL54" s="544"/>
      <c r="AM54" s="544"/>
    </row>
    <row r="55" spans="1:39" ht="18" customHeight="1">
      <c r="C55" s="516">
        <v>34</v>
      </c>
      <c r="D55" s="516" t="s">
        <v>953</v>
      </c>
      <c r="E55" s="516">
        <f t="shared" si="3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535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898</v>
      </c>
      <c r="V55" s="538" t="s">
        <v>96</v>
      </c>
      <c r="W55" s="541" t="s">
        <v>954</v>
      </c>
      <c r="X55" s="516" t="s">
        <v>876</v>
      </c>
      <c r="Y55" s="542">
        <v>18173</v>
      </c>
      <c r="Z55" s="543">
        <f t="shared" ca="1" si="2"/>
        <v>76</v>
      </c>
      <c r="AA55" s="534" t="s">
        <v>955</v>
      </c>
      <c r="AB55" s="516"/>
      <c r="AC55" s="516" t="s">
        <v>842</v>
      </c>
      <c r="AD55" s="516" t="s">
        <v>794</v>
      </c>
      <c r="AE55" s="534" t="s">
        <v>809</v>
      </c>
      <c r="AF55" s="534" t="s">
        <v>795</v>
      </c>
      <c r="AG55" s="534" t="s">
        <v>804</v>
      </c>
      <c r="AH55" s="516"/>
      <c r="AI55" s="516"/>
      <c r="AJ55" s="516"/>
      <c r="AK55" s="516"/>
      <c r="AL55" s="544"/>
      <c r="AM55" s="544"/>
    </row>
    <row r="56" spans="1:39" ht="18" customHeight="1">
      <c r="C56" s="516">
        <v>35</v>
      </c>
      <c r="D56" s="516" t="s">
        <v>957</v>
      </c>
      <c r="E56" s="516">
        <f t="shared" si="3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535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104</v>
      </c>
      <c r="W56" s="541" t="s">
        <v>958</v>
      </c>
      <c r="X56" s="516" t="s">
        <v>876</v>
      </c>
      <c r="Y56" s="542">
        <v>21465</v>
      </c>
      <c r="Z56" s="543">
        <f t="shared" ca="1" si="2"/>
        <v>67</v>
      </c>
      <c r="AA56" s="534" t="s">
        <v>959</v>
      </c>
      <c r="AB56" s="516"/>
      <c r="AC56" s="516" t="s">
        <v>802</v>
      </c>
      <c r="AD56" s="516" t="s">
        <v>794</v>
      </c>
      <c r="AE56" s="534" t="s">
        <v>713</v>
      </c>
      <c r="AF56" s="534" t="s">
        <v>795</v>
      </c>
      <c r="AG56" s="534" t="s">
        <v>796</v>
      </c>
      <c r="AH56" s="516"/>
      <c r="AI56" s="516"/>
      <c r="AJ56" s="516"/>
      <c r="AK56" s="516"/>
      <c r="AL56" s="544"/>
      <c r="AM56" s="544"/>
    </row>
    <row r="57" spans="1:39" ht="18" customHeight="1">
      <c r="C57" s="516">
        <v>37</v>
      </c>
      <c r="D57" s="516" t="s">
        <v>961</v>
      </c>
      <c r="E57" s="516">
        <f t="shared" si="3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535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962</v>
      </c>
      <c r="W57" s="541" t="s">
        <v>963</v>
      </c>
      <c r="X57" s="516" t="s">
        <v>876</v>
      </c>
      <c r="Y57" s="542">
        <v>25896</v>
      </c>
      <c r="Z57" s="543">
        <f t="shared" ca="1" si="2"/>
        <v>55</v>
      </c>
      <c r="AA57" s="534" t="s">
        <v>964</v>
      </c>
      <c r="AB57" s="516"/>
      <c r="AC57" s="516" t="s">
        <v>842</v>
      </c>
      <c r="AD57" s="516" t="s">
        <v>794</v>
      </c>
      <c r="AE57" s="534" t="s">
        <v>942</v>
      </c>
      <c r="AF57" s="534" t="s">
        <v>795</v>
      </c>
      <c r="AG57" s="534" t="s">
        <v>852</v>
      </c>
      <c r="AH57" s="516"/>
      <c r="AI57" s="516"/>
      <c r="AJ57" s="516" t="s">
        <v>832</v>
      </c>
      <c r="AK57" s="516"/>
      <c r="AL57" s="544"/>
      <c r="AM57" s="544"/>
    </row>
    <row r="58" spans="1:39" ht="18" customHeight="1">
      <c r="C58" s="516">
        <v>38</v>
      </c>
      <c r="D58" s="516" t="s">
        <v>966</v>
      </c>
      <c r="E58" s="516">
        <f t="shared" si="3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535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 t="s">
        <v>308</v>
      </c>
      <c r="R58" s="516"/>
      <c r="S58" s="516"/>
      <c r="T58" s="516"/>
      <c r="U58" s="516" t="s">
        <v>874</v>
      </c>
      <c r="V58" s="538" t="s">
        <v>125</v>
      </c>
      <c r="W58" s="541" t="s">
        <v>967</v>
      </c>
      <c r="X58" s="516" t="s">
        <v>876</v>
      </c>
      <c r="Y58" s="542">
        <v>35278</v>
      </c>
      <c r="Z58" s="543">
        <f t="shared" ca="1" si="2"/>
        <v>29</v>
      </c>
      <c r="AA58" s="534" t="s">
        <v>968</v>
      </c>
      <c r="AB58" s="516"/>
      <c r="AC58" s="516" t="s">
        <v>842</v>
      </c>
      <c r="AD58" s="516" t="s">
        <v>851</v>
      </c>
      <c r="AE58" s="534" t="s">
        <v>713</v>
      </c>
      <c r="AF58" s="534" t="s">
        <v>795</v>
      </c>
      <c r="AG58" s="534" t="s">
        <v>970</v>
      </c>
      <c r="AH58" s="516"/>
      <c r="AI58" s="516"/>
      <c r="AJ58" s="516" t="s">
        <v>971</v>
      </c>
      <c r="AK58" s="516"/>
      <c r="AL58" s="544"/>
      <c r="AM58" s="544"/>
    </row>
    <row r="59" spans="1:39" ht="18" customHeight="1">
      <c r="C59" s="516">
        <v>39</v>
      </c>
      <c r="D59" s="516" t="s">
        <v>972</v>
      </c>
      <c r="E59" s="516">
        <f t="shared" si="3"/>
        <v>38</v>
      </c>
      <c r="F59" s="534" t="s">
        <v>782</v>
      </c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935</v>
      </c>
      <c r="L59" s="536" t="s">
        <v>936</v>
      </c>
      <c r="M59" s="535" t="s">
        <v>937</v>
      </c>
      <c r="N59" s="537"/>
      <c r="O59" s="537"/>
      <c r="P59" s="538" t="s">
        <v>938</v>
      </c>
      <c r="Q59" s="539"/>
      <c r="R59" s="516"/>
      <c r="S59" s="516"/>
      <c r="T59" s="516"/>
      <c r="U59" s="516" t="s">
        <v>874</v>
      </c>
      <c r="V59" s="538" t="s">
        <v>973</v>
      </c>
      <c r="W59" s="541" t="s">
        <v>974</v>
      </c>
      <c r="X59" s="516" t="s">
        <v>876</v>
      </c>
      <c r="Y59" s="542">
        <v>22442</v>
      </c>
      <c r="Z59" s="543">
        <f t="shared" ca="1" si="2"/>
        <v>64</v>
      </c>
      <c r="AA59" s="534" t="s">
        <v>975</v>
      </c>
      <c r="AB59" s="516"/>
      <c r="AC59" s="516" t="s">
        <v>842</v>
      </c>
      <c r="AD59" s="516" t="s">
        <v>843</v>
      </c>
      <c r="AE59" s="534" t="s">
        <v>713</v>
      </c>
      <c r="AF59" s="534" t="s">
        <v>795</v>
      </c>
      <c r="AG59" s="534" t="s">
        <v>804</v>
      </c>
      <c r="AH59" s="516"/>
      <c r="AI59" s="516" t="s">
        <v>866</v>
      </c>
      <c r="AJ59" s="516" t="s">
        <v>976</v>
      </c>
      <c r="AK59" s="516" t="s">
        <v>860</v>
      </c>
      <c r="AL59" s="544"/>
      <c r="AM59" s="544"/>
    </row>
    <row r="60" spans="1:39" ht="18" customHeight="1">
      <c r="B60" s="684" t="s">
        <v>2027</v>
      </c>
      <c r="C60" s="516">
        <v>40</v>
      </c>
      <c r="D60" s="566" t="s">
        <v>4237</v>
      </c>
      <c r="E60" s="516">
        <f t="shared" si="3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688"/>
      <c r="P60" s="689" t="s">
        <v>3275</v>
      </c>
      <c r="Q60" s="690"/>
      <c r="R60" s="566"/>
      <c r="S60" s="566"/>
      <c r="T60" s="566" t="s">
        <v>4238</v>
      </c>
      <c r="U60" s="566"/>
      <c r="V60" s="689" t="s">
        <v>4239</v>
      </c>
      <c r="W60" s="691" t="s">
        <v>991</v>
      </c>
      <c r="X60" s="566" t="s">
        <v>876</v>
      </c>
      <c r="Y60" s="692"/>
      <c r="Z60" s="693">
        <f t="shared" ca="1" si="2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1:39" ht="18" customHeight="1">
      <c r="B61" s="684" t="s">
        <v>2027</v>
      </c>
      <c r="C61" s="516">
        <v>41</v>
      </c>
      <c r="D61" s="566" t="s">
        <v>4240</v>
      </c>
      <c r="E61" s="516">
        <f t="shared" si="3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688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4241</v>
      </c>
      <c r="W61" s="691" t="s">
        <v>4242</v>
      </c>
      <c r="X61" s="566"/>
      <c r="Y61" s="692"/>
      <c r="Z61" s="693">
        <f t="shared" ca="1" si="2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1:39" ht="18" customHeight="1">
      <c r="B62" s="684" t="s">
        <v>2027</v>
      </c>
      <c r="C62" s="516">
        <v>42</v>
      </c>
      <c r="D62" s="566" t="s">
        <v>4243</v>
      </c>
      <c r="E62" s="516">
        <f t="shared" si="3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688"/>
      <c r="P62" s="694" t="s">
        <v>3275</v>
      </c>
      <c r="Q62" s="690"/>
      <c r="R62" s="566"/>
      <c r="S62" s="566"/>
      <c r="T62" s="566" t="s">
        <v>4238</v>
      </c>
      <c r="U62" s="566"/>
      <c r="V62" s="694" t="s">
        <v>4244</v>
      </c>
      <c r="W62" s="691" t="s">
        <v>4245</v>
      </c>
      <c r="X62" s="566"/>
      <c r="Y62" s="692"/>
      <c r="Z62" s="693">
        <f t="shared" ca="1" si="2"/>
        <v>126</v>
      </c>
      <c r="AA62" s="685"/>
      <c r="AB62" s="566"/>
      <c r="AC62" s="566"/>
      <c r="AD62" s="566"/>
      <c r="AE62" s="685"/>
      <c r="AF62" s="685"/>
      <c r="AG62" s="685"/>
      <c r="AH62" s="566"/>
      <c r="AI62" s="566"/>
      <c r="AJ62" s="566"/>
      <c r="AK62" s="566"/>
      <c r="AL62" s="544"/>
      <c r="AM62" s="544"/>
    </row>
    <row r="63" spans="1:39" ht="18" customHeight="1">
      <c r="B63" s="684" t="s">
        <v>2027</v>
      </c>
      <c r="C63" s="516">
        <v>43</v>
      </c>
      <c r="D63" s="566" t="s">
        <v>4246</v>
      </c>
      <c r="E63" s="516">
        <f t="shared" si="3"/>
        <v>38</v>
      </c>
      <c r="F63" s="685"/>
      <c r="G63" s="685" t="s">
        <v>869</v>
      </c>
      <c r="H63" s="686" t="s">
        <v>784</v>
      </c>
      <c r="I63" s="686" t="s">
        <v>1075</v>
      </c>
      <c r="J63" s="686" t="s">
        <v>870</v>
      </c>
      <c r="K63" s="686" t="s">
        <v>870</v>
      </c>
      <c r="L63" s="686"/>
      <c r="M63" s="687"/>
      <c r="N63" s="688"/>
      <c r="O63" s="688"/>
      <c r="P63" s="695" t="s">
        <v>3275</v>
      </c>
      <c r="Q63" s="690"/>
      <c r="R63" s="566"/>
      <c r="S63" s="566"/>
      <c r="T63" s="566" t="s">
        <v>4238</v>
      </c>
      <c r="U63" s="566"/>
      <c r="V63" s="695" t="s">
        <v>4247</v>
      </c>
      <c r="W63" s="691" t="s">
        <v>4248</v>
      </c>
      <c r="X63" s="566" t="s">
        <v>876</v>
      </c>
      <c r="Y63" s="692"/>
      <c r="Z63" s="693">
        <f t="shared" ca="1" si="2"/>
        <v>126</v>
      </c>
      <c r="AA63" s="685"/>
      <c r="AB63" s="566"/>
      <c r="AC63" s="566" t="s">
        <v>842</v>
      </c>
      <c r="AD63" s="566" t="s">
        <v>843</v>
      </c>
      <c r="AE63" s="685"/>
      <c r="AF63" s="685" t="s">
        <v>795</v>
      </c>
      <c r="AG63" s="685"/>
      <c r="AH63" s="566"/>
      <c r="AI63" s="566"/>
      <c r="AJ63" s="566"/>
      <c r="AK63" s="566"/>
      <c r="AL63" s="544"/>
      <c r="AM63" s="544"/>
    </row>
    <row r="64" spans="1:39" ht="18" customHeight="1">
      <c r="B64" s="655"/>
      <c r="C64" s="516">
        <v>44</v>
      </c>
      <c r="D64" s="516" t="s">
        <v>868</v>
      </c>
      <c r="E64" s="516">
        <f t="shared" si="3"/>
        <v>38</v>
      </c>
      <c r="F64" s="534"/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49</v>
      </c>
      <c r="U64" s="516"/>
      <c r="V64" s="540" t="s">
        <v>4</v>
      </c>
      <c r="W64" s="541"/>
      <c r="X64" s="516" t="s">
        <v>790</v>
      </c>
      <c r="Y64" s="542">
        <v>31732</v>
      </c>
      <c r="Z64" s="543">
        <f t="shared" ca="1" si="2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2:39" ht="18" customHeight="1">
      <c r="B65" s="655"/>
      <c r="C65" s="516">
        <v>45</v>
      </c>
      <c r="D65" s="516" t="s">
        <v>977</v>
      </c>
      <c r="E65" s="516">
        <f t="shared" si="3"/>
        <v>39</v>
      </c>
      <c r="F65" s="534" t="s">
        <v>981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 t="s">
        <v>982</v>
      </c>
      <c r="S65" s="516" t="s">
        <v>3</v>
      </c>
      <c r="T65" s="516" t="s">
        <v>62</v>
      </c>
      <c r="U65" s="516" t="s">
        <v>983</v>
      </c>
      <c r="V65" s="546" t="s">
        <v>64</v>
      </c>
      <c r="W65" s="541" t="s">
        <v>984</v>
      </c>
      <c r="X65" s="516" t="s">
        <v>790</v>
      </c>
      <c r="Y65" s="542">
        <v>28737</v>
      </c>
      <c r="Z65" s="543">
        <f t="shared" ca="1" si="2"/>
        <v>47</v>
      </c>
      <c r="AA65" s="534" t="s">
        <v>985</v>
      </c>
      <c r="AB65" s="516" t="s">
        <v>986</v>
      </c>
      <c r="AC65" s="516" t="s">
        <v>53</v>
      </c>
      <c r="AD65" s="516" t="s">
        <v>794</v>
      </c>
      <c r="AE65" s="534" t="s">
        <v>795</v>
      </c>
      <c r="AF65" s="534" t="s">
        <v>795</v>
      </c>
      <c r="AG65" s="534"/>
      <c r="AH65" s="516"/>
      <c r="AI65" s="516"/>
      <c r="AJ65" s="516"/>
      <c r="AK65" s="516"/>
      <c r="AL65" s="544"/>
      <c r="AM65" s="544"/>
    </row>
    <row r="66" spans="2:39" ht="18" customHeight="1">
      <c r="C66" s="516">
        <v>46</v>
      </c>
      <c r="D66" s="516" t="s">
        <v>987</v>
      </c>
      <c r="E66" s="516">
        <f t="shared" si="3"/>
        <v>40</v>
      </c>
      <c r="F66" s="534" t="s">
        <v>782</v>
      </c>
      <c r="G66" s="534" t="s">
        <v>869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38" t="s">
        <v>978</v>
      </c>
      <c r="Q66" s="539"/>
      <c r="R66" s="516" t="s">
        <v>49</v>
      </c>
      <c r="S66" s="516" t="s">
        <v>49</v>
      </c>
      <c r="T66" s="516"/>
      <c r="U66" s="516" t="s">
        <v>898</v>
      </c>
      <c r="V66" s="538" t="s">
        <v>75</v>
      </c>
      <c r="W66" s="541" t="s">
        <v>988</v>
      </c>
      <c r="X66" s="516" t="s">
        <v>790</v>
      </c>
      <c r="Y66" s="542">
        <v>19202</v>
      </c>
      <c r="Z66" s="543">
        <f t="shared" ca="1" si="2"/>
        <v>73</v>
      </c>
      <c r="AA66" s="534" t="s">
        <v>989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2:39" ht="18" customHeight="1">
      <c r="C67" s="516">
        <v>47</v>
      </c>
      <c r="D67" s="516" t="s">
        <v>990</v>
      </c>
      <c r="E67" s="516">
        <f t="shared" si="3"/>
        <v>41</v>
      </c>
      <c r="F67" s="534" t="s">
        <v>782</v>
      </c>
      <c r="G67" s="534" t="s">
        <v>869</v>
      </c>
      <c r="H67" s="535" t="s">
        <v>784</v>
      </c>
      <c r="I67" s="535" t="s">
        <v>4</v>
      </c>
      <c r="J67" s="535" t="s">
        <v>868</v>
      </c>
      <c r="K67" s="535" t="s">
        <v>868</v>
      </c>
      <c r="L67" s="535" t="s">
        <v>977</v>
      </c>
      <c r="M67" s="536" t="s">
        <v>786</v>
      </c>
      <c r="N67" s="537"/>
      <c r="O67" s="537"/>
      <c r="P67" s="538" t="s">
        <v>978</v>
      </c>
      <c r="Q67" s="539"/>
      <c r="R67" s="516" t="s">
        <v>62</v>
      </c>
      <c r="S67" s="516" t="s">
        <v>62</v>
      </c>
      <c r="T67" s="516"/>
      <c r="U67" s="516" t="s">
        <v>898</v>
      </c>
      <c r="V67" s="538" t="s">
        <v>87</v>
      </c>
      <c r="W67" s="541" t="s">
        <v>991</v>
      </c>
      <c r="X67" s="516" t="s">
        <v>876</v>
      </c>
      <c r="Y67" s="542">
        <v>19466</v>
      </c>
      <c r="Z67" s="543">
        <f t="shared" ca="1" si="2"/>
        <v>72</v>
      </c>
      <c r="AA67" s="534" t="s">
        <v>992</v>
      </c>
      <c r="AB67" s="516" t="s">
        <v>993</v>
      </c>
      <c r="AC67" s="516" t="s">
        <v>802</v>
      </c>
      <c r="AD67" s="516" t="s">
        <v>794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2:39" ht="18" customHeight="1">
      <c r="C68" s="516">
        <v>48</v>
      </c>
      <c r="D68" s="516" t="s">
        <v>994</v>
      </c>
      <c r="E68" s="516">
        <f t="shared" si="3"/>
        <v>42</v>
      </c>
      <c r="F68" s="534" t="s">
        <v>782</v>
      </c>
      <c r="G68" s="534" t="s">
        <v>869</v>
      </c>
      <c r="H68" s="535" t="s">
        <v>784</v>
      </c>
      <c r="I68" s="535" t="s">
        <v>4</v>
      </c>
      <c r="J68" s="535" t="s">
        <v>868</v>
      </c>
      <c r="K68" s="535" t="s">
        <v>868</v>
      </c>
      <c r="L68" s="535" t="s">
        <v>977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898</v>
      </c>
      <c r="V68" s="538" t="s">
        <v>97</v>
      </c>
      <c r="W68" s="541" t="s">
        <v>995</v>
      </c>
      <c r="X68" s="516" t="s">
        <v>790</v>
      </c>
      <c r="Y68" s="542">
        <v>19784</v>
      </c>
      <c r="Z68" s="543">
        <f t="shared" ca="1" si="2"/>
        <v>71</v>
      </c>
      <c r="AA68" s="534" t="s">
        <v>996</v>
      </c>
      <c r="AB68" s="516"/>
      <c r="AC68" s="516" t="s">
        <v>842</v>
      </c>
      <c r="AD68" s="516" t="s">
        <v>851</v>
      </c>
      <c r="AE68" s="534" t="s">
        <v>809</v>
      </c>
      <c r="AF68" s="534" t="s">
        <v>795</v>
      </c>
      <c r="AG68" s="534" t="s">
        <v>804</v>
      </c>
      <c r="AH68" s="516"/>
      <c r="AI68" s="516"/>
      <c r="AJ68" s="516" t="s">
        <v>903</v>
      </c>
      <c r="AK68" s="516"/>
      <c r="AL68" s="544"/>
      <c r="AM68" s="544"/>
    </row>
    <row r="69" spans="2:39" ht="18" customHeight="1">
      <c r="C69" s="516">
        <v>49</v>
      </c>
      <c r="D69" s="516" t="s">
        <v>997</v>
      </c>
      <c r="E69" s="516">
        <f t="shared" si="3"/>
        <v>43</v>
      </c>
      <c r="F69" s="534" t="s">
        <v>782</v>
      </c>
      <c r="G69" s="534" t="s">
        <v>869</v>
      </c>
      <c r="H69" s="535" t="s">
        <v>784</v>
      </c>
      <c r="I69" s="535" t="s">
        <v>4</v>
      </c>
      <c r="J69" s="535" t="s">
        <v>868</v>
      </c>
      <c r="K69" s="535" t="s">
        <v>868</v>
      </c>
      <c r="L69" s="535" t="s">
        <v>977</v>
      </c>
      <c r="M69" s="536" t="s">
        <v>786</v>
      </c>
      <c r="N69" s="537"/>
      <c r="O69" s="537"/>
      <c r="P69" s="538" t="s">
        <v>978</v>
      </c>
      <c r="Q69" s="539"/>
      <c r="R69" s="516"/>
      <c r="S69" s="516"/>
      <c r="T69" s="516"/>
      <c r="U69" s="516" t="s">
        <v>874</v>
      </c>
      <c r="V69" s="538" t="s">
        <v>105</v>
      </c>
      <c r="W69" s="541" t="s">
        <v>998</v>
      </c>
      <c r="X69" s="516" t="s">
        <v>876</v>
      </c>
      <c r="Y69" s="542">
        <v>22276</v>
      </c>
      <c r="Z69" s="543">
        <f t="shared" ca="1" si="2"/>
        <v>65</v>
      </c>
      <c r="AA69" s="534" t="s">
        <v>999</v>
      </c>
      <c r="AB69" s="516"/>
      <c r="AC69" s="516" t="s">
        <v>842</v>
      </c>
      <c r="AD69" s="516" t="s">
        <v>794</v>
      </c>
      <c r="AE69" s="534" t="s">
        <v>815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2:39" ht="18" customHeight="1">
      <c r="C70" s="516">
        <v>50</v>
      </c>
      <c r="D70" s="516" t="s">
        <v>1000</v>
      </c>
      <c r="E70" s="516">
        <f t="shared" si="3"/>
        <v>44</v>
      </c>
      <c r="F70" s="534" t="s">
        <v>811</v>
      </c>
      <c r="G70" s="534" t="s">
        <v>869</v>
      </c>
      <c r="H70" s="535" t="s">
        <v>784</v>
      </c>
      <c r="I70" s="535" t="s">
        <v>4</v>
      </c>
      <c r="J70" s="535" t="s">
        <v>868</v>
      </c>
      <c r="K70" s="535" t="s">
        <v>868</v>
      </c>
      <c r="L70" s="535" t="s">
        <v>977</v>
      </c>
      <c r="M70" s="536" t="s">
        <v>786</v>
      </c>
      <c r="N70" s="537"/>
      <c r="O70" s="537"/>
      <c r="P70" s="538" t="s">
        <v>978</v>
      </c>
      <c r="Q70" s="539"/>
      <c r="R70" s="516"/>
      <c r="S70" s="516"/>
      <c r="T70" s="516"/>
      <c r="U70" s="516" t="s">
        <v>874</v>
      </c>
      <c r="V70" s="549" t="s">
        <v>1002</v>
      </c>
      <c r="W70" s="541" t="s">
        <v>1003</v>
      </c>
      <c r="X70" s="516" t="s">
        <v>876</v>
      </c>
      <c r="Y70" s="542">
        <v>33959</v>
      </c>
      <c r="Z70" s="543">
        <f t="shared" ca="1" si="2"/>
        <v>33</v>
      </c>
      <c r="AA70" s="534" t="s">
        <v>1004</v>
      </c>
      <c r="AB70" s="516"/>
      <c r="AC70" s="516" t="s">
        <v>842</v>
      </c>
      <c r="AD70" s="516" t="s">
        <v>843</v>
      </c>
      <c r="AE70" s="534" t="s">
        <v>236</v>
      </c>
      <c r="AF70" s="534" t="s">
        <v>236</v>
      </c>
      <c r="AG70" s="534" t="s">
        <v>865</v>
      </c>
      <c r="AH70" s="516"/>
      <c r="AI70" s="516" t="s">
        <v>866</v>
      </c>
      <c r="AJ70" s="516"/>
      <c r="AK70" s="516" t="s">
        <v>860</v>
      </c>
      <c r="AL70" s="544"/>
      <c r="AM70" s="544"/>
    </row>
    <row r="71" spans="2:39" ht="18" customHeight="1">
      <c r="C71" s="516">
        <v>51</v>
      </c>
      <c r="D71" s="516" t="s">
        <v>1005</v>
      </c>
      <c r="E71" s="516">
        <f t="shared" si="3"/>
        <v>45</v>
      </c>
      <c r="F71" s="534" t="s">
        <v>811</v>
      </c>
      <c r="G71" s="534" t="s">
        <v>783</v>
      </c>
      <c r="H71" s="535" t="s">
        <v>784</v>
      </c>
      <c r="I71" s="535" t="s">
        <v>4</v>
      </c>
      <c r="J71" s="535" t="s">
        <v>868</v>
      </c>
      <c r="K71" s="535" t="s">
        <v>868</v>
      </c>
      <c r="L71" s="535" t="s">
        <v>977</v>
      </c>
      <c r="M71" s="536" t="s">
        <v>786</v>
      </c>
      <c r="N71" s="537"/>
      <c r="O71" s="537"/>
      <c r="P71" s="538" t="s">
        <v>978</v>
      </c>
      <c r="Q71" s="539"/>
      <c r="R71" s="516"/>
      <c r="S71" s="516"/>
      <c r="T71" s="516"/>
      <c r="U71" s="516" t="s">
        <v>788</v>
      </c>
      <c r="V71" s="563" t="s">
        <v>1006</v>
      </c>
      <c r="W71" s="541" t="s">
        <v>1007</v>
      </c>
      <c r="X71" s="516" t="s">
        <v>790</v>
      </c>
      <c r="Y71" s="542">
        <v>33674</v>
      </c>
      <c r="Z71" s="543">
        <f t="shared" ca="1" si="2"/>
        <v>33</v>
      </c>
      <c r="AA71" s="534" t="s">
        <v>1008</v>
      </c>
      <c r="AB71" s="516"/>
      <c r="AC71" s="516" t="s">
        <v>793</v>
      </c>
      <c r="AD71" s="516" t="s">
        <v>794</v>
      </c>
      <c r="AE71" s="534" t="s">
        <v>809</v>
      </c>
      <c r="AF71" s="534" t="s">
        <v>236</v>
      </c>
      <c r="AG71" s="534" t="s">
        <v>865</v>
      </c>
      <c r="AH71" s="516"/>
      <c r="AI71" s="516" t="s">
        <v>866</v>
      </c>
      <c r="AJ71" s="516"/>
      <c r="AK71" s="516"/>
      <c r="AL71" s="544"/>
      <c r="AM71" s="544"/>
    </row>
    <row r="72" spans="2:39" ht="18" customHeight="1">
      <c r="C72" s="516">
        <v>52</v>
      </c>
      <c r="D72" s="516" t="s">
        <v>1009</v>
      </c>
      <c r="E72" s="516">
        <f t="shared" si="3"/>
        <v>46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48" t="s">
        <v>1011</v>
      </c>
      <c r="Q72" s="539"/>
      <c r="R72" s="516" t="s">
        <v>49</v>
      </c>
      <c r="S72" s="516" t="s">
        <v>49</v>
      </c>
      <c r="T72" s="516"/>
      <c r="U72" s="516" t="s">
        <v>874</v>
      </c>
      <c r="V72" s="548" t="s">
        <v>54</v>
      </c>
      <c r="W72" s="541" t="s">
        <v>1012</v>
      </c>
      <c r="X72" s="516" t="s">
        <v>876</v>
      </c>
      <c r="Y72" s="542">
        <v>29276</v>
      </c>
      <c r="Z72" s="543">
        <f t="shared" ca="1" si="2"/>
        <v>45</v>
      </c>
      <c r="AA72" s="534" t="s">
        <v>1013</v>
      </c>
      <c r="AB72" s="516"/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804</v>
      </c>
      <c r="AH72" s="516"/>
      <c r="AI72" s="516"/>
      <c r="AJ72" s="516"/>
      <c r="AK72" s="516"/>
      <c r="AL72" s="544"/>
      <c r="AM72" s="544"/>
    </row>
    <row r="73" spans="2:39" ht="18" customHeight="1">
      <c r="C73" s="516">
        <v>53</v>
      </c>
      <c r="D73" s="516" t="s">
        <v>1010</v>
      </c>
      <c r="E73" s="516">
        <f t="shared" si="3"/>
        <v>47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62</v>
      </c>
      <c r="S73" s="516" t="s">
        <v>62</v>
      </c>
      <c r="T73" s="516"/>
      <c r="U73" s="516" t="s">
        <v>874</v>
      </c>
      <c r="V73" s="538" t="s">
        <v>22</v>
      </c>
      <c r="W73" s="541" t="s">
        <v>1014</v>
      </c>
      <c r="X73" s="516" t="s">
        <v>876</v>
      </c>
      <c r="Y73" s="542">
        <v>30920</v>
      </c>
      <c r="Z73" s="543">
        <f t="shared" ca="1" si="2"/>
        <v>41</v>
      </c>
      <c r="AA73" s="534" t="s">
        <v>1015</v>
      </c>
      <c r="AB73" s="516" t="s">
        <v>1016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2:39" ht="18" customHeight="1">
      <c r="C74" s="516">
        <v>54</v>
      </c>
      <c r="D74" s="516" t="s">
        <v>1017</v>
      </c>
      <c r="E74" s="516">
        <f t="shared" si="3"/>
        <v>48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1018</v>
      </c>
      <c r="S74" s="516" t="s">
        <v>1019</v>
      </c>
      <c r="T74" s="516"/>
      <c r="U74" s="516" t="s">
        <v>874</v>
      </c>
      <c r="V74" s="538" t="s">
        <v>77</v>
      </c>
      <c r="W74" s="541" t="s">
        <v>1020</v>
      </c>
      <c r="X74" s="516" t="s">
        <v>876</v>
      </c>
      <c r="Y74" s="542">
        <v>31700</v>
      </c>
      <c r="Z74" s="543">
        <f t="shared" ca="1" si="2"/>
        <v>39</v>
      </c>
      <c r="AA74" s="534" t="s">
        <v>1021</v>
      </c>
      <c r="AB74" s="516" t="s">
        <v>1022</v>
      </c>
      <c r="AC74" s="516" t="s">
        <v>802</v>
      </c>
      <c r="AD74" s="516" t="s">
        <v>794</v>
      </c>
      <c r="AE74" s="534" t="s">
        <v>809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2:39" ht="18" customHeight="1">
      <c r="C75" s="516">
        <v>55</v>
      </c>
      <c r="D75" s="516" t="s">
        <v>1023</v>
      </c>
      <c r="E75" s="516">
        <f t="shared" si="3"/>
        <v>49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1018</v>
      </c>
      <c r="S75" s="516" t="s">
        <v>18</v>
      </c>
      <c r="T75" s="516"/>
      <c r="U75" s="516" t="s">
        <v>874</v>
      </c>
      <c r="V75" s="538" t="s">
        <v>19</v>
      </c>
      <c r="W75" s="541"/>
      <c r="X75" s="516" t="s">
        <v>876</v>
      </c>
      <c r="Y75" s="542">
        <v>30683</v>
      </c>
      <c r="Z75" s="543">
        <f t="shared" ca="1" si="2"/>
        <v>42</v>
      </c>
      <c r="AA75" s="534" t="s">
        <v>1025</v>
      </c>
      <c r="AB75" s="516" t="s">
        <v>1026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804</v>
      </c>
      <c r="AH75" s="516"/>
      <c r="AI75" s="516"/>
      <c r="AJ75" s="516"/>
      <c r="AK75" s="516"/>
      <c r="AL75" s="544"/>
      <c r="AM75" s="544"/>
    </row>
    <row r="76" spans="2:39" ht="18" customHeight="1">
      <c r="C76" s="516">
        <v>56</v>
      </c>
      <c r="D76" s="516" t="s">
        <v>1027</v>
      </c>
      <c r="E76" s="516">
        <f t="shared" si="3"/>
        <v>50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1010</v>
      </c>
      <c r="M76" s="536" t="s">
        <v>786</v>
      </c>
      <c r="N76" s="537"/>
      <c r="O76" s="537"/>
      <c r="P76" s="538" t="s">
        <v>1011</v>
      </c>
      <c r="Q76" s="539"/>
      <c r="R76" s="516" t="s">
        <v>16</v>
      </c>
      <c r="S76" s="516" t="s">
        <v>16</v>
      </c>
      <c r="T76" s="516" t="s">
        <v>1028</v>
      </c>
      <c r="U76" s="516" t="s">
        <v>874</v>
      </c>
      <c r="V76" s="538" t="s">
        <v>12</v>
      </c>
      <c r="W76" s="541"/>
      <c r="X76" s="516" t="s">
        <v>876</v>
      </c>
      <c r="Y76" s="542">
        <v>29107</v>
      </c>
      <c r="Z76" s="543">
        <f t="shared" ca="1" si="2"/>
        <v>46</v>
      </c>
      <c r="AA76" s="534" t="s">
        <v>1030</v>
      </c>
      <c r="AB76" s="516" t="s">
        <v>801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796</v>
      </c>
      <c r="AH76" s="516"/>
      <c r="AI76" s="516"/>
      <c r="AJ76" s="516"/>
      <c r="AK76" s="516"/>
      <c r="AL76" s="544"/>
      <c r="AM76" s="544"/>
    </row>
    <row r="77" spans="2:39" ht="18" customHeight="1">
      <c r="C77" s="516">
        <v>57</v>
      </c>
      <c r="D77" s="516" t="s">
        <v>1031</v>
      </c>
      <c r="E77" s="516">
        <f t="shared" si="3"/>
        <v>51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1010</v>
      </c>
      <c r="M77" s="536" t="s">
        <v>786</v>
      </c>
      <c r="N77" s="537"/>
      <c r="O77" s="537"/>
      <c r="P77" s="538" t="s">
        <v>1011</v>
      </c>
      <c r="Q77" s="539"/>
      <c r="R77" s="516" t="s">
        <v>16</v>
      </c>
      <c r="S77" s="516" t="s">
        <v>16</v>
      </c>
      <c r="T77" s="516" t="s">
        <v>1028</v>
      </c>
      <c r="U77" s="516" t="s">
        <v>874</v>
      </c>
      <c r="V77" s="538" t="s">
        <v>15</v>
      </c>
      <c r="W77" s="541"/>
      <c r="X77" s="516" t="s">
        <v>876</v>
      </c>
      <c r="Y77" s="542">
        <v>29445</v>
      </c>
      <c r="Z77" s="543">
        <f t="shared" ca="1" si="2"/>
        <v>45</v>
      </c>
      <c r="AA77" s="534" t="s">
        <v>1033</v>
      </c>
      <c r="AB77" s="516" t="s">
        <v>1034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796</v>
      </c>
      <c r="AH77" s="516"/>
      <c r="AI77" s="516"/>
      <c r="AJ77" s="516"/>
      <c r="AK77" s="516"/>
      <c r="AL77" s="544"/>
      <c r="AM77" s="544"/>
    </row>
    <row r="78" spans="2:39" ht="18" customHeight="1">
      <c r="C78" s="516">
        <v>58</v>
      </c>
      <c r="D78" s="516" t="s">
        <v>1040</v>
      </c>
      <c r="E78" s="516">
        <f t="shared" si="3"/>
        <v>52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48" t="s">
        <v>2864</v>
      </c>
      <c r="Q78" s="539"/>
      <c r="R78" s="516" t="s">
        <v>62</v>
      </c>
      <c r="S78" s="516" t="s">
        <v>62</v>
      </c>
      <c r="T78" s="516" t="s">
        <v>1042</v>
      </c>
      <c r="U78" s="516" t="s">
        <v>874</v>
      </c>
      <c r="V78" s="548" t="s">
        <v>65</v>
      </c>
      <c r="W78" s="541"/>
      <c r="X78" s="516" t="s">
        <v>876</v>
      </c>
      <c r="Y78" s="542">
        <v>27958</v>
      </c>
      <c r="Z78" s="543">
        <f t="shared" ca="1" si="2"/>
        <v>49</v>
      </c>
      <c r="AA78" s="534" t="s">
        <v>1044</v>
      </c>
      <c r="AB78" s="516" t="s">
        <v>1045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2:39" ht="18" customHeight="1">
      <c r="C79" s="516">
        <v>59</v>
      </c>
      <c r="D79" s="516" t="s">
        <v>1046</v>
      </c>
      <c r="E79" s="516">
        <f t="shared" si="3"/>
        <v>53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 t="s">
        <v>1047</v>
      </c>
      <c r="U79" s="516" t="s">
        <v>874</v>
      </c>
      <c r="V79" s="538" t="s">
        <v>78</v>
      </c>
      <c r="W79" s="541"/>
      <c r="X79" s="516" t="s">
        <v>876</v>
      </c>
      <c r="Y79" s="542">
        <v>30623</v>
      </c>
      <c r="Z79" s="543">
        <f t="shared" ca="1" si="2"/>
        <v>42</v>
      </c>
      <c r="AA79" s="534" t="s">
        <v>1049</v>
      </c>
      <c r="AB79" s="516" t="s">
        <v>1050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796</v>
      </c>
      <c r="AH79" s="516"/>
      <c r="AI79" s="516"/>
      <c r="AJ79" s="516"/>
      <c r="AK79" s="516"/>
      <c r="AL79" s="544"/>
      <c r="AM79" s="544"/>
    </row>
    <row r="80" spans="2:39" ht="18" customHeight="1">
      <c r="C80" s="516">
        <v>60</v>
      </c>
      <c r="D80" s="516" t="s">
        <v>1051</v>
      </c>
      <c r="E80" s="516">
        <f t="shared" si="3"/>
        <v>54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898</v>
      </c>
      <c r="V80" s="538" t="s">
        <v>88</v>
      </c>
      <c r="W80" s="541"/>
      <c r="X80" s="516" t="s">
        <v>876</v>
      </c>
      <c r="Y80" s="542">
        <v>19533</v>
      </c>
      <c r="Z80" s="543">
        <f t="shared" ca="1" si="2"/>
        <v>72</v>
      </c>
      <c r="AA80" s="534" t="s">
        <v>1053</v>
      </c>
      <c r="AB80" s="516" t="s">
        <v>1054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1055</v>
      </c>
      <c r="E81" s="516">
        <f t="shared" si="3"/>
        <v>55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38" t="s">
        <v>98</v>
      </c>
      <c r="W81" s="541"/>
      <c r="X81" s="516" t="s">
        <v>876</v>
      </c>
      <c r="Y81" s="542">
        <v>26302</v>
      </c>
      <c r="Z81" s="543">
        <f t="shared" ca="1" si="2"/>
        <v>54</v>
      </c>
      <c r="AA81" s="534" t="s">
        <v>1057</v>
      </c>
      <c r="AB81" s="516" t="s">
        <v>1058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1059</v>
      </c>
      <c r="E82" s="516">
        <f t="shared" si="3"/>
        <v>56</v>
      </c>
      <c r="F82" s="534" t="s">
        <v>782</v>
      </c>
      <c r="G82" s="534" t="s">
        <v>869</v>
      </c>
      <c r="H82" s="535" t="s">
        <v>784</v>
      </c>
      <c r="I82" s="535" t="s">
        <v>9</v>
      </c>
      <c r="J82" s="535" t="s">
        <v>784</v>
      </c>
      <c r="K82" s="535" t="s">
        <v>1009</v>
      </c>
      <c r="L82" s="535" t="s">
        <v>1040</v>
      </c>
      <c r="M82" s="536" t="s">
        <v>786</v>
      </c>
      <c r="N82" s="537"/>
      <c r="O82" s="537"/>
      <c r="P82" s="538" t="s">
        <v>2864</v>
      </c>
      <c r="Q82" s="539"/>
      <c r="R82" s="516"/>
      <c r="S82" s="516"/>
      <c r="T82" s="516"/>
      <c r="U82" s="516" t="s">
        <v>874</v>
      </c>
      <c r="V82" s="538" t="s">
        <v>106</v>
      </c>
      <c r="W82" s="541"/>
      <c r="X82" s="516" t="s">
        <v>876</v>
      </c>
      <c r="Y82" s="542">
        <v>29493</v>
      </c>
      <c r="Z82" s="543">
        <f t="shared" ca="1" si="2"/>
        <v>45</v>
      </c>
      <c r="AA82" s="534" t="s">
        <v>1061</v>
      </c>
      <c r="AB82" s="516" t="s">
        <v>1062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1063</v>
      </c>
      <c r="E83" s="516">
        <f t="shared" si="3"/>
        <v>57</v>
      </c>
      <c r="F83" s="534" t="s">
        <v>782</v>
      </c>
      <c r="G83" s="534" t="s">
        <v>869</v>
      </c>
      <c r="H83" s="535" t="s">
        <v>784</v>
      </c>
      <c r="I83" s="535" t="s">
        <v>9</v>
      </c>
      <c r="J83" s="535" t="s">
        <v>784</v>
      </c>
      <c r="K83" s="535" t="s">
        <v>1009</v>
      </c>
      <c r="L83" s="535" t="s">
        <v>1040</v>
      </c>
      <c r="M83" s="536" t="s">
        <v>786</v>
      </c>
      <c r="N83" s="537"/>
      <c r="O83" s="537"/>
      <c r="P83" s="538" t="s">
        <v>2864</v>
      </c>
      <c r="Q83" s="539"/>
      <c r="R83" s="516"/>
      <c r="S83" s="516"/>
      <c r="T83" s="516"/>
      <c r="U83" s="516" t="s">
        <v>874</v>
      </c>
      <c r="V83" s="538" t="s">
        <v>114</v>
      </c>
      <c r="W83" s="541"/>
      <c r="X83" s="516" t="s">
        <v>876</v>
      </c>
      <c r="Y83" s="542">
        <v>28181</v>
      </c>
      <c r="Z83" s="543">
        <f t="shared" ca="1" si="2"/>
        <v>48</v>
      </c>
      <c r="AA83" s="534" t="s">
        <v>1065</v>
      </c>
      <c r="AB83" s="516" t="s">
        <v>1066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1067</v>
      </c>
      <c r="E84" s="516">
        <f t="shared" si="3"/>
        <v>58</v>
      </c>
      <c r="F84" s="534" t="s">
        <v>782</v>
      </c>
      <c r="G84" s="534" t="s">
        <v>869</v>
      </c>
      <c r="H84" s="535" t="s">
        <v>784</v>
      </c>
      <c r="I84" s="535" t="s">
        <v>9</v>
      </c>
      <c r="J84" s="535" t="s">
        <v>784</v>
      </c>
      <c r="K84" s="535" t="s">
        <v>1009</v>
      </c>
      <c r="L84" s="535" t="s">
        <v>1040</v>
      </c>
      <c r="M84" s="536" t="s">
        <v>786</v>
      </c>
      <c r="N84" s="537"/>
      <c r="O84" s="537"/>
      <c r="P84" s="538" t="s">
        <v>2864</v>
      </c>
      <c r="Q84" s="539"/>
      <c r="R84" s="516"/>
      <c r="S84" s="516"/>
      <c r="T84" s="516"/>
      <c r="U84" s="516" t="s">
        <v>874</v>
      </c>
      <c r="V84" s="559" t="s">
        <v>119</v>
      </c>
      <c r="W84" s="541"/>
      <c r="X84" s="516" t="s">
        <v>876</v>
      </c>
      <c r="Y84" s="542">
        <v>30002</v>
      </c>
      <c r="Z84" s="543">
        <f t="shared" ca="1" si="2"/>
        <v>43</v>
      </c>
      <c r="AA84" s="534" t="s">
        <v>1069</v>
      </c>
      <c r="AB84" s="516" t="s">
        <v>1070</v>
      </c>
      <c r="AC84" s="516" t="s">
        <v>802</v>
      </c>
      <c r="AD84" s="516" t="s">
        <v>794</v>
      </c>
      <c r="AE84" s="534" t="s">
        <v>795</v>
      </c>
      <c r="AF84" s="534" t="s">
        <v>795</v>
      </c>
      <c r="AG84" s="534" t="s">
        <v>804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1074</v>
      </c>
      <c r="E85" s="516">
        <f t="shared" si="3"/>
        <v>59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48" t="s">
        <v>1077</v>
      </c>
      <c r="Q85" s="539"/>
      <c r="R85" s="516" t="s">
        <v>49</v>
      </c>
      <c r="S85" s="516" t="s">
        <v>49</v>
      </c>
      <c r="T85" s="516"/>
      <c r="U85" s="516" t="s">
        <v>874</v>
      </c>
      <c r="V85" s="548" t="s">
        <v>55</v>
      </c>
      <c r="W85" s="541" t="s">
        <v>1078</v>
      </c>
      <c r="X85" s="516" t="s">
        <v>876</v>
      </c>
      <c r="Y85" s="542">
        <v>20944</v>
      </c>
      <c r="Z85" s="543">
        <f t="shared" ca="1" si="2"/>
        <v>68</v>
      </c>
      <c r="AA85" s="534" t="s">
        <v>1079</v>
      </c>
      <c r="AB85" s="516" t="s">
        <v>1080</v>
      </c>
      <c r="AC85" s="516" t="s">
        <v>802</v>
      </c>
      <c r="AD85" s="516" t="s">
        <v>794</v>
      </c>
      <c r="AE85" s="534" t="s">
        <v>809</v>
      </c>
      <c r="AF85" s="534" t="s">
        <v>795</v>
      </c>
      <c r="AG85" s="534" t="s">
        <v>796</v>
      </c>
      <c r="AH85" s="516"/>
      <c r="AI85" s="516"/>
      <c r="AJ85" s="516"/>
      <c r="AK85" s="516"/>
      <c r="AL85" s="544"/>
      <c r="AM85" s="544"/>
    </row>
    <row r="86" spans="3:39" ht="18" customHeight="1">
      <c r="C86" s="516">
        <v>66</v>
      </c>
      <c r="D86" s="516" t="s">
        <v>1076</v>
      </c>
      <c r="E86" s="516">
        <f t="shared" si="3"/>
        <v>60</v>
      </c>
      <c r="F86" s="534" t="s">
        <v>782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 t="s">
        <v>62</v>
      </c>
      <c r="S86" s="516" t="s">
        <v>62</v>
      </c>
      <c r="T86" s="516"/>
      <c r="U86" s="516" t="s">
        <v>874</v>
      </c>
      <c r="V86" s="538" t="s">
        <v>66</v>
      </c>
      <c r="W86" s="541" t="s">
        <v>1081</v>
      </c>
      <c r="X86" s="516" t="s">
        <v>876</v>
      </c>
      <c r="Y86" s="542">
        <v>23254</v>
      </c>
      <c r="Z86" s="543">
        <f t="shared" ca="1" si="2"/>
        <v>62</v>
      </c>
      <c r="AA86" s="534" t="s">
        <v>1082</v>
      </c>
      <c r="AB86" s="516"/>
      <c r="AC86" s="516" t="s">
        <v>842</v>
      </c>
      <c r="AD86" s="516" t="s">
        <v>851</v>
      </c>
      <c r="AE86" s="534" t="s">
        <v>809</v>
      </c>
      <c r="AF86" s="534" t="s">
        <v>795</v>
      </c>
      <c r="AG86" s="534"/>
      <c r="AH86" s="516"/>
      <c r="AI86" s="516"/>
      <c r="AJ86" s="565" t="s">
        <v>853</v>
      </c>
      <c r="AK86" s="516" t="s">
        <v>1083</v>
      </c>
      <c r="AL86" s="544"/>
      <c r="AM86" s="544"/>
    </row>
    <row r="87" spans="3:39" ht="18" customHeight="1">
      <c r="C87" s="516">
        <v>67</v>
      </c>
      <c r="D87" s="516" t="s">
        <v>1084</v>
      </c>
      <c r="E87" s="516">
        <f t="shared" si="3"/>
        <v>61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79</v>
      </c>
      <c r="W87" s="541" t="s">
        <v>1085</v>
      </c>
      <c r="X87" s="516" t="s">
        <v>876</v>
      </c>
      <c r="Y87" s="542">
        <v>22122</v>
      </c>
      <c r="Z87" s="543">
        <f t="shared" ca="1" si="2"/>
        <v>65</v>
      </c>
      <c r="AA87" s="534" t="s">
        <v>1086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1088</v>
      </c>
      <c r="E88" s="516">
        <f t="shared" si="3"/>
        <v>62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38" t="s">
        <v>1077</v>
      </c>
      <c r="Q88" s="539" t="s">
        <v>308</v>
      </c>
      <c r="R88" s="516"/>
      <c r="S88" s="516"/>
      <c r="T88" s="516"/>
      <c r="U88" s="516" t="s">
        <v>874</v>
      </c>
      <c r="V88" s="538" t="s">
        <v>89</v>
      </c>
      <c r="W88" s="541" t="s">
        <v>1089</v>
      </c>
      <c r="X88" s="516" t="s">
        <v>876</v>
      </c>
      <c r="Y88" s="542">
        <v>23214</v>
      </c>
      <c r="Z88" s="543">
        <f t="shared" ca="1" si="2"/>
        <v>62</v>
      </c>
      <c r="AA88" s="534" t="s">
        <v>1090</v>
      </c>
      <c r="AB88" s="516"/>
      <c r="AC88" s="516" t="s">
        <v>842</v>
      </c>
      <c r="AD88" s="516" t="s">
        <v>851</v>
      </c>
      <c r="AE88" s="534" t="s">
        <v>713</v>
      </c>
      <c r="AF88" s="566" t="s">
        <v>713</v>
      </c>
      <c r="AG88" s="534" t="s">
        <v>4249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1091</v>
      </c>
      <c r="E89" s="516">
        <f t="shared" si="3"/>
        <v>63</v>
      </c>
      <c r="F89" s="534" t="s">
        <v>811</v>
      </c>
      <c r="G89" s="534" t="s">
        <v>869</v>
      </c>
      <c r="H89" s="535" t="s">
        <v>784</v>
      </c>
      <c r="I89" s="535" t="s">
        <v>1075</v>
      </c>
      <c r="J89" s="535" t="s">
        <v>870</v>
      </c>
      <c r="K89" s="535" t="s">
        <v>1074</v>
      </c>
      <c r="L89" s="535" t="s">
        <v>1076</v>
      </c>
      <c r="M89" s="536" t="s">
        <v>786</v>
      </c>
      <c r="N89" s="537"/>
      <c r="O89" s="537"/>
      <c r="P89" s="559" t="s">
        <v>1077</v>
      </c>
      <c r="Q89" s="539" t="s">
        <v>308</v>
      </c>
      <c r="R89" s="516"/>
      <c r="S89" s="516"/>
      <c r="T89" s="516"/>
      <c r="U89" s="516" t="s">
        <v>874</v>
      </c>
      <c r="V89" s="559" t="s">
        <v>99</v>
      </c>
      <c r="W89" s="541" t="s">
        <v>1092</v>
      </c>
      <c r="X89" s="516" t="s">
        <v>876</v>
      </c>
      <c r="Y89" s="542">
        <v>24232</v>
      </c>
      <c r="Z89" s="543">
        <f t="shared" ca="1" si="2"/>
        <v>59</v>
      </c>
      <c r="AA89" s="534" t="s">
        <v>1093</v>
      </c>
      <c r="AB89" s="516"/>
      <c r="AC89" s="516" t="s">
        <v>842</v>
      </c>
      <c r="AD89" s="516" t="s">
        <v>843</v>
      </c>
      <c r="AE89" s="534" t="s">
        <v>713</v>
      </c>
      <c r="AF89" s="566" t="s">
        <v>713</v>
      </c>
      <c r="AG89" s="534" t="s">
        <v>4250</v>
      </c>
      <c r="AH89" s="516"/>
      <c r="AI89" s="516"/>
      <c r="AJ89" s="565" t="s">
        <v>1087</v>
      </c>
      <c r="AK89" s="516"/>
      <c r="AL89" s="544"/>
      <c r="AM89" s="544"/>
    </row>
    <row r="90" spans="3:39" ht="18" customHeight="1">
      <c r="C90" s="516">
        <v>70</v>
      </c>
      <c r="D90" s="516" t="s">
        <v>784</v>
      </c>
      <c r="E90" s="516">
        <f t="shared" si="3"/>
        <v>64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48" t="s">
        <v>787</v>
      </c>
      <c r="Q90" s="539"/>
      <c r="R90" s="516" t="s">
        <v>871</v>
      </c>
      <c r="S90" s="516" t="s">
        <v>10</v>
      </c>
      <c r="T90" s="516" t="s">
        <v>49</v>
      </c>
      <c r="U90" s="516" t="s">
        <v>788</v>
      </c>
      <c r="V90" s="548" t="s">
        <v>9</v>
      </c>
      <c r="W90" s="541" t="s">
        <v>1095</v>
      </c>
      <c r="X90" s="516" t="s">
        <v>876</v>
      </c>
      <c r="Y90" s="542">
        <v>31799</v>
      </c>
      <c r="Z90" s="543">
        <f t="shared" ca="1" si="2"/>
        <v>39</v>
      </c>
      <c r="AA90" s="534" t="s">
        <v>1096</v>
      </c>
      <c r="AB90" s="516" t="s">
        <v>1097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3"/>
        <v>65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2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3"/>
        <v>66</v>
      </c>
      <c r="F92" s="534" t="s">
        <v>782</v>
      </c>
      <c r="G92" s="534" t="s">
        <v>783</v>
      </c>
      <c r="H92" s="535" t="s">
        <v>784</v>
      </c>
      <c r="I92" s="535" t="s">
        <v>9</v>
      </c>
      <c r="J92" s="535" t="s">
        <v>784</v>
      </c>
      <c r="K92" s="535" t="s">
        <v>784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2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3"/>
        <v>67</v>
      </c>
      <c r="F93" s="534" t="s">
        <v>782</v>
      </c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2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3"/>
        <v>68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784</v>
      </c>
      <c r="L94" s="536" t="s">
        <v>786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2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3"/>
        <v>68</v>
      </c>
      <c r="F95" s="534"/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784</v>
      </c>
      <c r="L95" s="536" t="s">
        <v>786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2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3"/>
        <v>69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2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77</v>
      </c>
      <c r="D97" s="516" t="s">
        <v>1123</v>
      </c>
      <c r="E97" s="516">
        <f t="shared" si="3"/>
        <v>70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2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1:39" ht="18" customHeight="1">
      <c r="C98" s="516">
        <v>78</v>
      </c>
      <c r="D98" s="516" t="s">
        <v>1135</v>
      </c>
      <c r="E98" s="516">
        <f t="shared" si="3"/>
        <v>71</v>
      </c>
      <c r="F98" s="534" t="s">
        <v>782</v>
      </c>
      <c r="G98" s="534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 t="s">
        <v>1018</v>
      </c>
      <c r="S98" s="516"/>
      <c r="T98" s="516" t="s">
        <v>1036</v>
      </c>
      <c r="U98" s="516" t="s">
        <v>788</v>
      </c>
      <c r="V98" s="538" t="s">
        <v>20</v>
      </c>
      <c r="W98" s="541"/>
      <c r="X98" s="516" t="s">
        <v>790</v>
      </c>
      <c r="Y98" s="542">
        <v>33136</v>
      </c>
      <c r="Z98" s="543">
        <f t="shared" ca="1" si="2"/>
        <v>35</v>
      </c>
      <c r="AA98" s="534" t="s">
        <v>1137</v>
      </c>
      <c r="AB98" s="516" t="s">
        <v>1138</v>
      </c>
      <c r="AC98" s="516" t="s">
        <v>793</v>
      </c>
      <c r="AD98" s="516" t="s">
        <v>794</v>
      </c>
      <c r="AE98" s="534" t="s">
        <v>795</v>
      </c>
      <c r="AF98" s="534" t="s">
        <v>795</v>
      </c>
      <c r="AG98" s="534" t="s">
        <v>804</v>
      </c>
      <c r="AH98" s="516"/>
      <c r="AI98" s="516"/>
      <c r="AJ98" s="516"/>
      <c r="AK98" s="516"/>
      <c r="AL98" s="544"/>
      <c r="AM98" s="544"/>
    </row>
    <row r="99" spans="1:39" ht="18" customHeight="1">
      <c r="C99" s="516">
        <v>79</v>
      </c>
      <c r="D99" s="516" t="s">
        <v>1149</v>
      </c>
      <c r="E99" s="516">
        <f t="shared" si="3"/>
        <v>72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49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2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859</v>
      </c>
      <c r="AJ99" s="516"/>
      <c r="AK99" s="516" t="s">
        <v>860</v>
      </c>
      <c r="AL99" s="544"/>
      <c r="AM99" s="544"/>
    </row>
    <row r="100" spans="1:39" ht="18" customHeight="1">
      <c r="C100" s="516">
        <v>80</v>
      </c>
      <c r="D100" s="516" t="s">
        <v>1144</v>
      </c>
      <c r="E100" s="516">
        <f t="shared" si="3"/>
        <v>73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 t="s">
        <v>163</v>
      </c>
      <c r="S100" s="516" t="s">
        <v>1145</v>
      </c>
      <c r="T100" s="516" t="s">
        <v>49</v>
      </c>
      <c r="U100" s="516" t="s">
        <v>788</v>
      </c>
      <c r="V100" s="550" t="s">
        <v>107</v>
      </c>
      <c r="W100" s="541" t="s">
        <v>1146</v>
      </c>
      <c r="X100" s="516" t="s">
        <v>876</v>
      </c>
      <c r="Y100" s="542">
        <v>34746</v>
      </c>
      <c r="Z100" s="543">
        <f t="shared" ca="1" si="2"/>
        <v>30</v>
      </c>
      <c r="AA100" s="534" t="s">
        <v>1147</v>
      </c>
      <c r="AB100" s="516" t="s">
        <v>1148</v>
      </c>
      <c r="AC100" s="516" t="s">
        <v>793</v>
      </c>
      <c r="AD100" s="516" t="s">
        <v>794</v>
      </c>
      <c r="AE100" s="534" t="s">
        <v>815</v>
      </c>
      <c r="AF100" s="534" t="s">
        <v>795</v>
      </c>
      <c r="AG100" s="534" t="s">
        <v>796</v>
      </c>
      <c r="AH100" s="516"/>
      <c r="AI100" s="516"/>
      <c r="AJ100" s="516"/>
      <c r="AK100" s="516"/>
      <c r="AL100" s="544"/>
      <c r="AM100" s="544"/>
    </row>
    <row r="101" spans="1:39" ht="18" customHeight="1">
      <c r="C101" s="516">
        <v>81</v>
      </c>
      <c r="D101" s="516" t="s">
        <v>1153</v>
      </c>
      <c r="E101" s="516">
        <f t="shared" si="3"/>
        <v>74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2"/>
        <v>23</v>
      </c>
      <c r="AA101" s="534" t="s">
        <v>1155</v>
      </c>
      <c r="AB101" s="516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A102" s="753" t="s">
        <v>1113</v>
      </c>
      <c r="B102" s="754"/>
      <c r="C102" s="516">
        <v>82</v>
      </c>
      <c r="D102" s="516" t="s">
        <v>1139</v>
      </c>
      <c r="E102" s="516">
        <f t="shared" si="3"/>
        <v>75</v>
      </c>
      <c r="F102" s="534"/>
      <c r="G102" s="534" t="s">
        <v>783</v>
      </c>
      <c r="H102" s="535" t="s">
        <v>784</v>
      </c>
      <c r="I102" s="535" t="s">
        <v>9</v>
      </c>
      <c r="J102" s="535" t="s">
        <v>784</v>
      </c>
      <c r="K102" s="535" t="s">
        <v>1122</v>
      </c>
      <c r="L102" s="535" t="s">
        <v>1123</v>
      </c>
      <c r="M102" s="536" t="s">
        <v>786</v>
      </c>
      <c r="N102" s="537"/>
      <c r="O102" s="537"/>
      <c r="P102" s="538" t="s">
        <v>828</v>
      </c>
      <c r="Q102" s="539"/>
      <c r="R102" s="516"/>
      <c r="S102" s="516"/>
      <c r="T102" s="516"/>
      <c r="U102" s="516" t="s">
        <v>788</v>
      </c>
      <c r="V102" s="538" t="s">
        <v>100</v>
      </c>
      <c r="W102" s="541"/>
      <c r="X102" s="516" t="s">
        <v>876</v>
      </c>
      <c r="Y102" s="542">
        <v>36359</v>
      </c>
      <c r="Z102" s="543">
        <f t="shared" ca="1" si="2"/>
        <v>26</v>
      </c>
      <c r="AA102" s="534" t="s">
        <v>1141</v>
      </c>
      <c r="AB102" s="516"/>
      <c r="AC102" s="516" t="s">
        <v>793</v>
      </c>
      <c r="AD102" s="516" t="s">
        <v>794</v>
      </c>
      <c r="AE102" s="534" t="s">
        <v>795</v>
      </c>
      <c r="AF102" s="534" t="s">
        <v>795</v>
      </c>
      <c r="AG102" s="534" t="s">
        <v>796</v>
      </c>
      <c r="AH102" s="516"/>
      <c r="AI102" s="516"/>
      <c r="AJ102" s="516"/>
      <c r="AK102" s="516" t="s">
        <v>1143</v>
      </c>
      <c r="AL102" s="544"/>
      <c r="AM102" s="544"/>
    </row>
    <row r="103" spans="1:39" ht="18" customHeight="1">
      <c r="C103" s="516">
        <v>84</v>
      </c>
      <c r="D103" s="516" t="s">
        <v>1156</v>
      </c>
      <c r="E103" s="516">
        <f t="shared" si="3"/>
        <v>76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48" t="s">
        <v>787</v>
      </c>
      <c r="Q103" s="539"/>
      <c r="R103" s="516" t="s">
        <v>982</v>
      </c>
      <c r="S103" s="516" t="s">
        <v>163</v>
      </c>
      <c r="T103" s="516" t="s">
        <v>49</v>
      </c>
      <c r="U103" s="516" t="s">
        <v>898</v>
      </c>
      <c r="V103" s="548" t="s">
        <v>162</v>
      </c>
      <c r="W103" s="541" t="s">
        <v>1160</v>
      </c>
      <c r="X103" s="516" t="s">
        <v>876</v>
      </c>
      <c r="Y103" s="542">
        <v>18512</v>
      </c>
      <c r="Z103" s="543">
        <f t="shared" ca="1" si="2"/>
        <v>75</v>
      </c>
      <c r="AA103" s="534" t="s">
        <v>1161</v>
      </c>
      <c r="AB103" s="516" t="s">
        <v>1162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85</v>
      </c>
      <c r="D104" s="516" t="s">
        <v>1159</v>
      </c>
      <c r="E104" s="516">
        <f t="shared" si="3"/>
        <v>77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 t="s">
        <v>62</v>
      </c>
      <c r="U104" s="516" t="s">
        <v>898</v>
      </c>
      <c r="V104" s="538" t="s">
        <v>181</v>
      </c>
      <c r="W104" s="541" t="s">
        <v>1165</v>
      </c>
      <c r="X104" s="516" t="s">
        <v>790</v>
      </c>
      <c r="Y104" s="542">
        <v>19232</v>
      </c>
      <c r="Z104" s="543">
        <f t="shared" ca="1" si="2"/>
        <v>73</v>
      </c>
      <c r="AA104" s="534" t="s">
        <v>1166</v>
      </c>
      <c r="AB104" s="516" t="s">
        <v>1167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1164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85</v>
      </c>
      <c r="D105" s="516" t="s">
        <v>1168</v>
      </c>
      <c r="E105" s="516">
        <f t="shared" si="3"/>
        <v>78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898</v>
      </c>
      <c r="V105" s="538" t="s">
        <v>171</v>
      </c>
      <c r="W105" s="541" t="s">
        <v>1169</v>
      </c>
      <c r="X105" s="516" t="s">
        <v>876</v>
      </c>
      <c r="Y105" s="542">
        <v>19598</v>
      </c>
      <c r="Z105" s="543">
        <f t="shared" ca="1" si="2"/>
        <v>72</v>
      </c>
      <c r="AA105" s="534" t="s">
        <v>1170</v>
      </c>
      <c r="AB105" s="516" t="s">
        <v>1171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1172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86</v>
      </c>
      <c r="D106" s="516" t="s">
        <v>1173</v>
      </c>
      <c r="E106" s="516">
        <f t="shared" si="3"/>
        <v>79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49</v>
      </c>
      <c r="S106" s="516" t="s">
        <v>168</v>
      </c>
      <c r="T106" s="516"/>
      <c r="U106" s="516" t="s">
        <v>799</v>
      </c>
      <c r="V106" s="538" t="s">
        <v>169</v>
      </c>
      <c r="W106" s="541" t="s">
        <v>1174</v>
      </c>
      <c r="X106" s="516" t="s">
        <v>790</v>
      </c>
      <c r="Y106" s="542">
        <v>31834</v>
      </c>
      <c r="Z106" s="543">
        <f t="shared" ca="1" si="2"/>
        <v>38</v>
      </c>
      <c r="AA106" s="534" t="s">
        <v>1175</v>
      </c>
      <c r="AB106" s="516" t="s">
        <v>1176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1177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87</v>
      </c>
      <c r="D107" s="516" t="s">
        <v>1178</v>
      </c>
      <c r="E107" s="516">
        <f t="shared" si="3"/>
        <v>80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898</v>
      </c>
      <c r="V107" s="538" t="s">
        <v>243</v>
      </c>
      <c r="W107" s="541" t="s">
        <v>1179</v>
      </c>
      <c r="X107" s="516" t="s">
        <v>876</v>
      </c>
      <c r="Y107" s="542">
        <v>20283</v>
      </c>
      <c r="Z107" s="543">
        <f t="shared" ca="1" si="2"/>
        <v>70</v>
      </c>
      <c r="AA107" s="534" t="s">
        <v>1180</v>
      </c>
      <c r="AB107" s="516" t="s">
        <v>1181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88</v>
      </c>
      <c r="D108" s="516" t="s">
        <v>1182</v>
      </c>
      <c r="E108" s="516">
        <f t="shared" si="3"/>
        <v>81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163</v>
      </c>
      <c r="S108" s="516" t="s">
        <v>500</v>
      </c>
      <c r="T108" s="516"/>
      <c r="U108" s="516" t="s">
        <v>874</v>
      </c>
      <c r="V108" s="538" t="s">
        <v>260</v>
      </c>
      <c r="W108" s="541" t="s">
        <v>1183</v>
      </c>
      <c r="X108" s="516" t="s">
        <v>876</v>
      </c>
      <c r="Y108" s="542">
        <v>29437</v>
      </c>
      <c r="Z108" s="543">
        <f t="shared" ca="1" si="2"/>
        <v>45</v>
      </c>
      <c r="AA108" s="534" t="s">
        <v>1184</v>
      </c>
      <c r="AB108" s="516" t="s">
        <v>1185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89</v>
      </c>
      <c r="D109" s="516" t="s">
        <v>1186</v>
      </c>
      <c r="E109" s="516">
        <f t="shared" si="3"/>
        <v>82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275</v>
      </c>
      <c r="W109" s="541" t="s">
        <v>1187</v>
      </c>
      <c r="X109" s="516" t="s">
        <v>876</v>
      </c>
      <c r="Y109" s="542">
        <v>29090</v>
      </c>
      <c r="Z109" s="543">
        <f t="shared" ca="1" si="2"/>
        <v>46</v>
      </c>
      <c r="AA109" s="534" t="s">
        <v>1188</v>
      </c>
      <c r="AB109" s="516" t="s">
        <v>1189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90</v>
      </c>
      <c r="D110" s="516" t="s">
        <v>1190</v>
      </c>
      <c r="E110" s="516">
        <f t="shared" si="3"/>
        <v>83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38" t="s">
        <v>286</v>
      </c>
      <c r="W110" s="541" t="s">
        <v>1191</v>
      </c>
      <c r="X110" s="516" t="s">
        <v>876</v>
      </c>
      <c r="Y110" s="542">
        <v>24204</v>
      </c>
      <c r="Z110" s="543">
        <f t="shared" ca="1" si="2"/>
        <v>59</v>
      </c>
      <c r="AA110" s="534" t="s">
        <v>1192</v>
      </c>
      <c r="AB110" s="516" t="s">
        <v>1193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91</v>
      </c>
      <c r="D111" s="516" t="s">
        <v>1194</v>
      </c>
      <c r="E111" s="516">
        <f t="shared" si="3"/>
        <v>84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59" t="s">
        <v>787</v>
      </c>
      <c r="Q111" s="539"/>
      <c r="R111" s="516" t="s">
        <v>49</v>
      </c>
      <c r="S111" s="516" t="s">
        <v>168</v>
      </c>
      <c r="T111" s="516"/>
      <c r="U111" s="516" t="s">
        <v>874</v>
      </c>
      <c r="V111" s="559" t="s">
        <v>294</v>
      </c>
      <c r="W111" s="541" t="s">
        <v>1195</v>
      </c>
      <c r="X111" s="516" t="s">
        <v>876</v>
      </c>
      <c r="Y111" s="542">
        <v>25307</v>
      </c>
      <c r="Z111" s="543">
        <f t="shared" ca="1" si="2"/>
        <v>56</v>
      </c>
      <c r="AA111" s="534" t="s">
        <v>1196</v>
      </c>
      <c r="AB111" s="516" t="s">
        <v>1197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92</v>
      </c>
      <c r="D112" s="516" t="s">
        <v>1198</v>
      </c>
      <c r="E112" s="516">
        <f t="shared" si="3"/>
        <v>85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48" t="s">
        <v>828</v>
      </c>
      <c r="Q112" s="539"/>
      <c r="R112" s="516" t="s">
        <v>49</v>
      </c>
      <c r="S112" s="516" t="s">
        <v>49</v>
      </c>
      <c r="T112" s="516"/>
      <c r="U112" s="516" t="s">
        <v>898</v>
      </c>
      <c r="V112" s="548" t="s">
        <v>164</v>
      </c>
      <c r="W112" s="541" t="s">
        <v>1200</v>
      </c>
      <c r="X112" s="516" t="s">
        <v>876</v>
      </c>
      <c r="Y112" s="542">
        <v>18745</v>
      </c>
      <c r="Z112" s="543">
        <f t="shared" ca="1" si="2"/>
        <v>74</v>
      </c>
      <c r="AA112" s="534" t="s">
        <v>1201</v>
      </c>
      <c r="AB112" s="516" t="s">
        <v>1202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1164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1199</v>
      </c>
      <c r="E113" s="516">
        <f t="shared" si="3"/>
        <v>86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 t="s">
        <v>62</v>
      </c>
      <c r="S113" s="516" t="s">
        <v>62</v>
      </c>
      <c r="T113" s="516"/>
      <c r="U113" s="516" t="s">
        <v>898</v>
      </c>
      <c r="V113" s="538" t="s">
        <v>183</v>
      </c>
      <c r="W113" s="541" t="s">
        <v>1203</v>
      </c>
      <c r="X113" s="516" t="s">
        <v>876</v>
      </c>
      <c r="Y113" s="542">
        <v>18004</v>
      </c>
      <c r="Z113" s="543">
        <f t="shared" ca="1" si="2"/>
        <v>76</v>
      </c>
      <c r="AA113" s="534" t="s">
        <v>1204</v>
      </c>
      <c r="AB113" s="516" t="s">
        <v>1205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1206</v>
      </c>
      <c r="E114" s="516">
        <f t="shared" si="3"/>
        <v>87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202</v>
      </c>
      <c r="W114" s="541" t="s">
        <v>1207</v>
      </c>
      <c r="X114" s="516" t="s">
        <v>876</v>
      </c>
      <c r="Y114" s="542">
        <v>19128</v>
      </c>
      <c r="Z114" s="543">
        <f t="shared" ca="1" si="2"/>
        <v>73</v>
      </c>
      <c r="AA114" s="534" t="s">
        <v>1208</v>
      </c>
      <c r="AB114" s="516" t="s">
        <v>1209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1210</v>
      </c>
      <c r="E115" s="516">
        <f t="shared" si="3"/>
        <v>88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898</v>
      </c>
      <c r="V115" s="538" t="s">
        <v>224</v>
      </c>
      <c r="W115" s="541" t="s">
        <v>1211</v>
      </c>
      <c r="X115" s="516" t="s">
        <v>876</v>
      </c>
      <c r="Y115" s="542">
        <v>18579</v>
      </c>
      <c r="Z115" s="543">
        <f t="shared" ca="1" si="2"/>
        <v>75</v>
      </c>
      <c r="AA115" s="534" t="s">
        <v>1212</v>
      </c>
      <c r="AB115" s="516" t="s">
        <v>1213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1214</v>
      </c>
      <c r="E116" s="516">
        <f t="shared" si="3"/>
        <v>89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874</v>
      </c>
      <c r="V116" s="538" t="s">
        <v>244</v>
      </c>
      <c r="W116" s="541" t="s">
        <v>1215</v>
      </c>
      <c r="X116" s="516" t="s">
        <v>876</v>
      </c>
      <c r="Y116" s="542">
        <v>20739</v>
      </c>
      <c r="Z116" s="543">
        <f t="shared" ca="1" si="2"/>
        <v>69</v>
      </c>
      <c r="AA116" s="534" t="s">
        <v>1216</v>
      </c>
      <c r="AB116" s="516" t="s">
        <v>1217</v>
      </c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1172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1218</v>
      </c>
      <c r="E117" s="516">
        <f t="shared" si="3"/>
        <v>90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/>
      <c r="S117" s="516"/>
      <c r="T117" s="516"/>
      <c r="U117" s="516" t="s">
        <v>898</v>
      </c>
      <c r="V117" s="538" t="s">
        <v>1219</v>
      </c>
      <c r="W117" s="541" t="s">
        <v>1220</v>
      </c>
      <c r="X117" s="516" t="s">
        <v>876</v>
      </c>
      <c r="Y117" s="542">
        <v>17513</v>
      </c>
      <c r="Z117" s="543">
        <f t="shared" ca="1" si="2"/>
        <v>78</v>
      </c>
      <c r="AA117" s="534" t="s">
        <v>1221</v>
      </c>
      <c r="AB117" s="516" t="s">
        <v>1222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1223</v>
      </c>
      <c r="AH117" s="516"/>
      <c r="AI117" s="516"/>
      <c r="AJ117" s="569" t="s">
        <v>1224</v>
      </c>
      <c r="AK117" s="516" t="s">
        <v>2026</v>
      </c>
      <c r="AL117" s="544"/>
      <c r="AM117" s="544"/>
    </row>
    <row r="118" spans="3:39" ht="18" customHeight="1">
      <c r="C118" s="516">
        <v>98</v>
      </c>
      <c r="D118" s="516" t="s">
        <v>1225</v>
      </c>
      <c r="E118" s="516">
        <f t="shared" si="3"/>
        <v>91</v>
      </c>
      <c r="F118" s="534" t="s">
        <v>811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59" t="s">
        <v>828</v>
      </c>
      <c r="Q118" s="539"/>
      <c r="R118" s="516"/>
      <c r="S118" s="516"/>
      <c r="T118" s="516"/>
      <c r="U118" s="516" t="s">
        <v>874</v>
      </c>
      <c r="V118" s="559" t="s">
        <v>276</v>
      </c>
      <c r="W118" s="541" t="s">
        <v>1226</v>
      </c>
      <c r="X118" s="516" t="s">
        <v>876</v>
      </c>
      <c r="Y118" s="542">
        <v>21846</v>
      </c>
      <c r="Z118" s="543">
        <f t="shared" ca="1" si="2"/>
        <v>66</v>
      </c>
      <c r="AA118" s="534" t="s">
        <v>1227</v>
      </c>
      <c r="AB118" s="516" t="s">
        <v>1228</v>
      </c>
      <c r="AC118" s="516" t="s">
        <v>842</v>
      </c>
      <c r="AD118" s="516" t="s">
        <v>843</v>
      </c>
      <c r="AE118" s="534" t="s">
        <v>713</v>
      </c>
      <c r="AF118" s="534" t="s">
        <v>713</v>
      </c>
      <c r="AG118" s="534" t="s">
        <v>1229</v>
      </c>
      <c r="AH118" s="516"/>
      <c r="AI118" s="516"/>
      <c r="AJ118" s="569" t="s">
        <v>1224</v>
      </c>
      <c r="AK118" s="516"/>
      <c r="AL118" s="544"/>
      <c r="AM118" s="544"/>
    </row>
    <row r="119" spans="3:39" ht="18" customHeight="1">
      <c r="C119" s="516">
        <v>99</v>
      </c>
      <c r="D119" s="516" t="s">
        <v>1230</v>
      </c>
      <c r="E119" s="516">
        <f t="shared" si="3"/>
        <v>92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48" t="s">
        <v>938</v>
      </c>
      <c r="Q119" s="539"/>
      <c r="R119" s="516" t="s">
        <v>49</v>
      </c>
      <c r="S119" s="516" t="s">
        <v>49</v>
      </c>
      <c r="T119" s="516"/>
      <c r="U119" s="516" t="s">
        <v>799</v>
      </c>
      <c r="V119" s="548" t="s">
        <v>165</v>
      </c>
      <c r="W119" s="541" t="s">
        <v>1232</v>
      </c>
      <c r="X119" s="516" t="s">
        <v>790</v>
      </c>
      <c r="Y119" s="542">
        <v>27259</v>
      </c>
      <c r="Z119" s="543">
        <f t="shared" ca="1" si="2"/>
        <v>51</v>
      </c>
      <c r="AA119" s="534" t="s">
        <v>1233</v>
      </c>
      <c r="AB119" s="516" t="s">
        <v>1234</v>
      </c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1231</v>
      </c>
      <c r="E120" s="516">
        <f t="shared" si="3"/>
        <v>93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 t="s">
        <v>62</v>
      </c>
      <c r="S120" s="516" t="s">
        <v>62</v>
      </c>
      <c r="T120" s="516"/>
      <c r="U120" s="516" t="s">
        <v>788</v>
      </c>
      <c r="V120" s="538" t="s">
        <v>184</v>
      </c>
      <c r="W120" s="541" t="s">
        <v>1235</v>
      </c>
      <c r="X120" s="516" t="s">
        <v>790</v>
      </c>
      <c r="Y120" s="542">
        <v>34694</v>
      </c>
      <c r="Z120" s="543">
        <f t="shared" ca="1" si="2"/>
        <v>31</v>
      </c>
      <c r="AA120" s="534" t="s">
        <v>1236</v>
      </c>
      <c r="AB120" s="516" t="s">
        <v>1237</v>
      </c>
      <c r="AC120" s="516" t="s">
        <v>793</v>
      </c>
      <c r="AD120" s="516" t="s">
        <v>794</v>
      </c>
      <c r="AE120" s="534" t="s">
        <v>815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1238</v>
      </c>
      <c r="E121" s="516">
        <f t="shared" si="3"/>
        <v>94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898</v>
      </c>
      <c r="V121" s="538" t="s">
        <v>203</v>
      </c>
      <c r="W121" s="541" t="s">
        <v>1239</v>
      </c>
      <c r="X121" s="516" t="s">
        <v>790</v>
      </c>
      <c r="Y121" s="542">
        <v>19028</v>
      </c>
      <c r="Z121" s="543">
        <f t="shared" ca="1" si="2"/>
        <v>73</v>
      </c>
      <c r="AA121" s="534" t="s">
        <v>1240</v>
      </c>
      <c r="AB121" s="516" t="s">
        <v>1241</v>
      </c>
      <c r="AC121" s="516" t="s">
        <v>802</v>
      </c>
      <c r="AD121" s="516" t="s">
        <v>794</v>
      </c>
      <c r="AE121" s="534" t="s">
        <v>713</v>
      </c>
      <c r="AF121" s="534" t="s">
        <v>1163</v>
      </c>
      <c r="AG121" s="534" t="s">
        <v>1164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102</v>
      </c>
      <c r="D122" s="516" t="s">
        <v>1242</v>
      </c>
      <c r="E122" s="516">
        <f t="shared" si="3"/>
        <v>95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225</v>
      </c>
      <c r="W122" s="541" t="s">
        <v>1243</v>
      </c>
      <c r="X122" s="516" t="s">
        <v>790</v>
      </c>
      <c r="Y122" s="542">
        <v>28966</v>
      </c>
      <c r="Z122" s="543">
        <f t="shared" ca="1" si="2"/>
        <v>46</v>
      </c>
      <c r="AA122" s="534" t="s">
        <v>1244</v>
      </c>
      <c r="AB122" s="516" t="s">
        <v>1245</v>
      </c>
      <c r="AC122" s="516" t="s">
        <v>842</v>
      </c>
      <c r="AD122" s="516" t="s">
        <v>794</v>
      </c>
      <c r="AE122" s="534" t="s">
        <v>815</v>
      </c>
      <c r="AF122" s="534" t="s">
        <v>1163</v>
      </c>
      <c r="AG122" s="534" t="s">
        <v>1172</v>
      </c>
      <c r="AH122" s="516"/>
      <c r="AI122" s="516"/>
      <c r="AJ122" s="516"/>
      <c r="AK122" s="516"/>
      <c r="AL122" s="544"/>
      <c r="AM122" s="544"/>
    </row>
    <row r="123" spans="3:39" ht="18" customHeight="1">
      <c r="C123" s="516">
        <v>103</v>
      </c>
      <c r="D123" s="516" t="s">
        <v>1246</v>
      </c>
      <c r="E123" s="516">
        <f t="shared" si="3"/>
        <v>96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38" t="s">
        <v>938</v>
      </c>
      <c r="Q123" s="539"/>
      <c r="R123" s="516"/>
      <c r="S123" s="516"/>
      <c r="T123" s="516"/>
      <c r="U123" s="516" t="s">
        <v>799</v>
      </c>
      <c r="V123" s="538" t="s">
        <v>245</v>
      </c>
      <c r="W123" s="541" t="s">
        <v>1247</v>
      </c>
      <c r="X123" s="516" t="s">
        <v>790</v>
      </c>
      <c r="Y123" s="542">
        <v>30074</v>
      </c>
      <c r="Z123" s="543">
        <f t="shared" ca="1" si="2"/>
        <v>43</v>
      </c>
      <c r="AA123" s="534" t="s">
        <v>1248</v>
      </c>
      <c r="AB123" s="516" t="s">
        <v>1249</v>
      </c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1250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104</v>
      </c>
      <c r="D124" s="516" t="s">
        <v>1251</v>
      </c>
      <c r="E124" s="516">
        <f t="shared" si="3"/>
        <v>97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59" t="s">
        <v>938</v>
      </c>
      <c r="Q124" s="539"/>
      <c r="R124" s="516"/>
      <c r="S124" s="516"/>
      <c r="T124" s="516"/>
      <c r="U124" s="516" t="s">
        <v>799</v>
      </c>
      <c r="V124" s="559" t="s">
        <v>1252</v>
      </c>
      <c r="W124" s="541" t="s">
        <v>1253</v>
      </c>
      <c r="X124" s="516" t="s">
        <v>790</v>
      </c>
      <c r="Y124" s="542">
        <v>33779</v>
      </c>
      <c r="Z124" s="543">
        <f t="shared" ca="1" si="2"/>
        <v>33</v>
      </c>
      <c r="AA124" s="534" t="s">
        <v>1254</v>
      </c>
      <c r="AB124" s="516" t="s">
        <v>1255</v>
      </c>
      <c r="AC124" s="516" t="s">
        <v>842</v>
      </c>
      <c r="AD124" s="516" t="s">
        <v>851</v>
      </c>
      <c r="AE124" s="534" t="s">
        <v>1256</v>
      </c>
      <c r="AF124" s="534" t="s">
        <v>1256</v>
      </c>
      <c r="AG124" s="534" t="s">
        <v>1257</v>
      </c>
      <c r="AH124" s="516"/>
      <c r="AI124" s="516"/>
      <c r="AJ124" s="516" t="s">
        <v>867</v>
      </c>
      <c r="AK124" s="516"/>
      <c r="AL124" s="544"/>
      <c r="AM124" s="544"/>
    </row>
    <row r="125" spans="3:39" ht="18" customHeight="1">
      <c r="C125" s="516">
        <v>105</v>
      </c>
      <c r="D125" s="516" t="s">
        <v>1258</v>
      </c>
      <c r="E125" s="516">
        <f t="shared" si="3"/>
        <v>98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48" t="s">
        <v>978</v>
      </c>
      <c r="Q125" s="539"/>
      <c r="R125" s="516" t="s">
        <v>49</v>
      </c>
      <c r="S125" s="516" t="s">
        <v>49</v>
      </c>
      <c r="T125" s="516"/>
      <c r="U125" s="516" t="s">
        <v>874</v>
      </c>
      <c r="V125" s="548" t="s">
        <v>166</v>
      </c>
      <c r="W125" s="541" t="s">
        <v>1261</v>
      </c>
      <c r="X125" s="516" t="s">
        <v>876</v>
      </c>
      <c r="Y125" s="542">
        <v>21384</v>
      </c>
      <c r="Z125" s="543">
        <f t="shared" ca="1" si="2"/>
        <v>67</v>
      </c>
      <c r="AA125" s="534" t="s">
        <v>1262</v>
      </c>
      <c r="AB125" s="516" t="s">
        <v>1263</v>
      </c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1172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1259</v>
      </c>
      <c r="E126" s="516">
        <f t="shared" si="3"/>
        <v>99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 t="s">
        <v>62</v>
      </c>
      <c r="S126" s="516" t="s">
        <v>548</v>
      </c>
      <c r="T126" s="516"/>
      <c r="U126" s="516" t="s">
        <v>874</v>
      </c>
      <c r="V126" s="538" t="s">
        <v>185</v>
      </c>
      <c r="W126" s="541" t="s">
        <v>1264</v>
      </c>
      <c r="X126" s="516" t="s">
        <v>876</v>
      </c>
      <c r="Y126" s="542">
        <v>28476</v>
      </c>
      <c r="Z126" s="543">
        <f t="shared" ca="1" si="2"/>
        <v>48</v>
      </c>
      <c r="AA126" s="534" t="s">
        <v>1265</v>
      </c>
      <c r="AB126" s="516" t="s">
        <v>1266</v>
      </c>
      <c r="AC126" s="516" t="s">
        <v>802</v>
      </c>
      <c r="AD126" s="516" t="s">
        <v>794</v>
      </c>
      <c r="AE126" s="534" t="s">
        <v>815</v>
      </c>
      <c r="AF126" s="534" t="s">
        <v>1267</v>
      </c>
      <c r="AG126" s="534" t="s">
        <v>1268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1274</v>
      </c>
      <c r="E127" s="516">
        <f t="shared" si="3"/>
        <v>100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/>
      <c r="S127" s="516"/>
      <c r="T127" s="516"/>
      <c r="U127" s="516" t="s">
        <v>898</v>
      </c>
      <c r="V127" s="538" t="s">
        <v>204</v>
      </c>
      <c r="W127" s="541" t="s">
        <v>1275</v>
      </c>
      <c r="X127" s="516" t="s">
        <v>876</v>
      </c>
      <c r="Y127" s="542">
        <v>18355</v>
      </c>
      <c r="Z127" s="543">
        <f t="shared" ca="1" si="2"/>
        <v>75</v>
      </c>
      <c r="AA127" s="534" t="s">
        <v>1276</v>
      </c>
      <c r="AB127" s="516" t="s">
        <v>1277</v>
      </c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1172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108</v>
      </c>
      <c r="D128" s="516" t="s">
        <v>1260</v>
      </c>
      <c r="E128" s="516">
        <f t="shared" si="3"/>
        <v>101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38" t="s">
        <v>978</v>
      </c>
      <c r="Q128" s="539"/>
      <c r="R128" s="516" t="s">
        <v>62</v>
      </c>
      <c r="S128" s="516" t="s">
        <v>62</v>
      </c>
      <c r="T128" s="516"/>
      <c r="U128" s="516" t="s">
        <v>874</v>
      </c>
      <c r="V128" s="538" t="s">
        <v>226</v>
      </c>
      <c r="W128" s="541" t="s">
        <v>1269</v>
      </c>
      <c r="X128" s="516" t="s">
        <v>876</v>
      </c>
      <c r="Y128" s="542">
        <v>28476</v>
      </c>
      <c r="Z128" s="543">
        <f t="shared" ca="1" si="2"/>
        <v>48</v>
      </c>
      <c r="AA128" s="534" t="s">
        <v>1270</v>
      </c>
      <c r="AB128" s="516" t="s">
        <v>1271</v>
      </c>
      <c r="AC128" s="516" t="s">
        <v>802</v>
      </c>
      <c r="AD128" s="516" t="s">
        <v>794</v>
      </c>
      <c r="AE128" s="534" t="s">
        <v>815</v>
      </c>
      <c r="AF128" s="534" t="s">
        <v>1272</v>
      </c>
      <c r="AG128" s="534" t="s">
        <v>1273</v>
      </c>
      <c r="AH128" s="516"/>
      <c r="AI128" s="516"/>
      <c r="AJ128" s="516"/>
      <c r="AK128" s="516"/>
      <c r="AL128" s="544"/>
      <c r="AM128" s="544"/>
    </row>
    <row r="129" spans="3:39" ht="18" customHeight="1">
      <c r="C129" s="516">
        <v>109</v>
      </c>
      <c r="D129" s="516" t="s">
        <v>1278</v>
      </c>
      <c r="E129" s="516">
        <f t="shared" si="3"/>
        <v>102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70" t="s">
        <v>1260</v>
      </c>
      <c r="N129" s="537"/>
      <c r="O129" s="537"/>
      <c r="P129" s="559" t="s">
        <v>978</v>
      </c>
      <c r="Q129" s="539"/>
      <c r="R129" s="516"/>
      <c r="S129" s="516"/>
      <c r="T129" s="516"/>
      <c r="U129" s="516" t="s">
        <v>788</v>
      </c>
      <c r="V129" s="559" t="s">
        <v>1279</v>
      </c>
      <c r="W129" s="541" t="s">
        <v>1280</v>
      </c>
      <c r="X129" s="516" t="s">
        <v>876</v>
      </c>
      <c r="Y129" s="542">
        <v>32287</v>
      </c>
      <c r="Z129" s="543">
        <f t="shared" ca="1" si="2"/>
        <v>37</v>
      </c>
      <c r="AA129" s="534" t="s">
        <v>1281</v>
      </c>
      <c r="AB129" s="571"/>
      <c r="AC129" s="516" t="s">
        <v>842</v>
      </c>
      <c r="AD129" s="516" t="s">
        <v>843</v>
      </c>
      <c r="AE129" s="534" t="s">
        <v>815</v>
      </c>
      <c r="AF129" s="534" t="s">
        <v>815</v>
      </c>
      <c r="AG129" s="534" t="s">
        <v>1282</v>
      </c>
      <c r="AH129" s="516"/>
      <c r="AI129" s="516" t="s">
        <v>1283</v>
      </c>
      <c r="AJ129" s="516"/>
      <c r="AK129" s="572" t="s">
        <v>1284</v>
      </c>
      <c r="AL129" s="544"/>
      <c r="AM129" s="544"/>
    </row>
    <row r="130" spans="3:39" ht="18" customHeight="1">
      <c r="C130" s="516">
        <v>110</v>
      </c>
      <c r="D130" s="516" t="s">
        <v>1156</v>
      </c>
      <c r="E130" s="516">
        <f t="shared" si="3"/>
        <v>102</v>
      </c>
      <c r="F130" s="534"/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/>
      <c r="L130" s="535"/>
      <c r="M130" s="536"/>
      <c r="N130" s="537"/>
      <c r="O130" s="537"/>
      <c r="P130" s="548" t="s">
        <v>1011</v>
      </c>
      <c r="Q130" s="539" t="s">
        <v>1308</v>
      </c>
      <c r="R130" s="516" t="s">
        <v>49</v>
      </c>
      <c r="S130" s="516" t="s">
        <v>163</v>
      </c>
      <c r="T130" s="516" t="s">
        <v>49</v>
      </c>
      <c r="U130" s="516"/>
      <c r="V130" s="548" t="s">
        <v>162</v>
      </c>
      <c r="W130" s="541" t="s">
        <v>1160</v>
      </c>
      <c r="X130" s="516" t="s">
        <v>876</v>
      </c>
      <c r="Y130" s="542">
        <v>18512</v>
      </c>
      <c r="Z130" s="543">
        <f t="shared" ca="1" si="2"/>
        <v>75</v>
      </c>
      <c r="AA130" s="534" t="s">
        <v>1161</v>
      </c>
      <c r="AB130" s="516"/>
      <c r="AC130" s="516" t="s">
        <v>802</v>
      </c>
      <c r="AD130" s="516" t="s">
        <v>794</v>
      </c>
      <c r="AE130" s="534" t="s">
        <v>713</v>
      </c>
      <c r="AF130" s="534" t="s">
        <v>1163</v>
      </c>
      <c r="AG130" s="534" t="s">
        <v>1164</v>
      </c>
      <c r="AH130" s="516" t="s">
        <v>872</v>
      </c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1309</v>
      </c>
      <c r="E131" s="516">
        <f t="shared" si="3"/>
        <v>103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186</v>
      </c>
      <c r="W131" s="541" t="s">
        <v>1311</v>
      </c>
      <c r="X131" s="516" t="s">
        <v>876</v>
      </c>
      <c r="Y131" s="542">
        <v>22348</v>
      </c>
      <c r="Z131" s="543">
        <f t="shared" ca="1" si="2"/>
        <v>64</v>
      </c>
      <c r="AA131" s="534" t="s">
        <v>1312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112</v>
      </c>
      <c r="D132" s="516" t="s">
        <v>1314</v>
      </c>
      <c r="E132" s="516">
        <f t="shared" si="3"/>
        <v>104</v>
      </c>
      <c r="F132" s="534" t="s">
        <v>1310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38" t="s">
        <v>1011</v>
      </c>
      <c r="Q132" s="539" t="s">
        <v>308</v>
      </c>
      <c r="R132" s="516"/>
      <c r="S132" s="516"/>
      <c r="T132" s="516"/>
      <c r="U132" s="516" t="s">
        <v>874</v>
      </c>
      <c r="V132" s="538" t="s">
        <v>1315</v>
      </c>
      <c r="W132" s="541" t="s">
        <v>1316</v>
      </c>
      <c r="X132" s="516" t="s">
        <v>876</v>
      </c>
      <c r="Y132" s="542">
        <v>25612</v>
      </c>
      <c r="Z132" s="543">
        <f t="shared" ca="1" si="2"/>
        <v>55</v>
      </c>
      <c r="AA132" s="534" t="s">
        <v>1317</v>
      </c>
      <c r="AB132" s="571"/>
      <c r="AC132" s="516" t="s">
        <v>842</v>
      </c>
      <c r="AD132" s="516" t="s">
        <v>843</v>
      </c>
      <c r="AE132" s="534" t="s">
        <v>713</v>
      </c>
      <c r="AF132" s="534" t="s">
        <v>713</v>
      </c>
      <c r="AG132" s="534" t="s">
        <v>1313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113</v>
      </c>
      <c r="D133" s="516" t="s">
        <v>1285</v>
      </c>
      <c r="E133" s="516">
        <f t="shared" si="3"/>
        <v>105</v>
      </c>
      <c r="F133" s="534" t="s">
        <v>811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1156</v>
      </c>
      <c r="L133" s="535" t="s">
        <v>786</v>
      </c>
      <c r="M133" s="536"/>
      <c r="N133" s="537"/>
      <c r="O133" s="537"/>
      <c r="P133" s="559" t="s">
        <v>1011</v>
      </c>
      <c r="Q133" s="539" t="s">
        <v>308</v>
      </c>
      <c r="R133" s="516"/>
      <c r="S133" s="516"/>
      <c r="T133" s="516"/>
      <c r="U133" s="516" t="s">
        <v>874</v>
      </c>
      <c r="V133" s="559" t="s">
        <v>205</v>
      </c>
      <c r="W133" s="541" t="s">
        <v>1286</v>
      </c>
      <c r="X133" s="516" t="s">
        <v>876</v>
      </c>
      <c r="Y133" s="542">
        <v>27696</v>
      </c>
      <c r="Z133" s="543">
        <f t="shared" ca="1" si="2"/>
        <v>50</v>
      </c>
      <c r="AA133" s="534" t="s">
        <v>1287</v>
      </c>
      <c r="AB133" s="516" t="s">
        <v>1288</v>
      </c>
      <c r="AC133" s="516" t="s">
        <v>842</v>
      </c>
      <c r="AD133" s="516" t="s">
        <v>851</v>
      </c>
      <c r="AE133" s="534" t="s">
        <v>815</v>
      </c>
      <c r="AF133" s="534" t="s">
        <v>1289</v>
      </c>
      <c r="AG133" s="534" t="s">
        <v>1290</v>
      </c>
      <c r="AH133" s="516"/>
      <c r="AI133" s="516"/>
      <c r="AJ133" s="516" t="s">
        <v>971</v>
      </c>
      <c r="AK133" s="516"/>
      <c r="AL133" s="544"/>
      <c r="AM133" s="544"/>
    </row>
    <row r="134" spans="3:39" ht="18" customHeight="1">
      <c r="C134" s="516">
        <v>114</v>
      </c>
      <c r="D134" s="516" t="s">
        <v>1182</v>
      </c>
      <c r="E134" s="516">
        <f t="shared" si="3"/>
        <v>105</v>
      </c>
      <c r="F134" s="534"/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48" t="s">
        <v>787</v>
      </c>
      <c r="Q134" s="539"/>
      <c r="R134" s="516" t="s">
        <v>163</v>
      </c>
      <c r="S134" s="516" t="s">
        <v>500</v>
      </c>
      <c r="T134" s="516" t="s">
        <v>49</v>
      </c>
      <c r="U134" s="516"/>
      <c r="V134" s="548" t="s">
        <v>260</v>
      </c>
      <c r="W134" s="541" t="s">
        <v>1183</v>
      </c>
      <c r="X134" s="516" t="s">
        <v>876</v>
      </c>
      <c r="Y134" s="542">
        <v>29437</v>
      </c>
      <c r="Z134" s="543">
        <f t="shared" ca="1" si="2"/>
        <v>45</v>
      </c>
      <c r="AA134" s="534" t="s">
        <v>1184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1172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1319</v>
      </c>
      <c r="E135" s="516">
        <f t="shared" si="3"/>
        <v>106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1182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788</v>
      </c>
      <c r="V135" s="538" t="s">
        <v>345</v>
      </c>
      <c r="W135" s="541" t="s">
        <v>1321</v>
      </c>
      <c r="X135" s="516" t="s">
        <v>876</v>
      </c>
      <c r="Y135" s="542">
        <v>33229</v>
      </c>
      <c r="Z135" s="543">
        <f t="shared" ca="1" si="2"/>
        <v>35</v>
      </c>
      <c r="AA135" s="534" t="s">
        <v>1322</v>
      </c>
      <c r="AB135" s="516" t="s">
        <v>1323</v>
      </c>
      <c r="AC135" s="516" t="s">
        <v>842</v>
      </c>
      <c r="AD135" s="516" t="s">
        <v>851</v>
      </c>
      <c r="AE135" s="534" t="s">
        <v>713</v>
      </c>
      <c r="AF135" s="534" t="s">
        <v>1163</v>
      </c>
      <c r="AG135" s="534" t="s">
        <v>1324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116</v>
      </c>
      <c r="D136" s="516" t="s">
        <v>1320</v>
      </c>
      <c r="E136" s="516">
        <f t="shared" si="3"/>
        <v>107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1325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 t="s">
        <v>62</v>
      </c>
      <c r="S136" s="516" t="s">
        <v>548</v>
      </c>
      <c r="T136" s="516"/>
      <c r="U136" s="516" t="s">
        <v>874</v>
      </c>
      <c r="V136" s="538" t="s">
        <v>1326</v>
      </c>
      <c r="W136" s="541" t="s">
        <v>1327</v>
      </c>
      <c r="X136" s="516" t="s">
        <v>876</v>
      </c>
      <c r="Y136" s="542">
        <v>34252</v>
      </c>
      <c r="Z136" s="543">
        <f t="shared" ca="1" si="2"/>
        <v>32</v>
      </c>
      <c r="AA136" s="534" t="s">
        <v>1328</v>
      </c>
      <c r="AB136" s="516" t="s">
        <v>1329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1229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117</v>
      </c>
      <c r="D137" s="516" t="s">
        <v>1330</v>
      </c>
      <c r="E137" s="516">
        <f t="shared" si="3"/>
        <v>108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874</v>
      </c>
      <c r="V137" s="538" t="s">
        <v>359</v>
      </c>
      <c r="W137" s="541" t="s">
        <v>1331</v>
      </c>
      <c r="X137" s="516" t="s">
        <v>876</v>
      </c>
      <c r="Y137" s="542">
        <v>30747</v>
      </c>
      <c r="Z137" s="543">
        <f t="shared" ca="1" si="2"/>
        <v>41</v>
      </c>
      <c r="AA137" s="534" t="s">
        <v>1332</v>
      </c>
      <c r="AB137" s="516" t="s">
        <v>1333</v>
      </c>
      <c r="AC137" s="516" t="s">
        <v>842</v>
      </c>
      <c r="AD137" s="516" t="s">
        <v>851</v>
      </c>
      <c r="AE137" s="534" t="s">
        <v>713</v>
      </c>
      <c r="AF137" s="534" t="s">
        <v>713</v>
      </c>
      <c r="AG137" s="534" t="s">
        <v>1313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118</v>
      </c>
      <c r="D138" s="516" t="s">
        <v>1334</v>
      </c>
      <c r="E138" s="516">
        <f t="shared" si="3"/>
        <v>109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372</v>
      </c>
      <c r="W138" s="541" t="s">
        <v>1335</v>
      </c>
      <c r="X138" s="516" t="s">
        <v>876</v>
      </c>
      <c r="Y138" s="542">
        <v>31903</v>
      </c>
      <c r="Z138" s="543">
        <f t="shared" ca="1" si="2"/>
        <v>38</v>
      </c>
      <c r="AA138" s="534" t="s">
        <v>1336</v>
      </c>
      <c r="AB138" s="516" t="s">
        <v>1337</v>
      </c>
      <c r="AC138" s="516" t="s">
        <v>842</v>
      </c>
      <c r="AD138" s="516" t="s">
        <v>851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119</v>
      </c>
      <c r="D139" s="516" t="s">
        <v>1339</v>
      </c>
      <c r="E139" s="516">
        <f t="shared" si="3"/>
        <v>110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385</v>
      </c>
      <c r="W139" s="541" t="s">
        <v>1340</v>
      </c>
      <c r="X139" s="516" t="s">
        <v>876</v>
      </c>
      <c r="Y139" s="542">
        <v>31903</v>
      </c>
      <c r="Z139" s="543">
        <f t="shared" ca="1" si="2"/>
        <v>38</v>
      </c>
      <c r="AA139" s="534" t="s">
        <v>1341</v>
      </c>
      <c r="AB139" s="516" t="s">
        <v>1342</v>
      </c>
      <c r="AC139" s="516" t="s">
        <v>793</v>
      </c>
      <c r="AD139" s="516" t="s">
        <v>794</v>
      </c>
      <c r="AE139" s="534" t="s">
        <v>1256</v>
      </c>
      <c r="AF139" s="534" t="s">
        <v>1256</v>
      </c>
      <c r="AG139" s="534" t="s">
        <v>1338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1343</v>
      </c>
      <c r="E140" s="516">
        <f t="shared" si="3"/>
        <v>111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/>
      <c r="S140" s="516"/>
      <c r="T140" s="516"/>
      <c r="U140" s="516" t="s">
        <v>788</v>
      </c>
      <c r="V140" s="538" t="s">
        <v>397</v>
      </c>
      <c r="W140" s="541" t="s">
        <v>1344</v>
      </c>
      <c r="X140" s="516" t="s">
        <v>876</v>
      </c>
      <c r="Y140" s="542">
        <v>38235</v>
      </c>
      <c r="Z140" s="543">
        <f t="shared" ca="1" si="2"/>
        <v>21</v>
      </c>
      <c r="AA140" s="534" t="s">
        <v>1345</v>
      </c>
      <c r="AB140" s="516" t="s">
        <v>1346</v>
      </c>
      <c r="AC140" s="516" t="s">
        <v>842</v>
      </c>
      <c r="AD140" s="516" t="s">
        <v>843</v>
      </c>
      <c r="AE140" s="534" t="s">
        <v>815</v>
      </c>
      <c r="AF140" s="534" t="s">
        <v>713</v>
      </c>
      <c r="AG140" s="534" t="s">
        <v>1347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1348</v>
      </c>
      <c r="E141" s="516">
        <f t="shared" si="3"/>
        <v>112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874</v>
      </c>
      <c r="V141" s="538" t="s">
        <v>409</v>
      </c>
      <c r="W141" s="541" t="s">
        <v>1349</v>
      </c>
      <c r="X141" s="516" t="s">
        <v>876</v>
      </c>
      <c r="Y141" s="542">
        <v>29402</v>
      </c>
      <c r="Z141" s="543">
        <f t="shared" ca="1" si="2"/>
        <v>45</v>
      </c>
      <c r="AA141" s="534" t="s">
        <v>1350</v>
      </c>
      <c r="AB141" s="516" t="s">
        <v>1351</v>
      </c>
      <c r="AC141" s="516" t="s">
        <v>842</v>
      </c>
      <c r="AD141" s="516" t="s">
        <v>851</v>
      </c>
      <c r="AE141" s="534" t="s">
        <v>713</v>
      </c>
      <c r="AF141" s="566" t="s">
        <v>713</v>
      </c>
      <c r="AG141" s="534" t="s">
        <v>4251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122</v>
      </c>
      <c r="D142" s="516" t="s">
        <v>1353</v>
      </c>
      <c r="E142" s="516">
        <f t="shared" si="3"/>
        <v>113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416</v>
      </c>
      <c r="W142" s="541" t="s">
        <v>1354</v>
      </c>
      <c r="X142" s="516" t="s">
        <v>876</v>
      </c>
      <c r="Y142" s="542">
        <v>32595</v>
      </c>
      <c r="Z142" s="543">
        <f t="shared" ca="1" si="2"/>
        <v>36</v>
      </c>
      <c r="AA142" s="534" t="s">
        <v>1355</v>
      </c>
      <c r="AB142" s="516" t="s">
        <v>1356</v>
      </c>
      <c r="AC142" s="516" t="s">
        <v>842</v>
      </c>
      <c r="AD142" s="516" t="s">
        <v>843</v>
      </c>
      <c r="AE142" s="534" t="s">
        <v>4252</v>
      </c>
      <c r="AF142" s="566" t="s">
        <v>713</v>
      </c>
      <c r="AG142" s="566" t="s">
        <v>1313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123</v>
      </c>
      <c r="D143" s="516" t="s">
        <v>1357</v>
      </c>
      <c r="E143" s="516">
        <f t="shared" si="3"/>
        <v>114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424</v>
      </c>
      <c r="W143" s="541" t="s">
        <v>1358</v>
      </c>
      <c r="X143" s="516" t="s">
        <v>876</v>
      </c>
      <c r="Y143" s="542">
        <v>36641</v>
      </c>
      <c r="Z143" s="543">
        <f t="shared" ca="1" si="2"/>
        <v>25</v>
      </c>
      <c r="AA143" s="534" t="s">
        <v>4253</v>
      </c>
      <c r="AB143" s="516" t="s">
        <v>1360</v>
      </c>
      <c r="AC143" s="516" t="s">
        <v>842</v>
      </c>
      <c r="AD143" s="516" t="s">
        <v>843</v>
      </c>
      <c r="AE143" s="534" t="s">
        <v>4254</v>
      </c>
      <c r="AF143" s="566" t="s">
        <v>713</v>
      </c>
      <c r="AG143" s="534" t="s">
        <v>4255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124</v>
      </c>
      <c r="D144" s="516" t="s">
        <v>1362</v>
      </c>
      <c r="E144" s="516">
        <f t="shared" si="3"/>
        <v>115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788</v>
      </c>
      <c r="V144" s="538" t="s">
        <v>430</v>
      </c>
      <c r="W144" s="541" t="s">
        <v>1363</v>
      </c>
      <c r="X144" s="516" t="s">
        <v>876</v>
      </c>
      <c r="Y144" s="542">
        <v>36882</v>
      </c>
      <c r="Z144" s="543">
        <f t="shared" ca="1" si="2"/>
        <v>25</v>
      </c>
      <c r="AA144" s="534" t="s">
        <v>4256</v>
      </c>
      <c r="AB144" s="516" t="s">
        <v>1365</v>
      </c>
      <c r="AC144" s="516" t="s">
        <v>842</v>
      </c>
      <c r="AD144" s="516" t="s">
        <v>843</v>
      </c>
      <c r="AE144" s="534" t="s">
        <v>4257</v>
      </c>
      <c r="AF144" s="534" t="s">
        <v>1256</v>
      </c>
      <c r="AG144" s="574" t="s">
        <v>1338</v>
      </c>
      <c r="AH144" s="516"/>
      <c r="AI144" s="516"/>
      <c r="AJ144" s="565"/>
      <c r="AK144" s="516"/>
      <c r="AL144" s="544"/>
      <c r="AM144" s="544"/>
    </row>
    <row r="145" spans="3:39" ht="18" customHeight="1">
      <c r="C145" s="516">
        <v>125</v>
      </c>
      <c r="D145" s="516" t="s">
        <v>1366</v>
      </c>
      <c r="E145" s="516">
        <f t="shared" si="3"/>
        <v>116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433</v>
      </c>
      <c r="W145" s="541" t="s">
        <v>1367</v>
      </c>
      <c r="X145" s="516" t="s">
        <v>876</v>
      </c>
      <c r="Y145" s="542">
        <v>30868</v>
      </c>
      <c r="Z145" s="543">
        <f t="shared" ca="1" si="2"/>
        <v>41</v>
      </c>
      <c r="AA145" s="534" t="s">
        <v>1368</v>
      </c>
      <c r="AB145" s="516" t="s">
        <v>1369</v>
      </c>
      <c r="AC145" s="516" t="s">
        <v>842</v>
      </c>
      <c r="AD145" s="516" t="s">
        <v>843</v>
      </c>
      <c r="AE145" s="534" t="s">
        <v>4254</v>
      </c>
      <c r="AF145" s="534" t="s">
        <v>713</v>
      </c>
      <c r="AG145" s="534" t="s">
        <v>1229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126</v>
      </c>
      <c r="D146" s="516" t="s">
        <v>1370</v>
      </c>
      <c r="E146" s="516">
        <f t="shared" si="3"/>
        <v>117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435</v>
      </c>
      <c r="W146" s="541" t="s">
        <v>1371</v>
      </c>
      <c r="X146" s="516" t="s">
        <v>876</v>
      </c>
      <c r="Y146" s="542">
        <v>32006</v>
      </c>
      <c r="Z146" s="543">
        <f t="shared" ca="1" si="2"/>
        <v>38</v>
      </c>
      <c r="AA146" s="534" t="s">
        <v>1372</v>
      </c>
      <c r="AB146" s="516"/>
      <c r="AC146" s="516" t="s">
        <v>842</v>
      </c>
      <c r="AD146" s="516" t="s">
        <v>843</v>
      </c>
      <c r="AE146" s="534" t="s">
        <v>4254</v>
      </c>
      <c r="AF146" s="534" t="s">
        <v>713</v>
      </c>
      <c r="AG146" s="534" t="s">
        <v>1373</v>
      </c>
      <c r="AH146" s="516"/>
      <c r="AI146" s="516"/>
      <c r="AJ146" s="569" t="s">
        <v>1224</v>
      </c>
      <c r="AK146" s="516"/>
      <c r="AL146" s="544"/>
      <c r="AM146" s="544"/>
    </row>
    <row r="147" spans="3:39" ht="18" customHeight="1">
      <c r="C147" s="516">
        <v>127</v>
      </c>
      <c r="D147" s="516" t="s">
        <v>1374</v>
      </c>
      <c r="E147" s="516">
        <f t="shared" si="3"/>
        <v>118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874</v>
      </c>
      <c r="V147" s="538" t="s">
        <v>1375</v>
      </c>
      <c r="W147" s="541" t="s">
        <v>1376</v>
      </c>
      <c r="X147" s="516" t="s">
        <v>876</v>
      </c>
      <c r="Y147" s="542">
        <v>34187</v>
      </c>
      <c r="Z147" s="543">
        <f t="shared" ca="1" si="2"/>
        <v>32</v>
      </c>
      <c r="AA147" s="534" t="s">
        <v>1377</v>
      </c>
      <c r="AB147" s="516" t="s">
        <v>1378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1177</v>
      </c>
      <c r="AH147" s="516"/>
      <c r="AI147" s="516" t="s">
        <v>1379</v>
      </c>
      <c r="AJ147" s="516" t="s">
        <v>867</v>
      </c>
      <c r="AK147" s="516"/>
      <c r="AL147" s="544"/>
      <c r="AM147" s="544"/>
    </row>
    <row r="148" spans="3:39" ht="18" customHeight="1">
      <c r="C148" s="516">
        <v>128</v>
      </c>
      <c r="D148" s="516" t="s">
        <v>1380</v>
      </c>
      <c r="E148" s="516">
        <f t="shared" si="3"/>
        <v>119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/>
      <c r="R148" s="516"/>
      <c r="S148" s="516"/>
      <c r="T148" s="516"/>
      <c r="U148" s="516" t="s">
        <v>788</v>
      </c>
      <c r="V148" s="538" t="s">
        <v>1381</v>
      </c>
      <c r="W148" s="541" t="s">
        <v>1382</v>
      </c>
      <c r="X148" s="516" t="s">
        <v>876</v>
      </c>
      <c r="Y148" s="542">
        <v>37337</v>
      </c>
      <c r="Z148" s="543">
        <f t="shared" ca="1" si="2"/>
        <v>23</v>
      </c>
      <c r="AA148" s="534" t="s">
        <v>1383</v>
      </c>
      <c r="AB148" s="516" t="s">
        <v>1384</v>
      </c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1385</v>
      </c>
      <c r="AH148" s="516"/>
      <c r="AI148" s="516" t="s">
        <v>1386</v>
      </c>
      <c r="AJ148" s="516" t="s">
        <v>867</v>
      </c>
      <c r="AK148" s="516"/>
      <c r="AL148" s="544"/>
      <c r="AM148" s="544"/>
    </row>
    <row r="149" spans="3:39" ht="18" customHeight="1">
      <c r="C149" s="516">
        <v>129</v>
      </c>
      <c r="D149" s="516" t="s">
        <v>1387</v>
      </c>
      <c r="E149" s="516">
        <f t="shared" si="3"/>
        <v>120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1325</v>
      </c>
      <c r="L149" s="535" t="s">
        <v>1319</v>
      </c>
      <c r="M149" s="536" t="s">
        <v>1320</v>
      </c>
      <c r="N149" s="537"/>
      <c r="O149" s="537"/>
      <c r="P149" s="559" t="s">
        <v>787</v>
      </c>
      <c r="Q149" s="539"/>
      <c r="R149" s="516"/>
      <c r="S149" s="516"/>
      <c r="T149" s="516"/>
      <c r="U149" s="516" t="s">
        <v>788</v>
      </c>
      <c r="V149" s="559" t="s">
        <v>1388</v>
      </c>
      <c r="W149" s="541" t="s">
        <v>1389</v>
      </c>
      <c r="X149" s="516" t="s">
        <v>876</v>
      </c>
      <c r="Y149" s="542">
        <v>35479</v>
      </c>
      <c r="Z149" s="543">
        <f t="shared" ca="1" si="2"/>
        <v>28</v>
      </c>
      <c r="AA149" s="534" t="s">
        <v>1390</v>
      </c>
      <c r="AB149" s="516"/>
      <c r="AC149" s="516" t="s">
        <v>842</v>
      </c>
      <c r="AD149" s="516" t="s">
        <v>843</v>
      </c>
      <c r="AE149" s="534" t="s">
        <v>713</v>
      </c>
      <c r="AF149" s="534" t="s">
        <v>713</v>
      </c>
      <c r="AG149" s="534" t="s">
        <v>1391</v>
      </c>
      <c r="AH149" s="516"/>
      <c r="AI149" s="516" t="s">
        <v>1392</v>
      </c>
      <c r="AJ149" s="516" t="s">
        <v>867</v>
      </c>
      <c r="AK149" s="516"/>
      <c r="AL149" s="544"/>
      <c r="AM149" s="544"/>
    </row>
    <row r="150" spans="3:39" ht="18" customHeight="1">
      <c r="C150" s="516">
        <v>130</v>
      </c>
      <c r="D150" s="516" t="s">
        <v>1393</v>
      </c>
      <c r="E150" s="516">
        <f t="shared" si="3"/>
        <v>121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48" t="s">
        <v>828</v>
      </c>
      <c r="Q150" s="539"/>
      <c r="R150" s="516" t="s">
        <v>49</v>
      </c>
      <c r="S150" s="516" t="s">
        <v>168</v>
      </c>
      <c r="T150" s="516"/>
      <c r="U150" s="516" t="s">
        <v>799</v>
      </c>
      <c r="V150" s="548" t="s">
        <v>1396</v>
      </c>
      <c r="W150" s="541" t="s">
        <v>1397</v>
      </c>
      <c r="X150" s="516" t="s">
        <v>790</v>
      </c>
      <c r="Y150" s="542">
        <v>32406</v>
      </c>
      <c r="Z150" s="543">
        <f t="shared" ca="1" si="2"/>
        <v>37</v>
      </c>
      <c r="AA150" s="534" t="s">
        <v>1398</v>
      </c>
      <c r="AB150" s="516" t="s">
        <v>1399</v>
      </c>
      <c r="AC150" s="516" t="s">
        <v>802</v>
      </c>
      <c r="AD150" s="516" t="s">
        <v>794</v>
      </c>
      <c r="AE150" s="534" t="s">
        <v>713</v>
      </c>
      <c r="AF150" s="534" t="s">
        <v>1400</v>
      </c>
      <c r="AG150" s="534" t="s">
        <v>1401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131</v>
      </c>
      <c r="D151" s="516" t="s">
        <v>1394</v>
      </c>
      <c r="E151" s="516">
        <f t="shared" si="3"/>
        <v>122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38" t="s">
        <v>1402</v>
      </c>
      <c r="W151" s="541" t="s">
        <v>1403</v>
      </c>
      <c r="X151" s="516" t="s">
        <v>790</v>
      </c>
      <c r="Y151" s="542">
        <v>27898</v>
      </c>
      <c r="Z151" s="543">
        <f t="shared" ca="1" si="2"/>
        <v>49</v>
      </c>
      <c r="AA151" s="534" t="s">
        <v>1404</v>
      </c>
      <c r="AB151" s="516" t="s">
        <v>1405</v>
      </c>
      <c r="AC151" s="516" t="s">
        <v>842</v>
      </c>
      <c r="AD151" s="516" t="s">
        <v>851</v>
      </c>
      <c r="AE151" s="534" t="s">
        <v>713</v>
      </c>
      <c r="AF151" s="534" t="s">
        <v>713</v>
      </c>
      <c r="AG151" s="534" t="s">
        <v>1406</v>
      </c>
      <c r="AH151" s="516"/>
      <c r="AI151" s="516"/>
      <c r="AJ151" s="516" t="s">
        <v>903</v>
      </c>
      <c r="AK151" s="516"/>
      <c r="AL151" s="544"/>
      <c r="AM151" s="544"/>
    </row>
    <row r="152" spans="3:39" ht="18" customHeight="1">
      <c r="C152" s="516">
        <v>136</v>
      </c>
      <c r="D152" s="516" t="s">
        <v>1395</v>
      </c>
      <c r="E152" s="516">
        <f t="shared" si="3"/>
        <v>123</v>
      </c>
      <c r="F152" s="534" t="s">
        <v>811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 t="s">
        <v>62</v>
      </c>
      <c r="S152" s="516" t="s">
        <v>548</v>
      </c>
      <c r="T152" s="516"/>
      <c r="U152" s="516" t="s">
        <v>799</v>
      </c>
      <c r="V152" s="549" t="s">
        <v>1407</v>
      </c>
      <c r="W152" s="541" t="s">
        <v>1408</v>
      </c>
      <c r="X152" s="516" t="s">
        <v>790</v>
      </c>
      <c r="Y152" s="542">
        <v>31125</v>
      </c>
      <c r="Z152" s="543">
        <f t="shared" ca="1" si="2"/>
        <v>40</v>
      </c>
      <c r="AA152" s="534" t="s">
        <v>1409</v>
      </c>
      <c r="AB152" s="516" t="s">
        <v>1410</v>
      </c>
      <c r="AC152" s="516" t="s">
        <v>842</v>
      </c>
      <c r="AD152" s="516" t="s">
        <v>843</v>
      </c>
      <c r="AE152" s="534" t="s">
        <v>1411</v>
      </c>
      <c r="AF152" s="534" t="s">
        <v>1411</v>
      </c>
      <c r="AG152" s="534" t="s">
        <v>1412</v>
      </c>
      <c r="AH152" s="516"/>
      <c r="AI152" s="516"/>
      <c r="AJ152" s="569" t="s">
        <v>1224</v>
      </c>
      <c r="AK152" s="516"/>
      <c r="AL152" s="544"/>
      <c r="AM152" s="544"/>
    </row>
    <row r="153" spans="3:39" ht="18" customHeight="1">
      <c r="C153" s="516">
        <v>132</v>
      </c>
      <c r="D153" s="516" t="s">
        <v>1413</v>
      </c>
      <c r="E153" s="516">
        <f t="shared" si="3"/>
        <v>124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1414</v>
      </c>
      <c r="W153" s="541" t="s">
        <v>1415</v>
      </c>
      <c r="X153" s="516" t="s">
        <v>790</v>
      </c>
      <c r="Y153" s="542">
        <v>27770</v>
      </c>
      <c r="Z153" s="543">
        <f t="shared" ca="1" si="2"/>
        <v>50</v>
      </c>
      <c r="AA153" s="534" t="s">
        <v>1416</v>
      </c>
      <c r="AB153" s="516"/>
      <c r="AC153" s="516" t="s">
        <v>802</v>
      </c>
      <c r="AD153" s="516" t="s">
        <v>794</v>
      </c>
      <c r="AE153" s="534" t="s">
        <v>713</v>
      </c>
      <c r="AF153" s="534" t="s">
        <v>713</v>
      </c>
      <c r="AG153" s="534" t="s">
        <v>1417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1418</v>
      </c>
      <c r="E154" s="516">
        <f t="shared" si="3"/>
        <v>125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1419</v>
      </c>
      <c r="W154" s="541" t="s">
        <v>1420</v>
      </c>
      <c r="X154" s="516" t="s">
        <v>790</v>
      </c>
      <c r="Y154" s="542">
        <v>31231</v>
      </c>
      <c r="Z154" s="543">
        <f t="shared" ca="1" si="2"/>
        <v>40</v>
      </c>
      <c r="AA154" s="534" t="s">
        <v>1421</v>
      </c>
      <c r="AB154" s="571"/>
      <c r="AC154" s="516" t="s">
        <v>842</v>
      </c>
      <c r="AD154" s="516" t="s">
        <v>794</v>
      </c>
      <c r="AE154" s="534" t="s">
        <v>713</v>
      </c>
      <c r="AF154" s="534" t="s">
        <v>236</v>
      </c>
      <c r="AG154" s="534" t="s">
        <v>1422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134</v>
      </c>
      <c r="D155" s="516" t="s">
        <v>1423</v>
      </c>
      <c r="E155" s="516">
        <f t="shared" si="3"/>
        <v>126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373</v>
      </c>
      <c r="W155" s="541" t="s">
        <v>1424</v>
      </c>
      <c r="X155" s="516" t="s">
        <v>790</v>
      </c>
      <c r="Y155" s="542">
        <v>24666</v>
      </c>
      <c r="Z155" s="543">
        <f t="shared" ca="1" si="2"/>
        <v>58</v>
      </c>
      <c r="AA155" s="534" t="s">
        <v>1425</v>
      </c>
      <c r="AB155" s="516" t="s">
        <v>1426</v>
      </c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1427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1428</v>
      </c>
      <c r="E156" s="516">
        <f t="shared" si="3"/>
        <v>127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398</v>
      </c>
      <c r="W156" s="541" t="s">
        <v>1429</v>
      </c>
      <c r="X156" s="516" t="s">
        <v>790</v>
      </c>
      <c r="Y156" s="542">
        <v>26465</v>
      </c>
      <c r="Z156" s="543">
        <f t="shared" ca="1" si="2"/>
        <v>53</v>
      </c>
      <c r="AA156" s="534" t="s">
        <v>1430</v>
      </c>
      <c r="AB156" s="516"/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 t="s">
        <v>1431</v>
      </c>
      <c r="AH156" s="516"/>
      <c r="AI156" s="516"/>
      <c r="AJ156" s="569" t="s">
        <v>1224</v>
      </c>
      <c r="AK156" s="516"/>
      <c r="AL156" s="544"/>
      <c r="AM156" s="544"/>
    </row>
    <row r="157" spans="3:39" ht="18" customHeight="1">
      <c r="C157" s="516">
        <v>137</v>
      </c>
      <c r="D157" s="516" t="s">
        <v>1432</v>
      </c>
      <c r="E157" s="516">
        <f t="shared" si="3"/>
        <v>128</v>
      </c>
      <c r="F157" s="534" t="s">
        <v>811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70" t="s">
        <v>1395</v>
      </c>
      <c r="N157" s="537"/>
      <c r="O157" s="537"/>
      <c r="P157" s="538" t="s">
        <v>828</v>
      </c>
      <c r="Q157" s="539" t="s">
        <v>308</v>
      </c>
      <c r="R157" s="516"/>
      <c r="S157" s="516"/>
      <c r="T157" s="516"/>
      <c r="U157" s="516" t="s">
        <v>799</v>
      </c>
      <c r="V157" s="561" t="s">
        <v>410</v>
      </c>
      <c r="W157" s="541" t="s">
        <v>1433</v>
      </c>
      <c r="X157" s="516" t="s">
        <v>790</v>
      </c>
      <c r="Y157" s="542">
        <v>23557</v>
      </c>
      <c r="Z157" s="543">
        <f t="shared" ca="1" si="2"/>
        <v>61</v>
      </c>
      <c r="AA157" s="534" t="s">
        <v>1434</v>
      </c>
      <c r="AB157" s="516" t="s">
        <v>1435</v>
      </c>
      <c r="AC157" s="516" t="s">
        <v>842</v>
      </c>
      <c r="AD157" s="516" t="s">
        <v>843</v>
      </c>
      <c r="AE157" s="534" t="s">
        <v>713</v>
      </c>
      <c r="AF157" s="534" t="s">
        <v>713</v>
      </c>
      <c r="AG157" s="534"/>
      <c r="AH157" s="516"/>
      <c r="AI157" s="516"/>
      <c r="AJ157" s="575" t="s">
        <v>1438</v>
      </c>
      <c r="AK157" s="516"/>
      <c r="AL157" s="544"/>
      <c r="AM157" s="544"/>
    </row>
    <row r="158" spans="3:39" ht="18" customHeight="1">
      <c r="C158" s="516">
        <v>138</v>
      </c>
      <c r="D158" s="516" t="s">
        <v>1439</v>
      </c>
      <c r="E158" s="516">
        <f t="shared" si="3"/>
        <v>129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48" t="s">
        <v>938</v>
      </c>
      <c r="Q158" s="539"/>
      <c r="R158" s="516" t="s">
        <v>49</v>
      </c>
      <c r="S158" s="516" t="s">
        <v>168</v>
      </c>
      <c r="T158" s="516"/>
      <c r="U158" s="516" t="s">
        <v>874</v>
      </c>
      <c r="V158" s="548" t="s">
        <v>593</v>
      </c>
      <c r="W158" s="541" t="s">
        <v>1441</v>
      </c>
      <c r="X158" s="516" t="s">
        <v>876</v>
      </c>
      <c r="Y158" s="542">
        <v>23479</v>
      </c>
      <c r="Z158" s="543">
        <f t="shared" ca="1" si="2"/>
        <v>61</v>
      </c>
      <c r="AA158" s="534" t="s">
        <v>1442</v>
      </c>
      <c r="AB158" s="516" t="s">
        <v>1443</v>
      </c>
      <c r="AC158" s="516" t="s">
        <v>802</v>
      </c>
      <c r="AD158" s="516" t="s">
        <v>794</v>
      </c>
      <c r="AE158" s="534" t="s">
        <v>713</v>
      </c>
      <c r="AF158" s="534" t="s">
        <v>1163</v>
      </c>
      <c r="AG158" s="534" t="s">
        <v>1444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139</v>
      </c>
      <c r="D159" s="516" t="s">
        <v>1440</v>
      </c>
      <c r="E159" s="516">
        <f t="shared" si="3"/>
        <v>130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 t="s">
        <v>62</v>
      </c>
      <c r="S159" s="516" t="s">
        <v>548</v>
      </c>
      <c r="T159" s="516"/>
      <c r="U159" s="516" t="s">
        <v>898</v>
      </c>
      <c r="V159" s="538" t="s">
        <v>1445</v>
      </c>
      <c r="W159" s="541" t="s">
        <v>1446</v>
      </c>
      <c r="X159" s="516" t="s">
        <v>876</v>
      </c>
      <c r="Y159" s="542">
        <v>20169</v>
      </c>
      <c r="Z159" s="543">
        <f t="shared" ca="1" si="2"/>
        <v>70</v>
      </c>
      <c r="AA159" s="534" t="s">
        <v>1447</v>
      </c>
      <c r="AB159" s="516" t="s">
        <v>1448</v>
      </c>
      <c r="AC159" s="516" t="s">
        <v>802</v>
      </c>
      <c r="AD159" s="516" t="s">
        <v>794</v>
      </c>
      <c r="AE159" s="534" t="s">
        <v>713</v>
      </c>
      <c r="AF159" s="534" t="s">
        <v>713</v>
      </c>
      <c r="AG159" s="534" t="s">
        <v>1449</v>
      </c>
      <c r="AH159" s="516"/>
      <c r="AI159" s="516"/>
      <c r="AJ159" s="516" t="s">
        <v>903</v>
      </c>
      <c r="AK159" s="516"/>
      <c r="AL159" s="544"/>
      <c r="AM159" s="544"/>
    </row>
    <row r="160" spans="3:39" ht="18" customHeight="1">
      <c r="C160" s="516">
        <v>140</v>
      </c>
      <c r="D160" s="516" t="s">
        <v>1450</v>
      </c>
      <c r="E160" s="516">
        <f t="shared" si="3"/>
        <v>131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1451</v>
      </c>
      <c r="W160" s="541" t="s">
        <v>1452</v>
      </c>
      <c r="X160" s="516" t="s">
        <v>876</v>
      </c>
      <c r="Y160" s="542">
        <v>28954</v>
      </c>
      <c r="Z160" s="543">
        <f t="shared" ca="1" si="2"/>
        <v>46</v>
      </c>
      <c r="AA160" s="534" t="s">
        <v>1453</v>
      </c>
      <c r="AB160" s="516" t="s">
        <v>1454</v>
      </c>
      <c r="AC160" s="516" t="s">
        <v>842</v>
      </c>
      <c r="AD160" s="516" t="s">
        <v>851</v>
      </c>
      <c r="AE160" s="534" t="s">
        <v>1256</v>
      </c>
      <c r="AF160" s="534" t="s">
        <v>1256</v>
      </c>
      <c r="AG160" s="534" t="s">
        <v>1455</v>
      </c>
      <c r="AH160" s="516"/>
      <c r="AI160" s="516" t="s">
        <v>1456</v>
      </c>
      <c r="AJ160" s="516" t="s">
        <v>903</v>
      </c>
      <c r="AK160" s="516" t="s">
        <v>860</v>
      </c>
      <c r="AL160" s="544"/>
      <c r="AM160" s="544"/>
    </row>
    <row r="161" spans="3:39" ht="18" customHeight="1">
      <c r="C161" s="516">
        <v>141</v>
      </c>
      <c r="D161" s="516" t="s">
        <v>1457</v>
      </c>
      <c r="E161" s="516">
        <f t="shared" si="3"/>
        <v>132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1458</v>
      </c>
      <c r="W161" s="541" t="s">
        <v>1459</v>
      </c>
      <c r="X161" s="516" t="s">
        <v>876</v>
      </c>
      <c r="Y161" s="542">
        <v>21997</v>
      </c>
      <c r="Z161" s="543">
        <f t="shared" ca="1" si="2"/>
        <v>65</v>
      </c>
      <c r="AA161" s="534" t="s">
        <v>1460</v>
      </c>
      <c r="AB161" s="516" t="s">
        <v>1461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1462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1463</v>
      </c>
      <c r="E162" s="516">
        <f t="shared" si="3"/>
        <v>133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1464</v>
      </c>
      <c r="W162" s="541" t="s">
        <v>1465</v>
      </c>
      <c r="X162" s="516" t="s">
        <v>876</v>
      </c>
      <c r="Y162" s="542">
        <v>24432</v>
      </c>
      <c r="Z162" s="543">
        <f t="shared" ca="1" si="2"/>
        <v>59</v>
      </c>
      <c r="AA162" s="534" t="s">
        <v>1466</v>
      </c>
      <c r="AB162" s="516" t="s">
        <v>1467</v>
      </c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1468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1469</v>
      </c>
      <c r="E163" s="516">
        <f t="shared" si="3"/>
        <v>134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1470</v>
      </c>
      <c r="W163" s="541" t="s">
        <v>1471</v>
      </c>
      <c r="X163" s="516" t="s">
        <v>876</v>
      </c>
      <c r="Y163" s="542">
        <v>27473</v>
      </c>
      <c r="Z163" s="543">
        <f t="shared" ca="1" si="2"/>
        <v>50</v>
      </c>
      <c r="AA163" s="534" t="s">
        <v>1472</v>
      </c>
      <c r="AB163" s="516" t="s">
        <v>1473</v>
      </c>
      <c r="AC163" s="516" t="s">
        <v>842</v>
      </c>
      <c r="AD163" s="516" t="s">
        <v>851</v>
      </c>
      <c r="AE163" s="534" t="s">
        <v>713</v>
      </c>
      <c r="AF163" s="534" t="s">
        <v>713</v>
      </c>
      <c r="AG163" s="534" t="s">
        <v>1474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1475</v>
      </c>
      <c r="E164" s="516">
        <f t="shared" si="3"/>
        <v>135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1476</v>
      </c>
      <c r="W164" s="541" t="s">
        <v>1477</v>
      </c>
      <c r="X164" s="516" t="s">
        <v>876</v>
      </c>
      <c r="Y164" s="542">
        <v>27920</v>
      </c>
      <c r="Z164" s="543">
        <f t="shared" ca="1" si="2"/>
        <v>49</v>
      </c>
      <c r="AA164" s="534" t="s">
        <v>1478</v>
      </c>
      <c r="AB164" s="516" t="s">
        <v>1479</v>
      </c>
      <c r="AC164" s="516" t="s">
        <v>842</v>
      </c>
      <c r="AD164" s="516" t="s">
        <v>851</v>
      </c>
      <c r="AE164" s="534" t="s">
        <v>1256</v>
      </c>
      <c r="AF164" s="534" t="s">
        <v>1256</v>
      </c>
      <c r="AG164" s="534" t="s">
        <v>1455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1480</v>
      </c>
      <c r="E165" s="516">
        <f t="shared" si="3"/>
        <v>136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1481</v>
      </c>
      <c r="W165" s="541" t="s">
        <v>1482</v>
      </c>
      <c r="X165" s="516" t="s">
        <v>876</v>
      </c>
      <c r="Y165" s="542">
        <v>29363</v>
      </c>
      <c r="Z165" s="543">
        <f t="shared" ca="1" si="2"/>
        <v>45</v>
      </c>
      <c r="AA165" s="534" t="s">
        <v>1483</v>
      </c>
      <c r="AB165" s="516" t="s">
        <v>1484</v>
      </c>
      <c r="AC165" s="516" t="s">
        <v>842</v>
      </c>
      <c r="AD165" s="516" t="s">
        <v>851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1485</v>
      </c>
      <c r="E166" s="516">
        <f t="shared" si="3"/>
        <v>137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1486</v>
      </c>
      <c r="W166" s="541" t="s">
        <v>1487</v>
      </c>
      <c r="X166" s="516" t="s">
        <v>876</v>
      </c>
      <c r="Y166" s="542">
        <v>30023</v>
      </c>
      <c r="Z166" s="543">
        <f t="shared" ca="1" si="2"/>
        <v>43</v>
      </c>
      <c r="AA166" s="534" t="s">
        <v>1488</v>
      </c>
      <c r="AB166" s="516" t="s">
        <v>1489</v>
      </c>
      <c r="AC166" s="516" t="s">
        <v>842</v>
      </c>
      <c r="AD166" s="516" t="s">
        <v>851</v>
      </c>
      <c r="AE166" s="534" t="s">
        <v>1256</v>
      </c>
      <c r="AF166" s="534" t="s">
        <v>1256</v>
      </c>
      <c r="AG166" s="534" t="s">
        <v>1490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1491</v>
      </c>
      <c r="E167" s="516">
        <f t="shared" si="3"/>
        <v>138</v>
      </c>
      <c r="F167" s="534" t="s">
        <v>811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59" t="s">
        <v>938</v>
      </c>
      <c r="Q167" s="539" t="s">
        <v>308</v>
      </c>
      <c r="R167" s="516"/>
      <c r="S167" s="516"/>
      <c r="T167" s="516"/>
      <c r="U167" s="516" t="s">
        <v>874</v>
      </c>
      <c r="V167" s="559" t="s">
        <v>1492</v>
      </c>
      <c r="W167" s="541" t="s">
        <v>1493</v>
      </c>
      <c r="X167" s="516" t="s">
        <v>876</v>
      </c>
      <c r="Y167" s="542">
        <v>27368</v>
      </c>
      <c r="Z167" s="543">
        <f t="shared" ca="1" si="2"/>
        <v>51</v>
      </c>
      <c r="AA167" s="534" t="s">
        <v>1494</v>
      </c>
      <c r="AB167" s="516" t="s">
        <v>1495</v>
      </c>
      <c r="AC167" s="516" t="s">
        <v>842</v>
      </c>
      <c r="AD167" s="516" t="s">
        <v>843</v>
      </c>
      <c r="AE167" s="534" t="s">
        <v>713</v>
      </c>
      <c r="AF167" s="534" t="s">
        <v>713</v>
      </c>
      <c r="AG167" s="566" t="s">
        <v>1313</v>
      </c>
      <c r="AH167" s="516"/>
      <c r="AI167" s="516" t="s">
        <v>1496</v>
      </c>
      <c r="AJ167" s="516" t="s">
        <v>1497</v>
      </c>
      <c r="AK167" s="516" t="s">
        <v>860</v>
      </c>
      <c r="AL167" s="544"/>
      <c r="AM167" s="544"/>
    </row>
    <row r="168" spans="3:39" ht="18" customHeight="1">
      <c r="C168" s="516">
        <v>148</v>
      </c>
      <c r="D168" s="516" t="s">
        <v>1118</v>
      </c>
      <c r="E168" s="516">
        <f t="shared" si="3"/>
        <v>139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48" t="s">
        <v>787</v>
      </c>
      <c r="Q168" s="539"/>
      <c r="R168" s="516" t="s">
        <v>982</v>
      </c>
      <c r="S168" s="516" t="s">
        <v>163</v>
      </c>
      <c r="T168" s="516" t="s">
        <v>49</v>
      </c>
      <c r="U168" s="516" t="s">
        <v>788</v>
      </c>
      <c r="V168" s="548" t="s">
        <v>28</v>
      </c>
      <c r="W168" s="541" t="s">
        <v>1119</v>
      </c>
      <c r="X168" s="516" t="s">
        <v>876</v>
      </c>
      <c r="Y168" s="542">
        <v>33065</v>
      </c>
      <c r="Z168" s="543">
        <f t="shared" ca="1" si="2"/>
        <v>35</v>
      </c>
      <c r="AA168" s="534" t="s">
        <v>1120</v>
      </c>
      <c r="AB168" s="516" t="s">
        <v>1121</v>
      </c>
      <c r="AC168" s="516" t="s">
        <v>793</v>
      </c>
      <c r="AD168" s="516" t="s">
        <v>794</v>
      </c>
      <c r="AE168" s="534" t="s">
        <v>713</v>
      </c>
      <c r="AF168" s="534" t="s">
        <v>795</v>
      </c>
      <c r="AG168" s="534" t="s">
        <v>796</v>
      </c>
      <c r="AH168" s="516"/>
      <c r="AI168" s="516"/>
      <c r="AJ168" s="516"/>
      <c r="AK168" s="516"/>
      <c r="AL168" s="544"/>
      <c r="AM168" s="544"/>
    </row>
    <row r="169" spans="3:39" ht="18" customHeight="1">
      <c r="C169" s="516">
        <v>149</v>
      </c>
      <c r="D169" s="516" t="s">
        <v>1498</v>
      </c>
      <c r="E169" s="516">
        <f t="shared" si="3"/>
        <v>140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 t="s">
        <v>62</v>
      </c>
      <c r="S169" s="516" t="s">
        <v>62</v>
      </c>
      <c r="T169" s="516" t="s">
        <v>1499</v>
      </c>
      <c r="U169" s="516" t="s">
        <v>788</v>
      </c>
      <c r="V169" s="538" t="s">
        <v>1500</v>
      </c>
      <c r="W169" s="541" t="s">
        <v>1501</v>
      </c>
      <c r="X169" s="516" t="s">
        <v>876</v>
      </c>
      <c r="Y169" s="542">
        <v>37601</v>
      </c>
      <c r="Z169" s="543">
        <f t="shared" ca="1" si="2"/>
        <v>23</v>
      </c>
      <c r="AA169" s="534" t="s">
        <v>1502</v>
      </c>
      <c r="AB169" s="516" t="s">
        <v>1503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1504</v>
      </c>
      <c r="AH169" s="516"/>
      <c r="AI169" s="516"/>
      <c r="AJ169" s="516" t="s">
        <v>832</v>
      </c>
      <c r="AK169" s="516"/>
      <c r="AL169" s="544"/>
      <c r="AM169" s="544"/>
    </row>
    <row r="170" spans="3:39" ht="18" customHeight="1">
      <c r="C170" s="516">
        <v>150</v>
      </c>
      <c r="D170" s="516" t="s">
        <v>1505</v>
      </c>
      <c r="E170" s="516">
        <f t="shared" si="3"/>
        <v>141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/>
      <c r="S170" s="516"/>
      <c r="T170" s="516"/>
      <c r="U170" s="516" t="s">
        <v>788</v>
      </c>
      <c r="V170" s="538" t="s">
        <v>206</v>
      </c>
      <c r="W170" s="541" t="s">
        <v>1506</v>
      </c>
      <c r="X170" s="516" t="s">
        <v>876</v>
      </c>
      <c r="Y170" s="542">
        <v>37601</v>
      </c>
      <c r="Z170" s="543">
        <f t="shared" ca="1" si="2"/>
        <v>23</v>
      </c>
      <c r="AA170" s="534" t="s">
        <v>1507</v>
      </c>
      <c r="AB170" s="516" t="s">
        <v>1508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1509</v>
      </c>
      <c r="AH170" s="516"/>
      <c r="AI170" s="516"/>
      <c r="AJ170" s="516"/>
      <c r="AK170" s="516"/>
      <c r="AL170" s="544"/>
      <c r="AM170" s="544"/>
    </row>
    <row r="171" spans="3:39" ht="18" customHeight="1">
      <c r="C171" s="516">
        <v>151</v>
      </c>
      <c r="D171" s="516" t="s">
        <v>1510</v>
      </c>
      <c r="E171" s="516">
        <f t="shared" si="3"/>
        <v>142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38" t="s">
        <v>787</v>
      </c>
      <c r="Q171" s="539"/>
      <c r="R171" s="516" t="s">
        <v>163</v>
      </c>
      <c r="S171" s="516" t="s">
        <v>500</v>
      </c>
      <c r="T171" s="516" t="s">
        <v>49</v>
      </c>
      <c r="U171" s="516" t="s">
        <v>788</v>
      </c>
      <c r="V171" s="538" t="s">
        <v>322</v>
      </c>
      <c r="W171" s="541" t="s">
        <v>1511</v>
      </c>
      <c r="X171" s="516" t="s">
        <v>876</v>
      </c>
      <c r="Y171" s="542">
        <v>36694</v>
      </c>
      <c r="Z171" s="543">
        <f t="shared" ca="1" si="2"/>
        <v>25</v>
      </c>
      <c r="AA171" s="534" t="s">
        <v>1512</v>
      </c>
      <c r="AB171" s="516" t="s">
        <v>1513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1514</v>
      </c>
      <c r="AH171" s="516"/>
      <c r="AI171" s="516"/>
      <c r="AJ171" s="516" t="s">
        <v>832</v>
      </c>
      <c r="AK171" s="516"/>
      <c r="AL171" s="544"/>
      <c r="AM171" s="544"/>
    </row>
    <row r="172" spans="3:39" ht="18" customHeight="1">
      <c r="C172" s="516">
        <v>152</v>
      </c>
      <c r="D172" s="516" t="s">
        <v>1515</v>
      </c>
      <c r="E172" s="516">
        <f t="shared" si="3"/>
        <v>143</v>
      </c>
      <c r="F172" s="534" t="s">
        <v>1310</v>
      </c>
      <c r="G172" s="534" t="s">
        <v>713</v>
      </c>
      <c r="H172" s="535" t="s">
        <v>1106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59" t="s">
        <v>787</v>
      </c>
      <c r="Q172" s="539"/>
      <c r="R172" s="516" t="s">
        <v>49</v>
      </c>
      <c r="S172" s="516" t="s">
        <v>168</v>
      </c>
      <c r="T172" s="516"/>
      <c r="U172" s="516" t="s">
        <v>788</v>
      </c>
      <c r="V172" s="559" t="s">
        <v>246</v>
      </c>
      <c r="W172" s="541" t="s">
        <v>1516</v>
      </c>
      <c r="X172" s="516" t="s">
        <v>876</v>
      </c>
      <c r="Y172" s="542">
        <v>35604</v>
      </c>
      <c r="Z172" s="543">
        <f t="shared" ca="1" si="2"/>
        <v>28</v>
      </c>
      <c r="AA172" s="534" t="s">
        <v>1517</v>
      </c>
      <c r="AB172" s="516" t="s">
        <v>1518</v>
      </c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1519</v>
      </c>
      <c r="AH172" s="516"/>
      <c r="AI172" s="516"/>
      <c r="AJ172" s="516"/>
      <c r="AK172" s="516"/>
      <c r="AL172" s="544"/>
      <c r="AM172" s="544"/>
    </row>
    <row r="173" spans="3:39" ht="18" customHeight="1">
      <c r="C173" s="516">
        <v>153</v>
      </c>
      <c r="D173" s="516" t="s">
        <v>1520</v>
      </c>
      <c r="E173" s="516">
        <f t="shared" si="3"/>
        <v>144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/>
      <c r="R173" s="516" t="s">
        <v>62</v>
      </c>
      <c r="S173" s="516" t="s">
        <v>62</v>
      </c>
      <c r="T173" s="516"/>
      <c r="U173" s="516" t="s">
        <v>799</v>
      </c>
      <c r="V173" s="538" t="s">
        <v>167</v>
      </c>
      <c r="W173" s="541" t="s">
        <v>1522</v>
      </c>
      <c r="X173" s="516" t="s">
        <v>790</v>
      </c>
      <c r="Y173" s="542">
        <v>28283</v>
      </c>
      <c r="Z173" s="543">
        <f t="shared" ca="1" si="2"/>
        <v>48</v>
      </c>
      <c r="AA173" s="534" t="s">
        <v>1523</v>
      </c>
      <c r="AB173" s="516" t="s">
        <v>1524</v>
      </c>
      <c r="AC173" s="516" t="s">
        <v>802</v>
      </c>
      <c r="AD173" s="516" t="s">
        <v>794</v>
      </c>
      <c r="AE173" s="534" t="s">
        <v>713</v>
      </c>
      <c r="AF173" s="534" t="s">
        <v>713</v>
      </c>
      <c r="AG173" s="534" t="s">
        <v>1525</v>
      </c>
      <c r="AH173" s="516"/>
      <c r="AI173" s="516"/>
      <c r="AJ173" s="516" t="s">
        <v>832</v>
      </c>
      <c r="AK173" s="516"/>
      <c r="AL173" s="544"/>
      <c r="AM173" s="544"/>
    </row>
    <row r="174" spans="3:39" ht="18" customHeight="1">
      <c r="C174" s="516">
        <v>154</v>
      </c>
      <c r="D174" s="516" t="s">
        <v>1521</v>
      </c>
      <c r="E174" s="516">
        <f t="shared" si="3"/>
        <v>145</v>
      </c>
      <c r="F174" s="534" t="s">
        <v>811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 t="s">
        <v>308</v>
      </c>
      <c r="R174" s="516" t="s">
        <v>62</v>
      </c>
      <c r="S174" s="516" t="s">
        <v>548</v>
      </c>
      <c r="T174" s="516"/>
      <c r="U174" s="516" t="s">
        <v>799</v>
      </c>
      <c r="V174" s="538" t="s">
        <v>187</v>
      </c>
      <c r="W174" s="541" t="s">
        <v>1526</v>
      </c>
      <c r="X174" s="516" t="s">
        <v>790</v>
      </c>
      <c r="Y174" s="542">
        <v>30250</v>
      </c>
      <c r="Z174" s="543">
        <f t="shared" ca="1" si="2"/>
        <v>43</v>
      </c>
      <c r="AA174" s="534" t="s">
        <v>1527</v>
      </c>
      <c r="AB174" s="516" t="s">
        <v>1528</v>
      </c>
      <c r="AC174" s="516" t="s">
        <v>842</v>
      </c>
      <c r="AD174" s="516" t="s">
        <v>851</v>
      </c>
      <c r="AE174" s="534" t="s">
        <v>713</v>
      </c>
      <c r="AF174" s="566" t="s">
        <v>713</v>
      </c>
      <c r="AG174" s="534" t="s">
        <v>1529</v>
      </c>
      <c r="AH174" s="516"/>
      <c r="AI174" s="516"/>
      <c r="AJ174" s="565" t="s">
        <v>1087</v>
      </c>
      <c r="AK174" s="516"/>
      <c r="AL174" s="544"/>
      <c r="AM174" s="544"/>
    </row>
    <row r="175" spans="3:39" ht="18" customHeight="1">
      <c r="C175" s="516">
        <v>155</v>
      </c>
      <c r="D175" s="516" t="s">
        <v>1530</v>
      </c>
      <c r="E175" s="516">
        <f t="shared" si="3"/>
        <v>146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/>
      <c r="R175" s="516"/>
      <c r="S175" s="516"/>
      <c r="T175" s="516"/>
      <c r="U175" s="516" t="s">
        <v>799</v>
      </c>
      <c r="V175" s="538" t="s">
        <v>277</v>
      </c>
      <c r="W175" s="541" t="s">
        <v>1531</v>
      </c>
      <c r="X175" s="516" t="s">
        <v>790</v>
      </c>
      <c r="Y175" s="542">
        <v>33040</v>
      </c>
      <c r="Z175" s="543">
        <f t="shared" ca="1" si="2"/>
        <v>35</v>
      </c>
      <c r="AA175" s="534" t="s">
        <v>1532</v>
      </c>
      <c r="AB175" s="516" t="s">
        <v>1533</v>
      </c>
      <c r="AC175" s="516" t="s">
        <v>842</v>
      </c>
      <c r="AD175" s="516" t="s">
        <v>851</v>
      </c>
      <c r="AE175" s="534" t="s">
        <v>713</v>
      </c>
      <c r="AF175" s="534" t="s">
        <v>713</v>
      </c>
      <c r="AG175" s="534" t="s">
        <v>1534</v>
      </c>
      <c r="AH175" s="516"/>
      <c r="AI175" s="516"/>
      <c r="AJ175" s="516" t="s">
        <v>1535</v>
      </c>
      <c r="AK175" s="516"/>
      <c r="AL175" s="544"/>
      <c r="AM175" s="544"/>
    </row>
    <row r="176" spans="3:39" ht="18" customHeight="1">
      <c r="C176" s="516">
        <v>156</v>
      </c>
      <c r="D176" s="516" t="s">
        <v>1536</v>
      </c>
      <c r="E176" s="516">
        <f t="shared" si="3"/>
        <v>147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207</v>
      </c>
      <c r="W176" s="541" t="s">
        <v>1537</v>
      </c>
      <c r="X176" s="516" t="s">
        <v>790</v>
      </c>
      <c r="Y176" s="542">
        <v>28259</v>
      </c>
      <c r="Z176" s="543">
        <f t="shared" ca="1" si="2"/>
        <v>48</v>
      </c>
      <c r="AA176" s="534" t="s">
        <v>1538</v>
      </c>
      <c r="AB176" s="516" t="s">
        <v>1539</v>
      </c>
      <c r="AC176" s="516" t="s">
        <v>842</v>
      </c>
      <c r="AD176" s="516" t="s">
        <v>843</v>
      </c>
      <c r="AE176" s="534" t="s">
        <v>713</v>
      </c>
      <c r="AF176" s="566" t="s">
        <v>713</v>
      </c>
      <c r="AG176" s="534" t="s">
        <v>1229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157</v>
      </c>
      <c r="D177" s="516" t="s">
        <v>1540</v>
      </c>
      <c r="E177" s="516">
        <f t="shared" si="3"/>
        <v>148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227</v>
      </c>
      <c r="W177" s="541" t="s">
        <v>1541</v>
      </c>
      <c r="X177" s="516" t="s">
        <v>790</v>
      </c>
      <c r="Y177" s="542">
        <v>29734</v>
      </c>
      <c r="Z177" s="543">
        <f t="shared" ca="1" si="2"/>
        <v>44</v>
      </c>
      <c r="AA177" s="534" t="s">
        <v>1542</v>
      </c>
      <c r="AB177" s="516" t="s">
        <v>1543</v>
      </c>
      <c r="AC177" s="516" t="s">
        <v>842</v>
      </c>
      <c r="AD177" s="516" t="s">
        <v>843</v>
      </c>
      <c r="AE177" s="534" t="s">
        <v>942</v>
      </c>
      <c r="AF177" s="566" t="s">
        <v>713</v>
      </c>
      <c r="AG177" s="566" t="s">
        <v>1313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158</v>
      </c>
      <c r="D178" s="516" t="s">
        <v>1544</v>
      </c>
      <c r="E178" s="516">
        <f t="shared" si="3"/>
        <v>149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247</v>
      </c>
      <c r="W178" s="541" t="s">
        <v>1545</v>
      </c>
      <c r="X178" s="516" t="s">
        <v>790</v>
      </c>
      <c r="Y178" s="542">
        <v>30020</v>
      </c>
      <c r="Z178" s="543">
        <f t="shared" ca="1" si="2"/>
        <v>43</v>
      </c>
      <c r="AA178" s="534" t="s">
        <v>1546</v>
      </c>
      <c r="AB178" s="516" t="s">
        <v>1547</v>
      </c>
      <c r="AC178" s="516" t="s">
        <v>842</v>
      </c>
      <c r="AD178" s="516" t="s">
        <v>843</v>
      </c>
      <c r="AE178" s="534" t="s">
        <v>713</v>
      </c>
      <c r="AF178" s="566" t="s">
        <v>713</v>
      </c>
      <c r="AG178" s="534" t="s">
        <v>1229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159</v>
      </c>
      <c r="D179" s="516" t="s">
        <v>1548</v>
      </c>
      <c r="E179" s="516">
        <f t="shared" si="3"/>
        <v>150</v>
      </c>
      <c r="F179" s="534" t="s">
        <v>811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 t="s">
        <v>308</v>
      </c>
      <c r="R179" s="516"/>
      <c r="S179" s="516"/>
      <c r="T179" s="516"/>
      <c r="U179" s="516" t="s">
        <v>799</v>
      </c>
      <c r="V179" s="538" t="s">
        <v>262</v>
      </c>
      <c r="W179" s="541" t="s">
        <v>1549</v>
      </c>
      <c r="X179" s="516" t="s">
        <v>790</v>
      </c>
      <c r="Y179" s="542">
        <v>34787</v>
      </c>
      <c r="Z179" s="543">
        <f t="shared" ca="1" si="2"/>
        <v>30</v>
      </c>
      <c r="AA179" s="534" t="s">
        <v>1550</v>
      </c>
      <c r="AB179" s="516" t="s">
        <v>1551</v>
      </c>
      <c r="AC179" s="516" t="s">
        <v>842</v>
      </c>
      <c r="AD179" s="516" t="s">
        <v>843</v>
      </c>
      <c r="AE179" s="534" t="s">
        <v>1256</v>
      </c>
      <c r="AF179" s="534" t="s">
        <v>1552</v>
      </c>
      <c r="AG179" s="534" t="s">
        <v>1553</v>
      </c>
      <c r="AH179" s="516"/>
      <c r="AI179" s="516"/>
      <c r="AJ179" s="565" t="s">
        <v>1087</v>
      </c>
      <c r="AK179" s="516"/>
      <c r="AL179" s="544"/>
      <c r="AM179" s="544"/>
    </row>
    <row r="180" spans="1:39" ht="18" customHeight="1">
      <c r="C180" s="516">
        <v>160</v>
      </c>
      <c r="D180" s="516" t="s">
        <v>1554</v>
      </c>
      <c r="E180" s="516">
        <f t="shared" si="3"/>
        <v>151</v>
      </c>
      <c r="F180" s="534" t="s">
        <v>1310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97" t="s">
        <v>1521</v>
      </c>
      <c r="N180" s="537"/>
      <c r="O180" s="537"/>
      <c r="P180" s="538" t="s">
        <v>828</v>
      </c>
      <c r="Q180" s="539"/>
      <c r="R180" s="516"/>
      <c r="S180" s="516"/>
      <c r="T180" s="516"/>
      <c r="U180" s="516" t="s">
        <v>799</v>
      </c>
      <c r="V180" s="538" t="s">
        <v>1555</v>
      </c>
      <c r="W180" s="541" t="s">
        <v>1556</v>
      </c>
      <c r="X180" s="516" t="s">
        <v>790</v>
      </c>
      <c r="Y180" s="542">
        <v>29202</v>
      </c>
      <c r="Z180" s="543">
        <f t="shared" ca="1" si="2"/>
        <v>46</v>
      </c>
      <c r="AA180" s="534" t="s">
        <v>1557</v>
      </c>
      <c r="AB180" s="571"/>
      <c r="AC180" s="516" t="s">
        <v>842</v>
      </c>
      <c r="AD180" s="516" t="s">
        <v>843</v>
      </c>
      <c r="AE180" s="534" t="s">
        <v>713</v>
      </c>
      <c r="AF180" s="534" t="s">
        <v>713</v>
      </c>
      <c r="AG180" s="534" t="s">
        <v>1558</v>
      </c>
      <c r="AH180" s="516"/>
      <c r="AI180" s="516" t="s">
        <v>1559</v>
      </c>
      <c r="AJ180" s="516" t="s">
        <v>844</v>
      </c>
      <c r="AK180" s="576" t="s">
        <v>1560</v>
      </c>
      <c r="AL180" s="544"/>
      <c r="AM180" s="544"/>
    </row>
    <row r="181" spans="1:39" ht="18" customHeight="1">
      <c r="A181" s="173"/>
      <c r="B181" s="173"/>
      <c r="C181" s="516">
        <v>161</v>
      </c>
      <c r="D181" s="516" t="s">
        <v>1561</v>
      </c>
      <c r="E181" s="516">
        <f t="shared" si="3"/>
        <v>152</v>
      </c>
      <c r="F181" s="577" t="s">
        <v>1310</v>
      </c>
      <c r="G181" s="516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657" t="s">
        <v>1521</v>
      </c>
      <c r="N181" s="537"/>
      <c r="O181" s="567"/>
      <c r="P181" s="556" t="s">
        <v>828</v>
      </c>
      <c r="Q181" s="568"/>
      <c r="R181" s="554"/>
      <c r="S181" s="554"/>
      <c r="T181" s="554"/>
      <c r="U181" s="555" t="s">
        <v>788</v>
      </c>
      <c r="V181" s="556" t="s">
        <v>1562</v>
      </c>
      <c r="W181" s="557" t="s">
        <v>1563</v>
      </c>
      <c r="X181" s="516" t="s">
        <v>790</v>
      </c>
      <c r="Y181" s="542">
        <v>33672</v>
      </c>
      <c r="Z181" s="543">
        <f t="shared" ca="1" si="2"/>
        <v>33</v>
      </c>
      <c r="AA181" s="516" t="s">
        <v>1564</v>
      </c>
      <c r="AB181" s="578"/>
      <c r="AC181" s="516" t="s">
        <v>842</v>
      </c>
      <c r="AD181" s="516" t="s">
        <v>843</v>
      </c>
      <c r="AE181" s="516" t="s">
        <v>713</v>
      </c>
      <c r="AF181" s="516" t="s">
        <v>713</v>
      </c>
      <c r="AG181" s="516" t="s">
        <v>1294</v>
      </c>
      <c r="AH181" s="554"/>
      <c r="AI181" s="579" t="s">
        <v>1565</v>
      </c>
      <c r="AJ181" s="516" t="s">
        <v>844</v>
      </c>
      <c r="AK181" s="580" t="s">
        <v>1560</v>
      </c>
      <c r="AL181" s="554"/>
      <c r="AM181" s="554"/>
    </row>
    <row r="182" spans="1:39" ht="18" customHeight="1">
      <c r="A182" s="173"/>
      <c r="B182" s="173"/>
      <c r="C182" s="516">
        <v>162</v>
      </c>
      <c r="D182" s="581" t="s">
        <v>1566</v>
      </c>
      <c r="E182" s="516">
        <f t="shared" si="3"/>
        <v>153</v>
      </c>
      <c r="F182" s="581" t="s">
        <v>1310</v>
      </c>
      <c r="G182" s="581" t="s">
        <v>713</v>
      </c>
      <c r="H182" s="582" t="s">
        <v>1118</v>
      </c>
      <c r="I182" s="582" t="s">
        <v>28</v>
      </c>
      <c r="J182" s="582" t="s">
        <v>1118</v>
      </c>
      <c r="K182" s="582" t="s">
        <v>1173</v>
      </c>
      <c r="L182" s="582" t="s">
        <v>1520</v>
      </c>
      <c r="M182" s="658" t="s">
        <v>1521</v>
      </c>
      <c r="N182" s="537"/>
      <c r="O182" s="583"/>
      <c r="P182" s="584" t="s">
        <v>828</v>
      </c>
      <c r="Q182" s="585"/>
      <c r="R182" s="586"/>
      <c r="S182" s="586"/>
      <c r="T182" s="586"/>
      <c r="U182" s="581" t="s">
        <v>799</v>
      </c>
      <c r="V182" s="584" t="s">
        <v>1567</v>
      </c>
      <c r="W182" s="587" t="s">
        <v>1568</v>
      </c>
      <c r="X182" s="581" t="s">
        <v>790</v>
      </c>
      <c r="Y182" s="588">
        <v>30297</v>
      </c>
      <c r="Z182" s="589">
        <f t="shared" ca="1" si="2"/>
        <v>43</v>
      </c>
      <c r="AA182" s="581" t="s">
        <v>1569</v>
      </c>
      <c r="AB182" s="586"/>
      <c r="AC182" s="581" t="s">
        <v>842</v>
      </c>
      <c r="AD182" s="581" t="s">
        <v>843</v>
      </c>
      <c r="AE182" s="581" t="s">
        <v>713</v>
      </c>
      <c r="AF182" s="581" t="s">
        <v>713</v>
      </c>
      <c r="AG182" s="581" t="s">
        <v>1570</v>
      </c>
      <c r="AH182" s="590" t="s">
        <v>1571</v>
      </c>
      <c r="AI182" s="581" t="s">
        <v>1572</v>
      </c>
      <c r="AJ182" s="581" t="s">
        <v>1535</v>
      </c>
      <c r="AK182" s="581" t="s">
        <v>1573</v>
      </c>
      <c r="AL182" s="554"/>
      <c r="AM182" s="554"/>
    </row>
    <row r="183" spans="1:39" ht="18" customHeight="1">
      <c r="A183" s="173"/>
      <c r="B183" s="173"/>
      <c r="C183" s="516">
        <v>163</v>
      </c>
      <c r="D183" s="516" t="s">
        <v>1574</v>
      </c>
      <c r="E183" s="516">
        <f t="shared" si="3"/>
        <v>154</v>
      </c>
      <c r="F183" s="577" t="s">
        <v>1310</v>
      </c>
      <c r="G183" s="516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657" t="s">
        <v>1521</v>
      </c>
      <c r="N183" s="537"/>
      <c r="O183" s="567"/>
      <c r="P183" s="591" t="s">
        <v>828</v>
      </c>
      <c r="Q183" s="568"/>
      <c r="R183" s="554"/>
      <c r="S183" s="554"/>
      <c r="T183" s="554"/>
      <c r="U183" s="592" t="s">
        <v>799</v>
      </c>
      <c r="V183" s="591" t="s">
        <v>1575</v>
      </c>
      <c r="W183" s="557" t="s">
        <v>1576</v>
      </c>
      <c r="X183" s="516" t="s">
        <v>790</v>
      </c>
      <c r="Y183" s="542">
        <v>30831</v>
      </c>
      <c r="Z183" s="543">
        <f t="shared" ca="1" si="2"/>
        <v>41</v>
      </c>
      <c r="AA183" s="516" t="s">
        <v>1577</v>
      </c>
      <c r="AB183" s="554"/>
      <c r="AC183" s="516" t="s">
        <v>842</v>
      </c>
      <c r="AD183" s="516" t="s">
        <v>843</v>
      </c>
      <c r="AE183" s="516" t="s">
        <v>713</v>
      </c>
      <c r="AF183" s="516" t="s">
        <v>713</v>
      </c>
      <c r="AG183" s="516" t="s">
        <v>1177</v>
      </c>
      <c r="AH183" s="554"/>
      <c r="AI183" s="579" t="s">
        <v>1578</v>
      </c>
      <c r="AJ183" s="516" t="s">
        <v>1535</v>
      </c>
      <c r="AK183" s="516" t="s">
        <v>1560</v>
      </c>
      <c r="AL183" s="554"/>
      <c r="AM183" s="554"/>
    </row>
    <row r="184" spans="1:39" ht="18" customHeight="1">
      <c r="C184" s="516">
        <v>164</v>
      </c>
      <c r="D184" s="516" t="s">
        <v>1173</v>
      </c>
      <c r="E184" s="516">
        <f t="shared" si="3"/>
        <v>154</v>
      </c>
      <c r="F184" s="534"/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48" t="s">
        <v>938</v>
      </c>
      <c r="Q184" s="539"/>
      <c r="R184" s="516" t="s">
        <v>49</v>
      </c>
      <c r="S184" s="516" t="s">
        <v>168</v>
      </c>
      <c r="T184" s="516"/>
      <c r="U184" s="516"/>
      <c r="V184" s="548" t="s">
        <v>169</v>
      </c>
      <c r="W184" s="541" t="s">
        <v>1174</v>
      </c>
      <c r="X184" s="516" t="s">
        <v>790</v>
      </c>
      <c r="Y184" s="542">
        <v>31834</v>
      </c>
      <c r="Z184" s="543">
        <f t="shared" ca="1" si="2"/>
        <v>38</v>
      </c>
      <c r="AA184" s="534" t="s">
        <v>1175</v>
      </c>
      <c r="AB184" s="516" t="s">
        <v>1176</v>
      </c>
      <c r="AC184" s="516" t="s">
        <v>802</v>
      </c>
      <c r="AD184" s="516" t="s">
        <v>794</v>
      </c>
      <c r="AE184" s="534" t="s">
        <v>713</v>
      </c>
      <c r="AF184" s="534" t="s">
        <v>1163</v>
      </c>
      <c r="AG184" s="534" t="s">
        <v>1177</v>
      </c>
      <c r="AH184" s="516" t="s">
        <v>872</v>
      </c>
      <c r="AI184" s="516"/>
      <c r="AJ184" s="516"/>
      <c r="AK184" s="516"/>
      <c r="AL184" s="544"/>
      <c r="AM184" s="544"/>
    </row>
    <row r="185" spans="1:39" ht="18" customHeight="1">
      <c r="C185" s="516">
        <v>165</v>
      </c>
      <c r="D185" s="516" t="s">
        <v>1579</v>
      </c>
      <c r="E185" s="516">
        <f t="shared" si="3"/>
        <v>155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2"/>
        <v>28</v>
      </c>
      <c r="AA185" s="534" t="s">
        <v>1581</v>
      </c>
      <c r="AB185" s="516" t="s">
        <v>1582</v>
      </c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1:39" ht="18" customHeight="1">
      <c r="C186" s="516">
        <v>166</v>
      </c>
      <c r="D186" s="516" t="s">
        <v>1584</v>
      </c>
      <c r="E186" s="516">
        <f t="shared" si="3"/>
        <v>156</v>
      </c>
      <c r="F186" s="534" t="s">
        <v>1310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/>
      <c r="R186" s="516"/>
      <c r="S186" s="516"/>
      <c r="T186" s="516"/>
      <c r="U186" s="516" t="s">
        <v>788</v>
      </c>
      <c r="V186" s="538" t="s">
        <v>1585</v>
      </c>
      <c r="W186" s="541" t="s">
        <v>1586</v>
      </c>
      <c r="X186" s="516" t="s">
        <v>790</v>
      </c>
      <c r="Y186" s="542">
        <v>37703</v>
      </c>
      <c r="Z186" s="543">
        <f t="shared" ca="1" si="2"/>
        <v>22</v>
      </c>
      <c r="AA186" s="534" t="s">
        <v>1587</v>
      </c>
      <c r="AB186" s="516" t="s">
        <v>1588</v>
      </c>
      <c r="AC186" s="516" t="s">
        <v>793</v>
      </c>
      <c r="AD186" s="516" t="s">
        <v>794</v>
      </c>
      <c r="AE186" s="534" t="s">
        <v>713</v>
      </c>
      <c r="AF186" s="534" t="s">
        <v>713</v>
      </c>
      <c r="AG186" s="534"/>
      <c r="AH186" s="516"/>
      <c r="AI186" s="516"/>
      <c r="AJ186" s="516" t="s">
        <v>844</v>
      </c>
      <c r="AK186" s="516"/>
      <c r="AL186" s="544"/>
      <c r="AM186" s="544"/>
    </row>
    <row r="187" spans="1:39" ht="18" customHeight="1">
      <c r="C187" s="516">
        <v>167</v>
      </c>
      <c r="D187" s="516" t="s">
        <v>1589</v>
      </c>
      <c r="E187" s="516">
        <f t="shared" si="3"/>
        <v>157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208</v>
      </c>
      <c r="W187" s="541" t="s">
        <v>1590</v>
      </c>
      <c r="X187" s="516" t="s">
        <v>790</v>
      </c>
      <c r="Y187" s="542">
        <v>32923</v>
      </c>
      <c r="Z187" s="543">
        <f t="shared" ca="1" si="2"/>
        <v>35</v>
      </c>
      <c r="AA187" s="534" t="s">
        <v>1591</v>
      </c>
      <c r="AB187" s="516" t="s">
        <v>1592</v>
      </c>
      <c r="AC187" s="516" t="s">
        <v>842</v>
      </c>
      <c r="AD187" s="516" t="s">
        <v>843</v>
      </c>
      <c r="AE187" s="534" t="s">
        <v>236</v>
      </c>
      <c r="AF187" s="534" t="s">
        <v>236</v>
      </c>
      <c r="AG187" s="534" t="s">
        <v>1593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168</v>
      </c>
      <c r="D188" s="516" t="s">
        <v>1594</v>
      </c>
      <c r="E188" s="516">
        <f t="shared" si="3"/>
        <v>158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228</v>
      </c>
      <c r="W188" s="541" t="s">
        <v>1595</v>
      </c>
      <c r="X188" s="516" t="s">
        <v>790</v>
      </c>
      <c r="Y188" s="542">
        <v>37793</v>
      </c>
      <c r="Z188" s="543">
        <f t="shared" ca="1" si="2"/>
        <v>22</v>
      </c>
      <c r="AA188" s="534" t="s">
        <v>1086</v>
      </c>
      <c r="AB188" s="516" t="s">
        <v>1596</v>
      </c>
      <c r="AC188" s="516" t="s">
        <v>842</v>
      </c>
      <c r="AD188" s="516" t="s">
        <v>851</v>
      </c>
      <c r="AE188" s="534" t="s">
        <v>713</v>
      </c>
      <c r="AF188" s="566" t="s">
        <v>713</v>
      </c>
      <c r="AG188" s="534" t="s">
        <v>1597</v>
      </c>
      <c r="AH188" s="516"/>
      <c r="AI188" s="516"/>
      <c r="AJ188" s="565" t="s">
        <v>1087</v>
      </c>
      <c r="AK188" s="516"/>
      <c r="AL188" s="544"/>
      <c r="AM188" s="544"/>
    </row>
    <row r="189" spans="1:39" ht="18" customHeight="1">
      <c r="C189" s="516">
        <v>169</v>
      </c>
      <c r="D189" s="516" t="s">
        <v>1598</v>
      </c>
      <c r="E189" s="516">
        <f t="shared" si="3"/>
        <v>159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1599</v>
      </c>
      <c r="W189" s="541" t="s">
        <v>1600</v>
      </c>
      <c r="X189" s="516" t="s">
        <v>790</v>
      </c>
      <c r="Y189" s="542">
        <v>32111</v>
      </c>
      <c r="Z189" s="543">
        <f t="shared" ca="1" si="2"/>
        <v>38</v>
      </c>
      <c r="AA189" s="534" t="s">
        <v>1601</v>
      </c>
      <c r="AB189" s="516" t="s">
        <v>1602</v>
      </c>
      <c r="AC189" s="516" t="s">
        <v>842</v>
      </c>
      <c r="AD189" s="516" t="s">
        <v>843</v>
      </c>
      <c r="AE189" s="534" t="s">
        <v>236</v>
      </c>
      <c r="AF189" s="534" t="s">
        <v>236</v>
      </c>
      <c r="AG189" s="534" t="s">
        <v>1603</v>
      </c>
      <c r="AH189" s="516"/>
      <c r="AI189" s="516"/>
      <c r="AJ189" s="593" t="s">
        <v>1604</v>
      </c>
      <c r="AK189" s="516"/>
      <c r="AL189" s="544"/>
      <c r="AM189" s="544"/>
    </row>
    <row r="190" spans="1:39" ht="18" customHeight="1">
      <c r="C190" s="516">
        <v>170</v>
      </c>
      <c r="D190" s="516" t="s">
        <v>1605</v>
      </c>
      <c r="E190" s="516">
        <f t="shared" si="3"/>
        <v>160</v>
      </c>
      <c r="F190" s="534" t="s">
        <v>811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6" t="s">
        <v>1579</v>
      </c>
      <c r="M190" s="536"/>
      <c r="N190" s="537"/>
      <c r="O190" s="537"/>
      <c r="P190" s="538" t="s">
        <v>938</v>
      </c>
      <c r="Q190" s="539" t="s">
        <v>308</v>
      </c>
      <c r="R190" s="516"/>
      <c r="S190" s="516"/>
      <c r="T190" s="516"/>
      <c r="U190" s="516" t="s">
        <v>788</v>
      </c>
      <c r="V190" s="538" t="s">
        <v>263</v>
      </c>
      <c r="W190" s="541" t="s">
        <v>1606</v>
      </c>
      <c r="X190" s="516" t="s">
        <v>790</v>
      </c>
      <c r="Y190" s="542">
        <v>37979</v>
      </c>
      <c r="Z190" s="543">
        <f t="shared" ca="1" si="2"/>
        <v>22</v>
      </c>
      <c r="AA190" s="534" t="s">
        <v>1607</v>
      </c>
      <c r="AB190" s="516" t="s">
        <v>1608</v>
      </c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1229</v>
      </c>
      <c r="AH190" s="516"/>
      <c r="AI190" s="516"/>
      <c r="AJ190" s="569" t="s">
        <v>1224</v>
      </c>
      <c r="AK190" s="516"/>
      <c r="AL190" s="544"/>
      <c r="AM190" s="544"/>
    </row>
    <row r="191" spans="1:39" ht="18" customHeight="1">
      <c r="C191" s="516">
        <v>171</v>
      </c>
      <c r="D191" s="516" t="s">
        <v>1613</v>
      </c>
      <c r="E191" s="516">
        <f t="shared" si="3"/>
        <v>161</v>
      </c>
      <c r="F191" s="534" t="s">
        <v>1157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48" t="s">
        <v>978</v>
      </c>
      <c r="Q191" s="539"/>
      <c r="R191" s="516" t="s">
        <v>49</v>
      </c>
      <c r="S191" s="516" t="s">
        <v>168</v>
      </c>
      <c r="T191" s="516"/>
      <c r="U191" s="516" t="s">
        <v>874</v>
      </c>
      <c r="V191" s="548" t="s">
        <v>1615</v>
      </c>
      <c r="W191" s="541" t="s">
        <v>1616</v>
      </c>
      <c r="X191" s="516" t="s">
        <v>876</v>
      </c>
      <c r="Y191" s="542">
        <v>29411</v>
      </c>
      <c r="Z191" s="543">
        <f t="shared" ca="1" si="2"/>
        <v>45</v>
      </c>
      <c r="AA191" s="534" t="s">
        <v>1617</v>
      </c>
      <c r="AB191" s="516" t="s">
        <v>1618</v>
      </c>
      <c r="AC191" s="516" t="s">
        <v>802</v>
      </c>
      <c r="AD191" s="516" t="s">
        <v>794</v>
      </c>
      <c r="AE191" s="534" t="s">
        <v>713</v>
      </c>
      <c r="AF191" s="534" t="s">
        <v>1163</v>
      </c>
      <c r="AG191" s="534" t="s">
        <v>1172</v>
      </c>
      <c r="AH191" s="516"/>
      <c r="AI191" s="516"/>
      <c r="AJ191" s="516"/>
      <c r="AK191" s="516"/>
      <c r="AL191" s="544"/>
      <c r="AM191" s="544"/>
    </row>
    <row r="192" spans="1:39" ht="18" customHeight="1">
      <c r="C192" s="516">
        <v>172</v>
      </c>
      <c r="D192" s="516" t="s">
        <v>1614</v>
      </c>
      <c r="E192" s="516">
        <f t="shared" si="3"/>
        <v>162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 t="s">
        <v>62</v>
      </c>
      <c r="S192" s="516" t="s">
        <v>548</v>
      </c>
      <c r="T192" s="516"/>
      <c r="U192" s="516" t="s">
        <v>874</v>
      </c>
      <c r="V192" s="538" t="s">
        <v>1619</v>
      </c>
      <c r="W192" s="541" t="s">
        <v>1620</v>
      </c>
      <c r="X192" s="516" t="s">
        <v>876</v>
      </c>
      <c r="Y192" s="542">
        <v>29485</v>
      </c>
      <c r="Z192" s="543">
        <f t="shared" ca="1" si="2"/>
        <v>45</v>
      </c>
      <c r="AA192" s="594" t="s">
        <v>1621</v>
      </c>
      <c r="AB192" s="516" t="s">
        <v>1622</v>
      </c>
      <c r="AC192" s="516" t="s">
        <v>842</v>
      </c>
      <c r="AD192" s="516" t="s">
        <v>851</v>
      </c>
      <c r="AE192" s="534" t="s">
        <v>713</v>
      </c>
      <c r="AF192" s="534" t="s">
        <v>713</v>
      </c>
      <c r="AG192" s="534" t="s">
        <v>1229</v>
      </c>
      <c r="AH192" s="516"/>
      <c r="AI192" s="516"/>
      <c r="AJ192" s="516" t="s">
        <v>1535</v>
      </c>
      <c r="AK192" s="516"/>
      <c r="AL192" s="544"/>
      <c r="AM192" s="544"/>
    </row>
    <row r="193" spans="1:39" ht="18" customHeight="1">
      <c r="C193" s="516">
        <v>173</v>
      </c>
      <c r="D193" s="516" t="s">
        <v>1623</v>
      </c>
      <c r="E193" s="516">
        <f t="shared" si="3"/>
        <v>163</v>
      </c>
      <c r="F193" s="534" t="s">
        <v>1157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1624</v>
      </c>
      <c r="W193" s="541" t="s">
        <v>1625</v>
      </c>
      <c r="X193" s="516" t="s">
        <v>876</v>
      </c>
      <c r="Y193" s="542">
        <v>28450</v>
      </c>
      <c r="Z193" s="543">
        <f t="shared" ca="1" si="2"/>
        <v>48</v>
      </c>
      <c r="AA193" s="534" t="s">
        <v>1626</v>
      </c>
      <c r="AB193" s="516" t="s">
        <v>1627</v>
      </c>
      <c r="AC193" s="516" t="s">
        <v>842</v>
      </c>
      <c r="AD193" s="516" t="s">
        <v>851</v>
      </c>
      <c r="AE193" s="534" t="s">
        <v>713</v>
      </c>
      <c r="AF193" s="534" t="s">
        <v>1163</v>
      </c>
      <c r="AG193" s="534" t="s">
        <v>1172</v>
      </c>
      <c r="AH193" s="516"/>
      <c r="AI193" s="516"/>
      <c r="AJ193" s="516" t="s">
        <v>832</v>
      </c>
      <c r="AK193" s="516"/>
      <c r="AL193" s="544"/>
      <c r="AM193" s="544"/>
    </row>
    <row r="194" spans="1:39" ht="18" customHeight="1">
      <c r="C194" s="516">
        <v>174</v>
      </c>
      <c r="D194" s="516" t="s">
        <v>1628</v>
      </c>
      <c r="E194" s="516">
        <f t="shared" si="3"/>
        <v>164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16"/>
      <c r="U194" s="516" t="s">
        <v>874</v>
      </c>
      <c r="V194" s="538" t="s">
        <v>1629</v>
      </c>
      <c r="W194" s="541" t="s">
        <v>1630</v>
      </c>
      <c r="X194" s="516" t="s">
        <v>876</v>
      </c>
      <c r="Y194" s="542">
        <v>31343</v>
      </c>
      <c r="Z194" s="543">
        <f t="shared" ca="1" si="2"/>
        <v>40</v>
      </c>
      <c r="AA194" s="534" t="s">
        <v>1631</v>
      </c>
      <c r="AB194" s="516" t="s">
        <v>1632</v>
      </c>
      <c r="AC194" s="516" t="s">
        <v>842</v>
      </c>
      <c r="AD194" s="516" t="s">
        <v>851</v>
      </c>
      <c r="AE194" s="534" t="s">
        <v>713</v>
      </c>
      <c r="AF194" s="534" t="s">
        <v>713</v>
      </c>
      <c r="AG194" s="534"/>
      <c r="AH194" s="516"/>
      <c r="AI194" s="516"/>
      <c r="AJ194" s="516" t="s">
        <v>844</v>
      </c>
      <c r="AK194" s="516"/>
      <c r="AL194" s="544"/>
      <c r="AM194" s="544"/>
    </row>
    <row r="195" spans="1:39" ht="18" customHeight="1">
      <c r="C195" s="516">
        <v>175</v>
      </c>
      <c r="D195" s="516" t="s">
        <v>1634</v>
      </c>
      <c r="E195" s="516">
        <f t="shared" si="3"/>
        <v>165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95" t="s">
        <v>1635</v>
      </c>
      <c r="U195" s="516" t="s">
        <v>874</v>
      </c>
      <c r="V195" s="538" t="s">
        <v>1636</v>
      </c>
      <c r="W195" s="541" t="s">
        <v>1637</v>
      </c>
      <c r="X195" s="516" t="s">
        <v>876</v>
      </c>
      <c r="Y195" s="542">
        <v>31414</v>
      </c>
      <c r="Z195" s="543">
        <f t="shared" ca="1" si="2"/>
        <v>40</v>
      </c>
      <c r="AA195" s="534" t="s">
        <v>1638</v>
      </c>
      <c r="AB195" s="516" t="s">
        <v>1639</v>
      </c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 t="s">
        <v>1640</v>
      </c>
      <c r="AH195" s="516"/>
      <c r="AI195" s="516"/>
      <c r="AJ195" s="516" t="s">
        <v>832</v>
      </c>
      <c r="AK195" s="516"/>
      <c r="AL195" s="544"/>
      <c r="AM195" s="544"/>
    </row>
    <row r="196" spans="1:39" ht="18" customHeight="1">
      <c r="C196" s="516">
        <v>176</v>
      </c>
      <c r="D196" s="516" t="s">
        <v>1641</v>
      </c>
      <c r="E196" s="516">
        <f t="shared" si="3"/>
        <v>166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1614</v>
      </c>
      <c r="M196" s="536"/>
      <c r="N196" s="537"/>
      <c r="O196" s="537"/>
      <c r="P196" s="538" t="s">
        <v>978</v>
      </c>
      <c r="Q196" s="539"/>
      <c r="R196" s="516"/>
      <c r="S196" s="516"/>
      <c r="T196" s="516"/>
      <c r="U196" s="516" t="s">
        <v>874</v>
      </c>
      <c r="V196" s="538" t="s">
        <v>1642</v>
      </c>
      <c r="W196" s="541" t="s">
        <v>1643</v>
      </c>
      <c r="X196" s="516" t="s">
        <v>876</v>
      </c>
      <c r="Y196" s="542">
        <v>33133</v>
      </c>
      <c r="Z196" s="543">
        <f t="shared" ca="1" si="2"/>
        <v>35</v>
      </c>
      <c r="AA196" s="534" t="s">
        <v>1644</v>
      </c>
      <c r="AB196" s="516" t="s">
        <v>1645</v>
      </c>
      <c r="AC196" s="516" t="s">
        <v>842</v>
      </c>
      <c r="AD196" s="516" t="s">
        <v>794</v>
      </c>
      <c r="AE196" s="534" t="s">
        <v>713</v>
      </c>
      <c r="AF196" s="534" t="s">
        <v>713</v>
      </c>
      <c r="AG196" s="534" t="s">
        <v>1646</v>
      </c>
      <c r="AH196" s="516"/>
      <c r="AI196" s="516"/>
      <c r="AJ196" s="516" t="s">
        <v>844</v>
      </c>
      <c r="AK196" s="516"/>
      <c r="AL196" s="544"/>
      <c r="AM196" s="544"/>
    </row>
    <row r="197" spans="1:39" ht="18" customHeight="1">
      <c r="C197" s="516">
        <v>177</v>
      </c>
      <c r="D197" s="516" t="s">
        <v>1647</v>
      </c>
      <c r="E197" s="516">
        <f t="shared" si="3"/>
        <v>167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48" t="s">
        <v>1011</v>
      </c>
      <c r="Q197" s="539"/>
      <c r="R197" s="516" t="s">
        <v>49</v>
      </c>
      <c r="S197" s="516" t="s">
        <v>168</v>
      </c>
      <c r="T197" s="516"/>
      <c r="U197" s="516" t="s">
        <v>874</v>
      </c>
      <c r="V197" s="548" t="s">
        <v>1651</v>
      </c>
      <c r="W197" s="541" t="s">
        <v>1652</v>
      </c>
      <c r="X197" s="516" t="s">
        <v>876</v>
      </c>
      <c r="Y197" s="542">
        <v>31138</v>
      </c>
      <c r="Z197" s="543">
        <f t="shared" ca="1" si="2"/>
        <v>40</v>
      </c>
      <c r="AA197" s="594" t="s">
        <v>1653</v>
      </c>
      <c r="AB197" s="516" t="s">
        <v>1654</v>
      </c>
      <c r="AC197" s="516" t="s">
        <v>802</v>
      </c>
      <c r="AD197" s="516" t="s">
        <v>794</v>
      </c>
      <c r="AE197" s="534" t="s">
        <v>713</v>
      </c>
      <c r="AF197" s="534" t="s">
        <v>713</v>
      </c>
      <c r="AG197" s="534" t="s">
        <v>1223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178</v>
      </c>
      <c r="D198" s="516" t="s">
        <v>1649</v>
      </c>
      <c r="E198" s="516">
        <f t="shared" si="3"/>
        <v>168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209</v>
      </c>
      <c r="W198" s="541" t="s">
        <v>1655</v>
      </c>
      <c r="X198" s="516" t="s">
        <v>876</v>
      </c>
      <c r="Y198" s="542">
        <v>20588</v>
      </c>
      <c r="Z198" s="543">
        <f t="shared" ca="1" si="2"/>
        <v>69</v>
      </c>
      <c r="AA198" s="594" t="s">
        <v>1656</v>
      </c>
      <c r="AB198" s="516" t="s">
        <v>1657</v>
      </c>
      <c r="AC198" s="516" t="s">
        <v>842</v>
      </c>
      <c r="AD198" s="516" t="s">
        <v>843</v>
      </c>
      <c r="AE198" s="534" t="s">
        <v>713</v>
      </c>
      <c r="AF198" s="534" t="s">
        <v>713</v>
      </c>
      <c r="AG198" s="534" t="s">
        <v>1658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179</v>
      </c>
      <c r="D199" s="516" t="s">
        <v>1650</v>
      </c>
      <c r="E199" s="516">
        <f t="shared" si="3"/>
        <v>169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1648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62</v>
      </c>
      <c r="S199" s="516" t="s">
        <v>548</v>
      </c>
      <c r="T199" s="516"/>
      <c r="U199" s="516" t="s">
        <v>874</v>
      </c>
      <c r="V199" s="538" t="s">
        <v>1659</v>
      </c>
      <c r="W199" s="541" t="s">
        <v>1660</v>
      </c>
      <c r="X199" s="516" t="s">
        <v>876</v>
      </c>
      <c r="Y199" s="542">
        <v>28649</v>
      </c>
      <c r="Z199" s="543">
        <f t="shared" ca="1" si="2"/>
        <v>47</v>
      </c>
      <c r="AA199" s="594" t="s">
        <v>1661</v>
      </c>
      <c r="AB199" s="516" t="s">
        <v>1662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 t="s">
        <v>1663</v>
      </c>
      <c r="AH199" s="516"/>
      <c r="AI199" s="516"/>
      <c r="AJ199" s="516" t="s">
        <v>1535</v>
      </c>
      <c r="AK199" s="516"/>
      <c r="AL199" s="544"/>
      <c r="AM199" s="544"/>
    </row>
    <row r="200" spans="1:39" ht="18" customHeight="1">
      <c r="C200" s="516">
        <v>180</v>
      </c>
      <c r="D200" s="516" t="s">
        <v>1664</v>
      </c>
      <c r="E200" s="516">
        <f t="shared" si="3"/>
        <v>170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1665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323</v>
      </c>
      <c r="W200" s="541" t="s">
        <v>4258</v>
      </c>
      <c r="X200" s="516" t="s">
        <v>876</v>
      </c>
      <c r="Y200" s="542">
        <v>30593</v>
      </c>
      <c r="Z200" s="543">
        <f t="shared" ca="1" si="2"/>
        <v>42</v>
      </c>
      <c r="AA200" s="534" t="s">
        <v>1666</v>
      </c>
      <c r="AB200" s="516" t="s">
        <v>1667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/>
      <c r="AH200" s="516"/>
      <c r="AI200" s="516"/>
      <c r="AJ200" s="516" t="s">
        <v>844</v>
      </c>
      <c r="AK200" s="516"/>
      <c r="AL200" s="544"/>
      <c r="AM200" s="544"/>
    </row>
    <row r="201" spans="1:39" ht="18" customHeight="1">
      <c r="C201" s="516">
        <v>181</v>
      </c>
      <c r="D201" s="516" t="s">
        <v>1668</v>
      </c>
      <c r="E201" s="516">
        <f t="shared" si="3"/>
        <v>171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 t="s">
        <v>49</v>
      </c>
      <c r="S201" s="516" t="s">
        <v>168</v>
      </c>
      <c r="T201" s="516"/>
      <c r="U201" s="516" t="s">
        <v>874</v>
      </c>
      <c r="V201" s="538" t="s">
        <v>288</v>
      </c>
      <c r="W201" s="541" t="s">
        <v>1669</v>
      </c>
      <c r="X201" s="516" t="s">
        <v>876</v>
      </c>
      <c r="Y201" s="542">
        <v>22549</v>
      </c>
      <c r="Z201" s="543">
        <f t="shared" ca="1" si="2"/>
        <v>64</v>
      </c>
      <c r="AA201" s="594" t="s">
        <v>1670</v>
      </c>
      <c r="AB201" s="516" t="s">
        <v>1671</v>
      </c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1672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C202" s="516">
        <v>182</v>
      </c>
      <c r="D202" s="516" t="s">
        <v>1673</v>
      </c>
      <c r="E202" s="516">
        <f t="shared" si="3"/>
        <v>172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39"/>
      <c r="R202" s="516"/>
      <c r="S202" s="516"/>
      <c r="T202" s="516"/>
      <c r="U202" s="516" t="s">
        <v>874</v>
      </c>
      <c r="V202" s="538" t="s">
        <v>1674</v>
      </c>
      <c r="W202" s="541" t="s">
        <v>1675</v>
      </c>
      <c r="X202" s="516" t="s">
        <v>876</v>
      </c>
      <c r="Y202" s="542">
        <v>26557</v>
      </c>
      <c r="Z202" s="543">
        <f t="shared" ca="1" si="2"/>
        <v>53</v>
      </c>
      <c r="AA202" s="594" t="s">
        <v>1676</v>
      </c>
      <c r="AB202" s="516" t="s">
        <v>1677</v>
      </c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 t="s">
        <v>1678</v>
      </c>
      <c r="AH202" s="516"/>
      <c r="AI202" s="516"/>
      <c r="AJ202" s="516" t="s">
        <v>1535</v>
      </c>
      <c r="AK202" s="516"/>
      <c r="AL202" s="544"/>
      <c r="AM202" s="544"/>
    </row>
    <row r="203" spans="1:39" ht="18" customHeight="1">
      <c r="A203" s="173"/>
      <c r="B203" s="173"/>
      <c r="C203" s="516">
        <v>183</v>
      </c>
      <c r="D203" s="516" t="s">
        <v>1679</v>
      </c>
      <c r="E203" s="516">
        <f t="shared" si="3"/>
        <v>173</v>
      </c>
      <c r="F203" s="577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38" t="s">
        <v>1011</v>
      </c>
      <c r="Q203" s="568"/>
      <c r="R203" s="516" t="s">
        <v>49</v>
      </c>
      <c r="S203" s="516" t="s">
        <v>168</v>
      </c>
      <c r="T203" s="516"/>
      <c r="U203" s="596" t="s">
        <v>874</v>
      </c>
      <c r="V203" s="556" t="s">
        <v>278</v>
      </c>
      <c r="W203" s="557" t="s">
        <v>1680</v>
      </c>
      <c r="X203" s="516" t="s">
        <v>876</v>
      </c>
      <c r="Y203" s="542">
        <v>28944</v>
      </c>
      <c r="Z203" s="543">
        <f t="shared" ca="1" si="2"/>
        <v>46</v>
      </c>
      <c r="AA203" s="516" t="s">
        <v>1681</v>
      </c>
      <c r="AB203" s="516" t="s">
        <v>1682</v>
      </c>
      <c r="AC203" s="516" t="s">
        <v>802</v>
      </c>
      <c r="AD203" s="516" t="s">
        <v>794</v>
      </c>
      <c r="AE203" s="516" t="s">
        <v>236</v>
      </c>
      <c r="AF203" s="516" t="s">
        <v>236</v>
      </c>
      <c r="AG203" s="516" t="s">
        <v>1683</v>
      </c>
      <c r="AH203" s="554"/>
      <c r="AI203" s="554"/>
      <c r="AJ203" s="516" t="s">
        <v>867</v>
      </c>
      <c r="AK203" s="554"/>
      <c r="AL203" s="554"/>
      <c r="AM203" s="554"/>
    </row>
    <row r="204" spans="1:39" ht="18" customHeight="1">
      <c r="C204" s="516">
        <v>184</v>
      </c>
      <c r="D204" s="516" t="s">
        <v>1684</v>
      </c>
      <c r="E204" s="516">
        <f t="shared" si="3"/>
        <v>174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1647</v>
      </c>
      <c r="L204" s="535" t="s">
        <v>1648</v>
      </c>
      <c r="M204" s="629" t="s">
        <v>1649</v>
      </c>
      <c r="N204" s="629" t="s">
        <v>1650</v>
      </c>
      <c r="O204" s="537"/>
      <c r="P204" s="540" t="s">
        <v>1011</v>
      </c>
      <c r="Q204" s="539"/>
      <c r="R204" s="516"/>
      <c r="S204" s="516"/>
      <c r="T204" s="516"/>
      <c r="U204" s="516" t="s">
        <v>874</v>
      </c>
      <c r="V204" s="559" t="s">
        <v>1685</v>
      </c>
      <c r="W204" s="541" t="s">
        <v>1686</v>
      </c>
      <c r="X204" s="516" t="s">
        <v>876</v>
      </c>
      <c r="Y204" s="542">
        <v>30235</v>
      </c>
      <c r="Z204" s="543">
        <f t="shared" ca="1" si="2"/>
        <v>43</v>
      </c>
      <c r="AA204" s="534" t="s">
        <v>1687</v>
      </c>
      <c r="AB204" s="571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1688</v>
      </c>
      <c r="AH204" s="516"/>
      <c r="AI204" s="516"/>
      <c r="AJ204" s="516"/>
      <c r="AK204" s="516"/>
      <c r="AL204" s="544"/>
      <c r="AM204" s="544"/>
    </row>
    <row r="205" spans="1:39" ht="18" customHeight="1">
      <c r="C205" s="516">
        <v>185</v>
      </c>
      <c r="D205" s="516" t="s">
        <v>1665</v>
      </c>
      <c r="E205" s="516">
        <f t="shared" si="3"/>
        <v>175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4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1689</v>
      </c>
      <c r="W205" s="541" t="s">
        <v>1690</v>
      </c>
      <c r="X205" s="516" t="s">
        <v>876</v>
      </c>
      <c r="Y205" s="542">
        <v>29346</v>
      </c>
      <c r="Z205" s="543">
        <f t="shared" ca="1" si="2"/>
        <v>45</v>
      </c>
      <c r="AA205" s="534" t="s">
        <v>1691</v>
      </c>
      <c r="AB205" s="516" t="s">
        <v>1692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/>
      <c r="AH205" s="516"/>
      <c r="AI205" s="516"/>
      <c r="AJ205" s="516" t="s">
        <v>844</v>
      </c>
      <c r="AK205" s="516"/>
      <c r="AL205" s="544"/>
      <c r="AM205" s="544"/>
    </row>
    <row r="206" spans="1:39" ht="18" customHeight="1">
      <c r="C206" s="516">
        <v>186</v>
      </c>
      <c r="D206" s="516" t="s">
        <v>1648</v>
      </c>
      <c r="E206" s="516">
        <f t="shared" si="3"/>
        <v>176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2"/>
        <v>38</v>
      </c>
      <c r="AA206" s="534" t="s">
        <v>1695</v>
      </c>
      <c r="AB206" s="516" t="s">
        <v>1696</v>
      </c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1:39" ht="18" customHeight="1">
      <c r="C207" s="516">
        <v>187</v>
      </c>
      <c r="D207" s="516" t="s">
        <v>1698</v>
      </c>
      <c r="E207" s="516">
        <f t="shared" si="3"/>
        <v>177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6"/>
      <c r="O207" s="536"/>
      <c r="P207" s="538" t="s">
        <v>1041</v>
      </c>
      <c r="Q207" s="539"/>
      <c r="R207" s="516"/>
      <c r="S207" s="516"/>
      <c r="T207" s="595" t="s">
        <v>1635</v>
      </c>
      <c r="U207" s="516" t="s">
        <v>874</v>
      </c>
      <c r="V207" s="538" t="s">
        <v>1699</v>
      </c>
      <c r="W207" s="541" t="s">
        <v>1700</v>
      </c>
      <c r="X207" s="516" t="s">
        <v>876</v>
      </c>
      <c r="Y207" s="542">
        <v>23081</v>
      </c>
      <c r="Z207" s="543">
        <f t="shared" ca="1" si="2"/>
        <v>62</v>
      </c>
      <c r="AA207" s="534" t="s">
        <v>1701</v>
      </c>
      <c r="AB207" s="516" t="s">
        <v>1702</v>
      </c>
      <c r="AC207" s="516" t="s">
        <v>842</v>
      </c>
      <c r="AD207" s="516" t="s">
        <v>851</v>
      </c>
      <c r="AE207" s="534" t="s">
        <v>713</v>
      </c>
      <c r="AF207" s="534" t="s">
        <v>713</v>
      </c>
      <c r="AG207" s="534"/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188</v>
      </c>
      <c r="D208" s="516" t="s">
        <v>1703</v>
      </c>
      <c r="E208" s="516">
        <f t="shared" si="3"/>
        <v>178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1665</v>
      </c>
      <c r="L208" s="535" t="s">
        <v>1648</v>
      </c>
      <c r="M208" s="536"/>
      <c r="N208" s="537"/>
      <c r="O208" s="537"/>
      <c r="P208" s="559" t="s">
        <v>1041</v>
      </c>
      <c r="Q208" s="539"/>
      <c r="R208" s="516"/>
      <c r="S208" s="516"/>
      <c r="T208" s="516"/>
      <c r="U208" s="516" t="s">
        <v>874</v>
      </c>
      <c r="V208" s="538" t="s">
        <v>1704</v>
      </c>
      <c r="W208" s="541" t="s">
        <v>1705</v>
      </c>
      <c r="X208" s="516" t="s">
        <v>876</v>
      </c>
      <c r="Y208" s="542">
        <v>28228</v>
      </c>
      <c r="Z208" s="543">
        <f t="shared" ca="1" si="2"/>
        <v>48</v>
      </c>
      <c r="AA208" s="534" t="s">
        <v>1706</v>
      </c>
      <c r="AB208" s="516" t="s">
        <v>1707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1708</v>
      </c>
      <c r="AH208" s="516"/>
      <c r="AI208" s="516"/>
      <c r="AJ208" s="516" t="s">
        <v>844</v>
      </c>
      <c r="AK208" s="516"/>
      <c r="AL208" s="544"/>
      <c r="AM208" s="544"/>
    </row>
    <row r="209" spans="1:39" ht="18" customHeight="1">
      <c r="C209" s="516">
        <v>189</v>
      </c>
      <c r="D209" s="516" t="s">
        <v>1168</v>
      </c>
      <c r="E209" s="516">
        <f t="shared" si="3"/>
        <v>178</v>
      </c>
      <c r="F209" s="534"/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97"/>
      <c r="O209" s="537"/>
      <c r="P209" s="550" t="s">
        <v>1077</v>
      </c>
      <c r="Q209" s="539"/>
      <c r="R209" s="516" t="s">
        <v>49</v>
      </c>
      <c r="S209" s="516" t="s">
        <v>168</v>
      </c>
      <c r="T209" s="516"/>
      <c r="U209" s="516"/>
      <c r="V209" s="548" t="s">
        <v>171</v>
      </c>
      <c r="W209" s="541" t="s">
        <v>1169</v>
      </c>
      <c r="X209" s="516" t="s">
        <v>876</v>
      </c>
      <c r="Y209" s="542">
        <v>19598</v>
      </c>
      <c r="Z209" s="543">
        <f t="shared" ca="1" si="2"/>
        <v>72</v>
      </c>
      <c r="AA209" s="534" t="s">
        <v>1170</v>
      </c>
      <c r="AB209" s="516"/>
      <c r="AC209" s="516" t="s">
        <v>802</v>
      </c>
      <c r="AD209" s="516" t="s">
        <v>794</v>
      </c>
      <c r="AE209" s="534" t="s">
        <v>713</v>
      </c>
      <c r="AF209" s="534" t="s">
        <v>1163</v>
      </c>
      <c r="AG209" s="534" t="s">
        <v>1172</v>
      </c>
      <c r="AH209" s="516" t="s">
        <v>872</v>
      </c>
      <c r="AI209" s="516"/>
      <c r="AJ209" s="516"/>
      <c r="AK209" s="516"/>
      <c r="AL209" s="544"/>
      <c r="AM209" s="544"/>
    </row>
    <row r="210" spans="1:39" ht="18" customHeight="1">
      <c r="C210" s="516">
        <v>190</v>
      </c>
      <c r="D210" s="516" t="s">
        <v>1710</v>
      </c>
      <c r="E210" s="516">
        <f t="shared" si="3"/>
        <v>179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37"/>
      <c r="O210" s="537"/>
      <c r="P210" s="538" t="s">
        <v>1077</v>
      </c>
      <c r="Q210" s="539"/>
      <c r="R210" s="516" t="s">
        <v>62</v>
      </c>
      <c r="S210" s="516" t="s">
        <v>548</v>
      </c>
      <c r="T210" s="516"/>
      <c r="U210" s="516" t="s">
        <v>898</v>
      </c>
      <c r="V210" s="549" t="s">
        <v>190</v>
      </c>
      <c r="W210" s="541" t="s">
        <v>1711</v>
      </c>
      <c r="X210" s="516" t="s">
        <v>876</v>
      </c>
      <c r="Y210" s="542">
        <v>20242</v>
      </c>
      <c r="Z210" s="543">
        <f t="shared" ca="1" si="2"/>
        <v>70</v>
      </c>
      <c r="AA210" s="534" t="s">
        <v>1712</v>
      </c>
      <c r="AB210" s="516" t="s">
        <v>1713</v>
      </c>
      <c r="AC210" s="516" t="s">
        <v>842</v>
      </c>
      <c r="AD210" s="516" t="s">
        <v>843</v>
      </c>
      <c r="AE210" s="534" t="s">
        <v>713</v>
      </c>
      <c r="AF210" s="534" t="s">
        <v>713</v>
      </c>
      <c r="AG210" s="534" t="s">
        <v>1313</v>
      </c>
      <c r="AH210" s="516"/>
      <c r="AI210" s="516"/>
      <c r="AJ210" s="516" t="s">
        <v>971</v>
      </c>
      <c r="AK210" s="516"/>
      <c r="AL210" s="544"/>
      <c r="AM210" s="544"/>
    </row>
    <row r="211" spans="1:39" ht="18" customHeight="1">
      <c r="A211" s="173"/>
      <c r="B211" s="173"/>
      <c r="C211" s="516">
        <v>191</v>
      </c>
      <c r="D211" s="516" t="s">
        <v>1709</v>
      </c>
      <c r="E211" s="516">
        <f t="shared" si="3"/>
        <v>180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597" t="s">
        <v>1710</v>
      </c>
      <c r="N211" s="567"/>
      <c r="O211" s="567"/>
      <c r="P211" s="538" t="s">
        <v>1077</v>
      </c>
      <c r="Q211" s="568"/>
      <c r="R211" s="516" t="s">
        <v>62</v>
      </c>
      <c r="S211" s="516" t="s">
        <v>548</v>
      </c>
      <c r="T211" s="554"/>
      <c r="U211" s="596" t="s">
        <v>874</v>
      </c>
      <c r="V211" s="556" t="s">
        <v>1714</v>
      </c>
      <c r="W211" s="557" t="s">
        <v>1715</v>
      </c>
      <c r="X211" s="516" t="s">
        <v>876</v>
      </c>
      <c r="Y211" s="542">
        <v>23999</v>
      </c>
      <c r="Z211" s="543">
        <f t="shared" ca="1" si="2"/>
        <v>60</v>
      </c>
      <c r="AA211" s="516" t="s">
        <v>1716</v>
      </c>
      <c r="AB211" s="516" t="s">
        <v>1717</v>
      </c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/>
      <c r="AI211" s="554"/>
      <c r="AJ211" s="516" t="s">
        <v>971</v>
      </c>
      <c r="AK211" s="554"/>
      <c r="AL211" s="554"/>
      <c r="AM211" s="554"/>
    </row>
    <row r="212" spans="1:39" ht="18" customHeight="1">
      <c r="A212" s="173"/>
      <c r="B212" s="173"/>
      <c r="C212" s="516">
        <v>192</v>
      </c>
      <c r="D212" s="516" t="s">
        <v>1719</v>
      </c>
      <c r="E212" s="516">
        <f t="shared" si="3"/>
        <v>181</v>
      </c>
      <c r="F212" s="577" t="s">
        <v>1310</v>
      </c>
      <c r="G212" s="516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657" t="s">
        <v>1710</v>
      </c>
      <c r="N212" s="567"/>
      <c r="O212" s="567"/>
      <c r="P212" s="538" t="s">
        <v>1077</v>
      </c>
      <c r="Q212" s="568"/>
      <c r="R212" s="554"/>
      <c r="S212" s="554"/>
      <c r="T212" s="554"/>
      <c r="U212" s="604" t="s">
        <v>898</v>
      </c>
      <c r="V212" s="556" t="s">
        <v>229</v>
      </c>
      <c r="W212" s="557" t="s">
        <v>1720</v>
      </c>
      <c r="X212" s="516" t="s">
        <v>876</v>
      </c>
      <c r="Y212" s="542">
        <v>15134</v>
      </c>
      <c r="Z212" s="543">
        <f t="shared" ca="1" si="2"/>
        <v>84</v>
      </c>
      <c r="AA212" s="516" t="s">
        <v>1721</v>
      </c>
      <c r="AB212" s="600"/>
      <c r="AC212" s="516" t="s">
        <v>842</v>
      </c>
      <c r="AD212" s="516" t="s">
        <v>843</v>
      </c>
      <c r="AE212" s="516" t="s">
        <v>713</v>
      </c>
      <c r="AF212" s="516" t="s">
        <v>713</v>
      </c>
      <c r="AG212" s="516" t="s">
        <v>1718</v>
      </c>
      <c r="AH212" s="554"/>
      <c r="AI212" s="554"/>
      <c r="AJ212" s="516" t="s">
        <v>971</v>
      </c>
      <c r="AK212" s="554"/>
      <c r="AL212" s="554"/>
      <c r="AM212" s="554"/>
    </row>
    <row r="213" spans="1:39" ht="18" customHeight="1">
      <c r="C213" s="516">
        <v>193</v>
      </c>
      <c r="D213" s="516" t="s">
        <v>1724</v>
      </c>
      <c r="E213" s="516">
        <f t="shared" si="3"/>
        <v>182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68"/>
      <c r="R213" s="554"/>
      <c r="S213" s="554"/>
      <c r="T213" s="516" t="s">
        <v>1725</v>
      </c>
      <c r="U213" s="516" t="s">
        <v>898</v>
      </c>
      <c r="V213" s="550" t="s">
        <v>249</v>
      </c>
      <c r="W213" s="541" t="s">
        <v>1726</v>
      </c>
      <c r="X213" s="516" t="s">
        <v>876</v>
      </c>
      <c r="Y213" s="542">
        <v>18593</v>
      </c>
      <c r="Z213" s="543">
        <f t="shared" ca="1" si="2"/>
        <v>75</v>
      </c>
      <c r="AA213" s="534" t="s">
        <v>1727</v>
      </c>
      <c r="AB213" s="516" t="s">
        <v>1728</v>
      </c>
      <c r="AC213" s="516" t="s">
        <v>842</v>
      </c>
      <c r="AD213" s="516" t="s">
        <v>843</v>
      </c>
      <c r="AE213" s="534" t="s">
        <v>713</v>
      </c>
      <c r="AF213" s="534" t="s">
        <v>713</v>
      </c>
      <c r="AG213" s="534" t="s">
        <v>1729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194</v>
      </c>
      <c r="D214" s="516" t="s">
        <v>1730</v>
      </c>
      <c r="E214" s="516">
        <f t="shared" si="3"/>
        <v>183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38" t="s">
        <v>1077</v>
      </c>
      <c r="Q214" s="539"/>
      <c r="R214" s="516"/>
      <c r="S214" s="516"/>
      <c r="T214" s="516"/>
      <c r="U214" s="516" t="s">
        <v>898</v>
      </c>
      <c r="V214" s="538" t="s">
        <v>1731</v>
      </c>
      <c r="W214" s="541" t="s">
        <v>1732</v>
      </c>
      <c r="X214" s="516" t="s">
        <v>876</v>
      </c>
      <c r="Y214" s="542">
        <v>20092</v>
      </c>
      <c r="Z214" s="543">
        <f t="shared" ca="1" si="2"/>
        <v>71</v>
      </c>
      <c r="AA214" s="534" t="s">
        <v>1733</v>
      </c>
      <c r="AB214" s="516" t="s">
        <v>1734</v>
      </c>
      <c r="AC214" s="516" t="s">
        <v>842</v>
      </c>
      <c r="AD214" s="516" t="s">
        <v>843</v>
      </c>
      <c r="AE214" s="534" t="s">
        <v>1735</v>
      </c>
      <c r="AF214" s="534" t="s">
        <v>1735</v>
      </c>
      <c r="AG214" s="534" t="s">
        <v>1736</v>
      </c>
      <c r="AH214" s="516"/>
      <c r="AI214" s="516"/>
      <c r="AJ214" s="516" t="s">
        <v>971</v>
      </c>
      <c r="AK214" s="516"/>
      <c r="AL214" s="544"/>
      <c r="AM214" s="544"/>
    </row>
    <row r="215" spans="1:39" ht="18" customHeight="1">
      <c r="C215" s="516">
        <v>195</v>
      </c>
      <c r="D215" s="516" t="s">
        <v>1737</v>
      </c>
      <c r="E215" s="516">
        <f t="shared" si="3"/>
        <v>184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6" t="s">
        <v>1709</v>
      </c>
      <c r="M215" s="597" t="s">
        <v>1710</v>
      </c>
      <c r="N215" s="537"/>
      <c r="O215" s="537"/>
      <c r="P215" s="540" t="s">
        <v>1077</v>
      </c>
      <c r="Q215" s="539"/>
      <c r="R215" s="516"/>
      <c r="S215" s="516"/>
      <c r="T215" s="516"/>
      <c r="U215" s="516" t="s">
        <v>874</v>
      </c>
      <c r="V215" s="540" t="s">
        <v>1738</v>
      </c>
      <c r="W215" s="541" t="s">
        <v>1739</v>
      </c>
      <c r="X215" s="516" t="s">
        <v>876</v>
      </c>
      <c r="Y215" s="542">
        <v>22389</v>
      </c>
      <c r="Z215" s="543">
        <f t="shared" ca="1" si="2"/>
        <v>64</v>
      </c>
      <c r="AA215" s="534" t="s">
        <v>1740</v>
      </c>
      <c r="AB215" s="516" t="s">
        <v>1741</v>
      </c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1742</v>
      </c>
      <c r="AH215" s="516"/>
      <c r="AI215" s="516"/>
      <c r="AJ215" s="516" t="s">
        <v>832</v>
      </c>
      <c r="AK215" s="516"/>
      <c r="AL215" s="544"/>
      <c r="AM215" s="544"/>
    </row>
    <row r="216" spans="1:39" ht="18" customHeight="1">
      <c r="A216" s="173"/>
      <c r="B216" s="173"/>
      <c r="C216" s="516">
        <v>196</v>
      </c>
      <c r="D216" s="516" t="s">
        <v>1752</v>
      </c>
      <c r="E216" s="516">
        <f t="shared" si="3"/>
        <v>185</v>
      </c>
      <c r="F216" s="577" t="s">
        <v>1310</v>
      </c>
      <c r="G216" s="516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67"/>
      <c r="P216" s="601" t="s">
        <v>1755</v>
      </c>
      <c r="Q216" s="539"/>
      <c r="R216" s="516" t="s">
        <v>62</v>
      </c>
      <c r="S216" s="516" t="s">
        <v>548</v>
      </c>
      <c r="T216" s="554"/>
      <c r="U216" s="598" t="s">
        <v>874</v>
      </c>
      <c r="V216" s="601" t="s">
        <v>1756</v>
      </c>
      <c r="W216" s="599" t="s">
        <v>1757</v>
      </c>
      <c r="X216" s="516" t="s">
        <v>876</v>
      </c>
      <c r="Y216" s="542">
        <v>34534</v>
      </c>
      <c r="Z216" s="543">
        <f t="shared" ca="1" si="2"/>
        <v>31</v>
      </c>
      <c r="AA216" s="516" t="s">
        <v>1758</v>
      </c>
      <c r="AB216" s="516" t="s">
        <v>1759</v>
      </c>
      <c r="AC216" s="516" t="s">
        <v>842</v>
      </c>
      <c r="AD216" s="516" t="s">
        <v>843</v>
      </c>
      <c r="AE216" s="516" t="s">
        <v>1256</v>
      </c>
      <c r="AF216" s="516" t="s">
        <v>1552</v>
      </c>
      <c r="AG216" s="516" t="s">
        <v>1760</v>
      </c>
      <c r="AH216" s="554"/>
      <c r="AI216" s="554"/>
      <c r="AJ216" s="516" t="s">
        <v>971</v>
      </c>
      <c r="AK216" s="554"/>
      <c r="AL216" s="554"/>
      <c r="AM216" s="554"/>
    </row>
    <row r="217" spans="1:39" ht="18" customHeight="1">
      <c r="C217" s="516">
        <v>197</v>
      </c>
      <c r="D217" s="516" t="s">
        <v>1753</v>
      </c>
      <c r="E217" s="516">
        <f t="shared" si="3"/>
        <v>186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874</v>
      </c>
      <c r="V217" s="538" t="s">
        <v>1761</v>
      </c>
      <c r="W217" s="560" t="s">
        <v>1762</v>
      </c>
      <c r="X217" s="516" t="s">
        <v>876</v>
      </c>
      <c r="Y217" s="542">
        <v>32534</v>
      </c>
      <c r="Z217" s="543">
        <f t="shared" ca="1" si="2"/>
        <v>37</v>
      </c>
      <c r="AA217" s="534" t="s">
        <v>1763</v>
      </c>
      <c r="AB217" s="516" t="s">
        <v>1764</v>
      </c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1229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1754</v>
      </c>
      <c r="E218" s="516">
        <f t="shared" si="3"/>
        <v>187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 t="s">
        <v>62</v>
      </c>
      <c r="S218" s="516" t="s">
        <v>548</v>
      </c>
      <c r="T218" s="516"/>
      <c r="U218" s="562" t="s">
        <v>788</v>
      </c>
      <c r="V218" s="538" t="s">
        <v>1765</v>
      </c>
      <c r="W218" s="560" t="s">
        <v>1766</v>
      </c>
      <c r="X218" s="516" t="s">
        <v>876</v>
      </c>
      <c r="Y218" s="542">
        <v>35142</v>
      </c>
      <c r="Z218" s="543">
        <f t="shared" ca="1" si="2"/>
        <v>29</v>
      </c>
      <c r="AA218" s="534"/>
      <c r="AB218" s="516" t="s">
        <v>1767</v>
      </c>
      <c r="AC218" s="516" t="s">
        <v>842</v>
      </c>
      <c r="AD218" s="516" t="s">
        <v>843</v>
      </c>
      <c r="AE218" s="534" t="s">
        <v>713</v>
      </c>
      <c r="AF218" s="534" t="s">
        <v>1768</v>
      </c>
      <c r="AG218" s="534" t="s">
        <v>1769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1770</v>
      </c>
      <c r="E219" s="516">
        <f t="shared" si="3"/>
        <v>188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49" t="s">
        <v>1771</v>
      </c>
      <c r="W219" s="560" t="s">
        <v>1772</v>
      </c>
      <c r="X219" s="516" t="s">
        <v>876</v>
      </c>
      <c r="Y219" s="542">
        <v>37018</v>
      </c>
      <c r="Z219" s="543">
        <f t="shared" ca="1" si="2"/>
        <v>24</v>
      </c>
      <c r="AA219" s="594" t="s">
        <v>1773</v>
      </c>
      <c r="AB219" s="516" t="s">
        <v>1774</v>
      </c>
      <c r="AC219" s="516" t="s">
        <v>842</v>
      </c>
      <c r="AD219" s="516" t="s">
        <v>851</v>
      </c>
      <c r="AE219" s="534" t="s">
        <v>713</v>
      </c>
      <c r="AF219" s="534" t="s">
        <v>713</v>
      </c>
      <c r="AG219" s="534" t="s">
        <v>1504</v>
      </c>
      <c r="AH219" s="516"/>
      <c r="AI219" s="516"/>
      <c r="AJ219" s="516" t="s">
        <v>1535</v>
      </c>
      <c r="AK219" s="516"/>
      <c r="AL219" s="544"/>
      <c r="AM219" s="544"/>
    </row>
    <row r="220" spans="1:39" ht="18" customHeight="1">
      <c r="C220" s="516">
        <v>200</v>
      </c>
      <c r="D220" s="516" t="s">
        <v>1775</v>
      </c>
      <c r="E220" s="516">
        <f t="shared" si="3"/>
        <v>189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50" t="s">
        <v>4229</v>
      </c>
      <c r="W220" s="560" t="s">
        <v>4230</v>
      </c>
      <c r="X220" s="516" t="s">
        <v>876</v>
      </c>
      <c r="Y220" s="542">
        <v>31403</v>
      </c>
      <c r="Z220" s="543">
        <f t="shared" ca="1" si="2"/>
        <v>40</v>
      </c>
      <c r="AA220" s="534" t="s">
        <v>1778</v>
      </c>
      <c r="AB220" s="516" t="s">
        <v>1779</v>
      </c>
      <c r="AC220" s="516" t="s">
        <v>842</v>
      </c>
      <c r="AD220" s="516" t="s">
        <v>843</v>
      </c>
      <c r="AE220" s="534" t="s">
        <v>1780</v>
      </c>
      <c r="AF220" s="534" t="s">
        <v>713</v>
      </c>
      <c r="AG220" s="534" t="s">
        <v>1781</v>
      </c>
      <c r="AH220" s="516"/>
      <c r="AI220" s="516"/>
      <c r="AJ220" s="516" t="s">
        <v>971</v>
      </c>
      <c r="AK220" s="516"/>
      <c r="AL220" s="544"/>
      <c r="AM220" s="544"/>
    </row>
    <row r="221" spans="1:39" ht="18" customHeight="1">
      <c r="C221" s="516">
        <v>201</v>
      </c>
      <c r="D221" s="516" t="s">
        <v>1782</v>
      </c>
      <c r="E221" s="516">
        <f t="shared" si="3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62" t="s">
        <v>874</v>
      </c>
      <c r="V221" s="538" t="s">
        <v>1783</v>
      </c>
      <c r="W221" s="560" t="s">
        <v>1784</v>
      </c>
      <c r="X221" s="516" t="s">
        <v>876</v>
      </c>
      <c r="Y221" s="542">
        <v>35901</v>
      </c>
      <c r="Z221" s="543">
        <f t="shared" ca="1" si="2"/>
        <v>27</v>
      </c>
      <c r="AA221" s="534" t="s">
        <v>1785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1400</v>
      </c>
      <c r="AG221" s="534" t="s">
        <v>1786</v>
      </c>
      <c r="AH221" s="516"/>
      <c r="AI221" s="516" t="s">
        <v>1787</v>
      </c>
      <c r="AJ221" s="516" t="s">
        <v>971</v>
      </c>
      <c r="AK221" s="516" t="s">
        <v>860</v>
      </c>
      <c r="AL221" s="544"/>
      <c r="AM221" s="544"/>
    </row>
    <row r="222" spans="1:39" ht="18" customHeight="1">
      <c r="C222" s="516">
        <v>83</v>
      </c>
      <c r="D222" s="516" t="s">
        <v>1788</v>
      </c>
      <c r="E222" s="516">
        <f t="shared" si="3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6" t="s">
        <v>1755</v>
      </c>
      <c r="Q222" s="539"/>
      <c r="R222" s="516"/>
      <c r="S222" s="516"/>
      <c r="T222" s="516"/>
      <c r="U222" s="516" t="s">
        <v>788</v>
      </c>
      <c r="V222" s="538" t="s">
        <v>289</v>
      </c>
      <c r="W222" s="541" t="s">
        <v>1789</v>
      </c>
      <c r="X222" s="516" t="s">
        <v>876</v>
      </c>
      <c r="Y222" s="542">
        <v>34094</v>
      </c>
      <c r="Z222" s="543">
        <f t="shared" ca="1" si="2"/>
        <v>32</v>
      </c>
      <c r="AA222" s="594" t="s">
        <v>1790</v>
      </c>
      <c r="AB222" s="516"/>
      <c r="AC222" s="516" t="s">
        <v>793</v>
      </c>
      <c r="AD222" s="516" t="s">
        <v>794</v>
      </c>
      <c r="AE222" s="534" t="s">
        <v>713</v>
      </c>
      <c r="AF222" s="534" t="s">
        <v>713</v>
      </c>
      <c r="AG222" s="534" t="s">
        <v>1313</v>
      </c>
      <c r="AH222" s="516"/>
      <c r="AI222" s="516"/>
      <c r="AJ222" s="516"/>
      <c r="AK222" s="516"/>
      <c r="AL222" s="544"/>
      <c r="AM222" s="544"/>
    </row>
    <row r="223" spans="1:39" ht="18" customHeight="1">
      <c r="C223" s="516">
        <v>202</v>
      </c>
      <c r="D223" s="516" t="s">
        <v>1791</v>
      </c>
      <c r="E223" s="516">
        <f t="shared" si="3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1752</v>
      </c>
      <c r="L223" s="535" t="s">
        <v>1753</v>
      </c>
      <c r="M223" s="537" t="s">
        <v>1754</v>
      </c>
      <c r="N223" s="537"/>
      <c r="O223" s="537"/>
      <c r="P223" s="559" t="s">
        <v>1755</v>
      </c>
      <c r="Q223" s="539"/>
      <c r="R223" s="516"/>
      <c r="S223" s="516"/>
      <c r="T223" s="516"/>
      <c r="U223" s="562" t="s">
        <v>788</v>
      </c>
      <c r="V223" s="559" t="s">
        <v>1792</v>
      </c>
      <c r="W223" s="560" t="s">
        <v>1793</v>
      </c>
      <c r="X223" s="516" t="s">
        <v>876</v>
      </c>
      <c r="Y223" s="542">
        <v>31881</v>
      </c>
      <c r="Z223" s="543">
        <f t="shared" ca="1" si="2"/>
        <v>38</v>
      </c>
      <c r="AA223" s="534" t="s">
        <v>1794</v>
      </c>
      <c r="AB223" s="516" t="s">
        <v>1795</v>
      </c>
      <c r="AC223" s="516" t="s">
        <v>842</v>
      </c>
      <c r="AD223" s="516" t="s">
        <v>843</v>
      </c>
      <c r="AE223" s="534" t="s">
        <v>1796</v>
      </c>
      <c r="AF223" s="534" t="s">
        <v>1797</v>
      </c>
      <c r="AG223" s="534" t="s">
        <v>1798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203</v>
      </c>
      <c r="D224" s="516" t="s">
        <v>1118</v>
      </c>
      <c r="E224" s="516">
        <f t="shared" si="3"/>
        <v>192</v>
      </c>
      <c r="F224" s="534"/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50" t="s">
        <v>1799</v>
      </c>
      <c r="Q224" s="539"/>
      <c r="R224" s="516"/>
      <c r="S224" s="516"/>
      <c r="T224" s="516"/>
      <c r="U224" s="516"/>
      <c r="V224" s="548" t="s">
        <v>28</v>
      </c>
      <c r="W224" s="541" t="s">
        <v>1119</v>
      </c>
      <c r="X224" s="516" t="s">
        <v>876</v>
      </c>
      <c r="Y224" s="542">
        <v>33065</v>
      </c>
      <c r="Z224" s="543">
        <f t="shared" ca="1" si="2"/>
        <v>35</v>
      </c>
      <c r="AA224" s="534" t="s">
        <v>1120</v>
      </c>
      <c r="AB224" s="516"/>
      <c r="AC224" s="516" t="s">
        <v>793</v>
      </c>
      <c r="AD224" s="516" t="s">
        <v>794</v>
      </c>
      <c r="AE224" s="534" t="s">
        <v>809</v>
      </c>
      <c r="AF224" s="534" t="s">
        <v>795</v>
      </c>
      <c r="AG224" s="534" t="s">
        <v>804</v>
      </c>
      <c r="AH224" s="516" t="s">
        <v>872</v>
      </c>
      <c r="AI224" s="516"/>
      <c r="AJ224" s="516"/>
      <c r="AK224" s="516"/>
      <c r="AL224" s="544"/>
      <c r="AM224" s="544"/>
    </row>
    <row r="225" spans="3:39" ht="18" customHeight="1">
      <c r="C225" s="516">
        <v>204</v>
      </c>
      <c r="D225" s="516" t="s">
        <v>1800</v>
      </c>
      <c r="E225" s="516">
        <f t="shared" si="3"/>
        <v>193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1801</v>
      </c>
      <c r="W225" s="541" t="s">
        <v>1802</v>
      </c>
      <c r="X225" s="516" t="s">
        <v>876</v>
      </c>
      <c r="Y225" s="542">
        <v>32134</v>
      </c>
      <c r="Z225" s="543">
        <f t="shared" ca="1" si="2"/>
        <v>38</v>
      </c>
      <c r="AA225" s="534" t="s">
        <v>1803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/>
      <c r="AH225" s="516"/>
      <c r="AI225" s="516" t="s">
        <v>1804</v>
      </c>
      <c r="AJ225" s="516" t="s">
        <v>844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1806</v>
      </c>
      <c r="E226" s="516">
        <f t="shared" si="3"/>
        <v>194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874</v>
      </c>
      <c r="V226" s="538" t="s">
        <v>1807</v>
      </c>
      <c r="W226" s="541" t="s">
        <v>1808</v>
      </c>
      <c r="X226" s="516" t="s">
        <v>876</v>
      </c>
      <c r="Y226" s="542">
        <v>33526</v>
      </c>
      <c r="Z226" s="543">
        <f t="shared" ca="1" si="2"/>
        <v>34</v>
      </c>
      <c r="AA226" s="534" t="s">
        <v>1809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1313</v>
      </c>
      <c r="AH226" s="516"/>
      <c r="AI226" s="516" t="s">
        <v>1810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1811</v>
      </c>
      <c r="E227" s="516">
        <f t="shared" si="3"/>
        <v>195</v>
      </c>
      <c r="F227" s="534" t="s">
        <v>1310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788</v>
      </c>
      <c r="V227" s="538" t="s">
        <v>1812</v>
      </c>
      <c r="W227" s="541" t="s">
        <v>1813</v>
      </c>
      <c r="X227" s="516" t="s">
        <v>876</v>
      </c>
      <c r="Y227" s="542">
        <v>35919</v>
      </c>
      <c r="Z227" s="543">
        <f t="shared" ca="1" si="2"/>
        <v>27</v>
      </c>
      <c r="AA227" s="534" t="s">
        <v>1814</v>
      </c>
      <c r="AB227" s="571"/>
      <c r="AC227" s="516" t="s">
        <v>842</v>
      </c>
      <c r="AD227" s="516" t="s">
        <v>843</v>
      </c>
      <c r="AE227" s="534" t="s">
        <v>713</v>
      </c>
      <c r="AF227" s="534" t="s">
        <v>713</v>
      </c>
      <c r="AG227" s="534" t="s">
        <v>1229</v>
      </c>
      <c r="AH227" s="516"/>
      <c r="AI227" s="516" t="s">
        <v>1815</v>
      </c>
      <c r="AJ227" s="516" t="s">
        <v>971</v>
      </c>
      <c r="AK227" s="516" t="s">
        <v>1805</v>
      </c>
      <c r="AL227" s="544"/>
      <c r="AM227" s="544"/>
    </row>
    <row r="228" spans="3:39" ht="18" customHeight="1">
      <c r="C228" s="516">
        <v>207</v>
      </c>
      <c r="D228" s="516" t="s">
        <v>1816</v>
      </c>
      <c r="E228" s="516">
        <f t="shared" si="3"/>
        <v>196</v>
      </c>
      <c r="F228" s="534" t="s">
        <v>811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1817</v>
      </c>
      <c r="W228" s="541" t="s">
        <v>1818</v>
      </c>
      <c r="X228" s="516" t="s">
        <v>876</v>
      </c>
      <c r="Y228" s="542">
        <v>33182</v>
      </c>
      <c r="Z228" s="543">
        <f t="shared" ca="1" si="2"/>
        <v>35</v>
      </c>
      <c r="AA228" s="534" t="s">
        <v>1819</v>
      </c>
      <c r="AB228" s="571"/>
      <c r="AC228" s="516" t="s">
        <v>842</v>
      </c>
      <c r="AD228" s="516" t="s">
        <v>843</v>
      </c>
      <c r="AE228" s="534" t="s">
        <v>1256</v>
      </c>
      <c r="AF228" s="534" t="s">
        <v>1256</v>
      </c>
      <c r="AG228" s="534" t="s">
        <v>1820</v>
      </c>
      <c r="AH228" s="516"/>
      <c r="AI228" s="516" t="s">
        <v>866</v>
      </c>
      <c r="AJ228" s="516" t="s">
        <v>903</v>
      </c>
      <c r="AK228" s="516"/>
      <c r="AL228" s="544"/>
      <c r="AM228" s="544"/>
    </row>
    <row r="229" spans="3:39" ht="18" customHeight="1">
      <c r="C229" s="516">
        <v>208</v>
      </c>
      <c r="D229" s="516" t="s">
        <v>1821</v>
      </c>
      <c r="E229" s="516">
        <f t="shared" si="3"/>
        <v>197</v>
      </c>
      <c r="F229" s="534" t="s">
        <v>1822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/>
      <c r="R229" s="516"/>
      <c r="S229" s="516"/>
      <c r="T229" s="516"/>
      <c r="U229" s="516" t="s">
        <v>788</v>
      </c>
      <c r="V229" s="538" t="s">
        <v>1823</v>
      </c>
      <c r="W229" s="541" t="s">
        <v>1824</v>
      </c>
      <c r="X229" s="516" t="s">
        <v>876</v>
      </c>
      <c r="Y229" s="542">
        <v>36632</v>
      </c>
      <c r="Z229" s="543">
        <f t="shared" ca="1" si="2"/>
        <v>25</v>
      </c>
      <c r="AA229" s="534" t="s">
        <v>1825</v>
      </c>
      <c r="AB229" s="571"/>
      <c r="AC229" s="516" t="s">
        <v>842</v>
      </c>
      <c r="AD229" s="516" t="s">
        <v>843</v>
      </c>
      <c r="AE229" s="534" t="s">
        <v>809</v>
      </c>
      <c r="AF229" s="534" t="s">
        <v>809</v>
      </c>
      <c r="AG229" s="534" t="s">
        <v>1826</v>
      </c>
      <c r="AH229" s="516"/>
      <c r="AI229" s="516" t="s">
        <v>1827</v>
      </c>
      <c r="AJ229" s="516" t="s">
        <v>903</v>
      </c>
      <c r="AK229" s="516" t="s">
        <v>1805</v>
      </c>
      <c r="AL229" s="544"/>
      <c r="AM229" s="544"/>
    </row>
    <row r="230" spans="3:39" ht="18" customHeight="1">
      <c r="C230" s="516">
        <v>209</v>
      </c>
      <c r="D230" s="516" t="s">
        <v>1828</v>
      </c>
      <c r="E230" s="516">
        <f t="shared" si="3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59" t="s">
        <v>1799</v>
      </c>
      <c r="Q230" s="539"/>
      <c r="R230" s="516"/>
      <c r="S230" s="516"/>
      <c r="T230" s="516"/>
      <c r="U230" s="516" t="s">
        <v>874</v>
      </c>
      <c r="V230" s="559" t="s">
        <v>1829</v>
      </c>
      <c r="W230" s="541" t="s">
        <v>1830</v>
      </c>
      <c r="X230" s="516" t="s">
        <v>876</v>
      </c>
      <c r="Y230" s="542">
        <v>32089</v>
      </c>
      <c r="Z230" s="543">
        <f t="shared" ca="1" si="2"/>
        <v>38</v>
      </c>
      <c r="AA230" s="594" t="s">
        <v>1831</v>
      </c>
      <c r="AB230" s="571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1832</v>
      </c>
      <c r="AH230" s="516"/>
      <c r="AI230" s="516" t="s">
        <v>1804</v>
      </c>
      <c r="AJ230" s="516" t="s">
        <v>1535</v>
      </c>
      <c r="AK230" s="572" t="s">
        <v>1833</v>
      </c>
      <c r="AL230" s="544"/>
      <c r="AM230" s="544"/>
    </row>
    <row r="231" spans="3:39" ht="18" customHeight="1">
      <c r="C231" s="516">
        <v>210</v>
      </c>
      <c r="D231" s="516" t="s">
        <v>1510</v>
      </c>
      <c r="E231" s="516">
        <f t="shared" si="3"/>
        <v>198</v>
      </c>
      <c r="F231" s="534"/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537"/>
      <c r="N231" s="537"/>
      <c r="O231" s="537"/>
      <c r="P231" s="548" t="s">
        <v>787</v>
      </c>
      <c r="Q231" s="539"/>
      <c r="R231" s="516" t="s">
        <v>163</v>
      </c>
      <c r="S231" s="516" t="s">
        <v>500</v>
      </c>
      <c r="T231" s="516"/>
      <c r="U231" s="516"/>
      <c r="V231" s="548" t="s">
        <v>322</v>
      </c>
      <c r="W231" s="541" t="s">
        <v>1511</v>
      </c>
      <c r="X231" s="516" t="s">
        <v>876</v>
      </c>
      <c r="Y231" s="542">
        <v>36694</v>
      </c>
      <c r="Z231" s="543">
        <f t="shared" ca="1" si="2"/>
        <v>25</v>
      </c>
      <c r="AA231" s="534" t="s">
        <v>1512</v>
      </c>
      <c r="AB231" s="516"/>
      <c r="AC231" s="516" t="s">
        <v>793</v>
      </c>
      <c r="AD231" s="516" t="s">
        <v>794</v>
      </c>
      <c r="AE231" s="534" t="s">
        <v>713</v>
      </c>
      <c r="AF231" s="534" t="s">
        <v>713</v>
      </c>
      <c r="AG231" s="534" t="s">
        <v>1514</v>
      </c>
      <c r="AH231" s="516" t="s">
        <v>872</v>
      </c>
      <c r="AI231" s="516"/>
      <c r="AJ231" s="516"/>
      <c r="AK231" s="516"/>
      <c r="AL231" s="544"/>
      <c r="AM231" s="544"/>
    </row>
    <row r="232" spans="3:39" ht="18" customHeight="1">
      <c r="C232" s="516">
        <v>211</v>
      </c>
      <c r="D232" s="516" t="s">
        <v>1835</v>
      </c>
      <c r="E232" s="516">
        <f t="shared" si="3"/>
        <v>199</v>
      </c>
      <c r="F232" s="534" t="s">
        <v>811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537"/>
      <c r="N232" s="537"/>
      <c r="O232" s="537"/>
      <c r="P232" s="538" t="s">
        <v>787</v>
      </c>
      <c r="Q232" s="539" t="s">
        <v>308</v>
      </c>
      <c r="R232" s="516" t="s">
        <v>62</v>
      </c>
      <c r="S232" s="516" t="s">
        <v>548</v>
      </c>
      <c r="T232" s="516"/>
      <c r="U232" s="516" t="s">
        <v>788</v>
      </c>
      <c r="V232" s="538" t="s">
        <v>331</v>
      </c>
      <c r="W232" s="541" t="s">
        <v>1837</v>
      </c>
      <c r="X232" s="516" t="s">
        <v>876</v>
      </c>
      <c r="Y232" s="542">
        <v>38170</v>
      </c>
      <c r="Z232" s="543">
        <f t="shared" ca="1" si="2"/>
        <v>21</v>
      </c>
      <c r="AA232" s="534" t="s">
        <v>1838</v>
      </c>
      <c r="AB232" s="516" t="s">
        <v>1839</v>
      </c>
      <c r="AC232" s="516" t="s">
        <v>842</v>
      </c>
      <c r="AD232" s="516" t="s">
        <v>843</v>
      </c>
      <c r="AE232" s="534" t="s">
        <v>713</v>
      </c>
      <c r="AF232" s="534" t="s">
        <v>713</v>
      </c>
      <c r="AG232" s="534" t="s">
        <v>1597</v>
      </c>
      <c r="AH232" s="516"/>
      <c r="AI232" s="516" t="s">
        <v>1840</v>
      </c>
      <c r="AJ232" s="516" t="s">
        <v>1497</v>
      </c>
      <c r="AK232" s="516"/>
      <c r="AL232" s="544"/>
      <c r="AM232" s="544"/>
    </row>
    <row r="233" spans="3:39" ht="18" customHeight="1">
      <c r="C233" s="516">
        <v>212</v>
      </c>
      <c r="D233" s="516" t="s">
        <v>1836</v>
      </c>
      <c r="E233" s="516">
        <f t="shared" si="3"/>
        <v>200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537"/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1842</v>
      </c>
      <c r="W233" s="541" t="s">
        <v>1843</v>
      </c>
      <c r="X233" s="516" t="s">
        <v>790</v>
      </c>
      <c r="Y233" s="542">
        <v>35551</v>
      </c>
      <c r="Z233" s="543">
        <f t="shared" ca="1" si="2"/>
        <v>28</v>
      </c>
      <c r="AA233" s="534" t="s">
        <v>1844</v>
      </c>
      <c r="AB233" s="516" t="s">
        <v>1845</v>
      </c>
      <c r="AC233" s="516" t="s">
        <v>842</v>
      </c>
      <c r="AD233" s="516" t="s">
        <v>851</v>
      </c>
      <c r="AE233" s="534" t="s">
        <v>236</v>
      </c>
      <c r="AF233" s="534" t="s">
        <v>236</v>
      </c>
      <c r="AG233" s="534" t="s">
        <v>1846</v>
      </c>
      <c r="AH233" s="516"/>
      <c r="AI233" s="516"/>
      <c r="AJ233" s="516" t="s">
        <v>971</v>
      </c>
      <c r="AK233" s="516"/>
      <c r="AL233" s="544"/>
      <c r="AM233" s="544"/>
    </row>
    <row r="234" spans="3:39" ht="18" customHeight="1">
      <c r="C234" s="516">
        <v>213</v>
      </c>
      <c r="D234" s="516" t="s">
        <v>1847</v>
      </c>
      <c r="E234" s="516">
        <f t="shared" si="3"/>
        <v>201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537"/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360</v>
      </c>
      <c r="W234" s="541" t="s">
        <v>1848</v>
      </c>
      <c r="X234" s="516" t="s">
        <v>876</v>
      </c>
      <c r="Y234" s="542">
        <v>36437</v>
      </c>
      <c r="Z234" s="543">
        <f t="shared" ca="1" si="2"/>
        <v>26</v>
      </c>
      <c r="AA234" s="534" t="s">
        <v>1849</v>
      </c>
      <c r="AB234" s="516" t="s">
        <v>1850</v>
      </c>
      <c r="AC234" s="516" t="s">
        <v>842</v>
      </c>
      <c r="AD234" s="516" t="s">
        <v>851</v>
      </c>
      <c r="AE234" s="534" t="s">
        <v>1256</v>
      </c>
      <c r="AF234" s="534" t="s">
        <v>1256</v>
      </c>
      <c r="AG234" s="534" t="s">
        <v>1851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1853</v>
      </c>
      <c r="E235" s="516">
        <f t="shared" si="3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537"/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374</v>
      </c>
      <c r="W235" s="541" t="s">
        <v>1854</v>
      </c>
      <c r="X235" s="516" t="s">
        <v>876</v>
      </c>
      <c r="Y235" s="542">
        <v>36516</v>
      </c>
      <c r="Z235" s="543">
        <f t="shared" ca="1" si="2"/>
        <v>26</v>
      </c>
      <c r="AA235" s="534" t="s">
        <v>1855</v>
      </c>
      <c r="AB235" s="516" t="s">
        <v>1856</v>
      </c>
      <c r="AC235" s="516" t="s">
        <v>842</v>
      </c>
      <c r="AD235" s="516" t="s">
        <v>843</v>
      </c>
      <c r="AE235" s="534" t="s">
        <v>1256</v>
      </c>
      <c r="AF235" s="534" t="s">
        <v>1256</v>
      </c>
      <c r="AG235" s="534" t="s">
        <v>1338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215</v>
      </c>
      <c r="D236" s="516" t="s">
        <v>1857</v>
      </c>
      <c r="E236" s="516">
        <f t="shared" si="3"/>
        <v>203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537"/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387</v>
      </c>
      <c r="W236" s="541" t="s">
        <v>1858</v>
      </c>
      <c r="X236" s="516" t="s">
        <v>790</v>
      </c>
      <c r="Y236" s="542">
        <v>33468</v>
      </c>
      <c r="Z236" s="543">
        <f t="shared" ca="1" si="2"/>
        <v>34</v>
      </c>
      <c r="AA236" s="534" t="s">
        <v>1859</v>
      </c>
      <c r="AB236" s="516" t="s">
        <v>1860</v>
      </c>
      <c r="AC236" s="516" t="s">
        <v>842</v>
      </c>
      <c r="AD236" s="516" t="s">
        <v>843</v>
      </c>
      <c r="AE236" s="534" t="s">
        <v>942</v>
      </c>
      <c r="AF236" s="534" t="s">
        <v>1861</v>
      </c>
      <c r="AG236" s="534" t="s">
        <v>1862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1864</v>
      </c>
      <c r="E237" s="516">
        <f t="shared" si="3"/>
        <v>204</v>
      </c>
      <c r="F237" s="534" t="s">
        <v>1822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537"/>
      <c r="N237" s="537"/>
      <c r="O237" s="537"/>
      <c r="P237" s="538" t="s">
        <v>787</v>
      </c>
      <c r="Q237" s="539"/>
      <c r="R237" s="516"/>
      <c r="S237" s="516"/>
      <c r="T237" s="516"/>
      <c r="U237" s="516" t="s">
        <v>788</v>
      </c>
      <c r="V237" s="538" t="s">
        <v>399</v>
      </c>
      <c r="W237" s="541" t="s">
        <v>1865</v>
      </c>
      <c r="X237" s="516" t="s">
        <v>876</v>
      </c>
      <c r="Y237" s="542">
        <v>38335</v>
      </c>
      <c r="Z237" s="543">
        <f t="shared" ca="1" si="2"/>
        <v>21</v>
      </c>
      <c r="AA237" s="534" t="s">
        <v>1866</v>
      </c>
      <c r="AB237" s="516" t="s">
        <v>1867</v>
      </c>
      <c r="AC237" s="516" t="s">
        <v>842</v>
      </c>
      <c r="AD237" s="516" t="s">
        <v>843</v>
      </c>
      <c r="AE237" s="534" t="s">
        <v>1868</v>
      </c>
      <c r="AF237" s="534" t="s">
        <v>713</v>
      </c>
      <c r="AG237" s="534" t="s">
        <v>1869</v>
      </c>
      <c r="AH237" s="516"/>
      <c r="AI237" s="516"/>
      <c r="AJ237" s="516" t="s">
        <v>1852</v>
      </c>
      <c r="AK237" s="516" t="s">
        <v>1863</v>
      </c>
      <c r="AL237" s="544"/>
      <c r="AM237" s="544"/>
    </row>
    <row r="238" spans="3:39" ht="18" customHeight="1">
      <c r="C238" s="516">
        <v>217</v>
      </c>
      <c r="D238" s="516" t="s">
        <v>1870</v>
      </c>
      <c r="E238" s="516">
        <f t="shared" si="3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6" t="s">
        <v>1835</v>
      </c>
      <c r="M238" s="537"/>
      <c r="N238" s="537"/>
      <c r="O238" s="537"/>
      <c r="P238" s="538" t="s">
        <v>787</v>
      </c>
      <c r="Q238" s="539" t="s">
        <v>308</v>
      </c>
      <c r="R238" s="516"/>
      <c r="S238" s="516"/>
      <c r="T238" s="516"/>
      <c r="U238" s="516" t="s">
        <v>788</v>
      </c>
      <c r="V238" s="605" t="s">
        <v>1871</v>
      </c>
      <c r="W238" s="541" t="s">
        <v>1872</v>
      </c>
      <c r="X238" s="516" t="s">
        <v>876</v>
      </c>
      <c r="Y238" s="542">
        <v>37110</v>
      </c>
      <c r="Z238" s="543">
        <f t="shared" ca="1" si="2"/>
        <v>24</v>
      </c>
      <c r="AA238" s="534" t="s">
        <v>1873</v>
      </c>
      <c r="AB238" s="516" t="s">
        <v>1874</v>
      </c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1875</v>
      </c>
      <c r="AH238" s="516"/>
      <c r="AI238" s="516"/>
      <c r="AJ238" s="575" t="s">
        <v>1438</v>
      </c>
      <c r="AK238" s="516"/>
      <c r="AL238" s="544"/>
      <c r="AM238" s="544"/>
    </row>
    <row r="239" spans="3:39" ht="18" customHeight="1">
      <c r="C239" s="516">
        <v>218</v>
      </c>
      <c r="D239" s="516" t="s">
        <v>1515</v>
      </c>
      <c r="E239" s="516">
        <f t="shared" si="3"/>
        <v>205</v>
      </c>
      <c r="F239" s="534"/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48" t="s">
        <v>828</v>
      </c>
      <c r="Q239" s="539"/>
      <c r="R239" s="516" t="s">
        <v>49</v>
      </c>
      <c r="S239" s="516" t="s">
        <v>168</v>
      </c>
      <c r="T239" s="516"/>
      <c r="U239" s="516"/>
      <c r="V239" s="548" t="s">
        <v>246</v>
      </c>
      <c r="W239" s="541" t="s">
        <v>1516</v>
      </c>
      <c r="X239" s="516" t="s">
        <v>876</v>
      </c>
      <c r="Y239" s="542">
        <v>35604</v>
      </c>
      <c r="Z239" s="543">
        <f t="shared" ca="1" si="2"/>
        <v>28</v>
      </c>
      <c r="AA239" s="534" t="s">
        <v>1517</v>
      </c>
      <c r="AB239" s="516"/>
      <c r="AC239" s="516" t="s">
        <v>793</v>
      </c>
      <c r="AD239" s="516" t="s">
        <v>794</v>
      </c>
      <c r="AE239" s="534" t="s">
        <v>713</v>
      </c>
      <c r="AF239" s="534" t="s">
        <v>713</v>
      </c>
      <c r="AG239" s="534" t="s">
        <v>1514</v>
      </c>
      <c r="AH239" s="516" t="s">
        <v>872</v>
      </c>
      <c r="AI239" s="516"/>
      <c r="AJ239" s="516"/>
      <c r="AK239" s="516"/>
      <c r="AL239" s="544"/>
      <c r="AM239" s="544"/>
    </row>
    <row r="240" spans="3:39" ht="18" customHeight="1">
      <c r="C240" s="516">
        <v>219</v>
      </c>
      <c r="D240" s="516" t="s">
        <v>1883</v>
      </c>
      <c r="E240" s="516">
        <f t="shared" si="3"/>
        <v>206</v>
      </c>
      <c r="F240" s="534" t="s">
        <v>1310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/>
      <c r="R240" s="516" t="s">
        <v>62</v>
      </c>
      <c r="S240" s="516" t="s">
        <v>1885</v>
      </c>
      <c r="T240" s="516"/>
      <c r="U240" s="516" t="s">
        <v>1886</v>
      </c>
      <c r="V240" s="538" t="s">
        <v>1887</v>
      </c>
      <c r="W240" s="541" t="s">
        <v>1888</v>
      </c>
      <c r="X240" s="516" t="s">
        <v>876</v>
      </c>
      <c r="Y240" s="542">
        <v>39593</v>
      </c>
      <c r="Z240" s="543">
        <f t="shared" ca="1" si="2"/>
        <v>17</v>
      </c>
      <c r="AA240" s="534" t="s">
        <v>1889</v>
      </c>
      <c r="AB240" s="516" t="s">
        <v>1890</v>
      </c>
      <c r="AC240" s="516" t="s">
        <v>842</v>
      </c>
      <c r="AD240" s="516" t="s">
        <v>794</v>
      </c>
      <c r="AE240" s="534" t="s">
        <v>1256</v>
      </c>
      <c r="AF240" s="534" t="s">
        <v>1256</v>
      </c>
      <c r="AG240" s="534"/>
      <c r="AH240" s="516"/>
      <c r="AI240" s="516"/>
      <c r="AJ240" s="516" t="s">
        <v>903</v>
      </c>
      <c r="AK240" s="516"/>
      <c r="AL240" s="544"/>
      <c r="AM240" s="544"/>
    </row>
    <row r="241" spans="1:39" ht="18" customHeight="1">
      <c r="C241" s="516">
        <v>226</v>
      </c>
      <c r="D241" s="516" t="s">
        <v>1884</v>
      </c>
      <c r="E241" s="516">
        <f t="shared" si="3"/>
        <v>207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 t="s">
        <v>308</v>
      </c>
      <c r="R241" s="516" t="s">
        <v>62</v>
      </c>
      <c r="S241" s="516" t="s">
        <v>548</v>
      </c>
      <c r="T241" s="516"/>
      <c r="U241" s="516" t="s">
        <v>788</v>
      </c>
      <c r="V241" s="538" t="s">
        <v>417</v>
      </c>
      <c r="W241" s="541" t="s">
        <v>1891</v>
      </c>
      <c r="X241" s="516" t="s">
        <v>876</v>
      </c>
      <c r="Y241" s="542">
        <v>36581</v>
      </c>
      <c r="Z241" s="543">
        <f t="shared" ca="1" si="2"/>
        <v>25</v>
      </c>
      <c r="AA241" s="534" t="s">
        <v>1892</v>
      </c>
      <c r="AB241" s="516" t="s">
        <v>1893</v>
      </c>
      <c r="AC241" s="516" t="s">
        <v>842</v>
      </c>
      <c r="AD241" s="516" t="s">
        <v>843</v>
      </c>
      <c r="AE241" s="534" t="s">
        <v>713</v>
      </c>
      <c r="AF241" s="534" t="s">
        <v>713</v>
      </c>
      <c r="AG241" s="534" t="s">
        <v>1894</v>
      </c>
      <c r="AH241" s="516"/>
      <c r="AI241" s="516"/>
      <c r="AJ241" s="569" t="s">
        <v>1224</v>
      </c>
      <c r="AK241" s="516"/>
      <c r="AL241" s="544"/>
      <c r="AM241" s="544"/>
    </row>
    <row r="242" spans="1:39" ht="18" customHeight="1">
      <c r="C242" s="516">
        <v>220</v>
      </c>
      <c r="D242" s="516" t="s">
        <v>1895</v>
      </c>
      <c r="E242" s="516">
        <f t="shared" si="3"/>
        <v>208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1896</v>
      </c>
      <c r="W242" s="541" t="s">
        <v>1897</v>
      </c>
      <c r="X242" s="516" t="s">
        <v>876</v>
      </c>
      <c r="Y242" s="542">
        <v>36350</v>
      </c>
      <c r="Z242" s="543">
        <f t="shared" ca="1" si="2"/>
        <v>26</v>
      </c>
      <c r="AA242" s="534" t="s">
        <v>1898</v>
      </c>
      <c r="AB242" s="516" t="s">
        <v>1899</v>
      </c>
      <c r="AC242" s="516" t="s">
        <v>842</v>
      </c>
      <c r="AD242" s="516" t="s">
        <v>851</v>
      </c>
      <c r="AE242" s="534" t="s">
        <v>713</v>
      </c>
      <c r="AF242" s="566" t="s">
        <v>713</v>
      </c>
      <c r="AG242" s="534" t="s">
        <v>1900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221</v>
      </c>
      <c r="D243" s="516" t="s">
        <v>1901</v>
      </c>
      <c r="E243" s="516">
        <f t="shared" si="3"/>
        <v>209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1902</v>
      </c>
      <c r="W243" s="541" t="s">
        <v>1903</v>
      </c>
      <c r="X243" s="516" t="s">
        <v>790</v>
      </c>
      <c r="Y243" s="542">
        <v>36950</v>
      </c>
      <c r="Z243" s="543">
        <f t="shared" ca="1" si="2"/>
        <v>24</v>
      </c>
      <c r="AA243" s="534" t="s">
        <v>1904</v>
      </c>
      <c r="AB243" s="516" t="s">
        <v>1905</v>
      </c>
      <c r="AC243" s="516" t="s">
        <v>842</v>
      </c>
      <c r="AD243" s="516" t="s">
        <v>843</v>
      </c>
      <c r="AE243" s="534" t="s">
        <v>713</v>
      </c>
      <c r="AF243" s="566" t="s">
        <v>713</v>
      </c>
      <c r="AG243" s="534" t="s">
        <v>1906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222</v>
      </c>
      <c r="D244" s="516" t="s">
        <v>1907</v>
      </c>
      <c r="E244" s="516">
        <f t="shared" si="3"/>
        <v>210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/>
      <c r="R244" s="516"/>
      <c r="S244" s="516"/>
      <c r="T244" s="516"/>
      <c r="U244" s="516" t="s">
        <v>788</v>
      </c>
      <c r="V244" s="538" t="s">
        <v>1908</v>
      </c>
      <c r="W244" s="541" t="s">
        <v>1909</v>
      </c>
      <c r="X244" s="516" t="s">
        <v>790</v>
      </c>
      <c r="Y244" s="542">
        <v>37497</v>
      </c>
      <c r="Z244" s="543">
        <f t="shared" ca="1" si="2"/>
        <v>23</v>
      </c>
      <c r="AA244" s="534" t="s">
        <v>1910</v>
      </c>
      <c r="AB244" s="516" t="s">
        <v>1911</v>
      </c>
      <c r="AC244" s="516" t="s">
        <v>842</v>
      </c>
      <c r="AD244" s="516" t="s">
        <v>843</v>
      </c>
      <c r="AE244" s="534" t="s">
        <v>713</v>
      </c>
      <c r="AF244" s="534" t="s">
        <v>1163</v>
      </c>
      <c r="AG244" s="534" t="s">
        <v>1912</v>
      </c>
      <c r="AH244" s="516"/>
      <c r="AI244" s="516"/>
      <c r="AJ244" s="516" t="s">
        <v>903</v>
      </c>
      <c r="AK244" s="516"/>
      <c r="AL244" s="544"/>
      <c r="AM244" s="544"/>
    </row>
    <row r="245" spans="1:39" ht="18" customHeight="1">
      <c r="C245" s="516">
        <v>223</v>
      </c>
      <c r="D245" s="516" t="s">
        <v>1913</v>
      </c>
      <c r="E245" s="516">
        <f t="shared" si="3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874</v>
      </c>
      <c r="V245" s="538" t="s">
        <v>388</v>
      </c>
      <c r="W245" s="541" t="s">
        <v>1914</v>
      </c>
      <c r="X245" s="516" t="s">
        <v>876</v>
      </c>
      <c r="Y245" s="542">
        <v>36538</v>
      </c>
      <c r="Z245" s="543">
        <f t="shared" ca="1" si="2"/>
        <v>26</v>
      </c>
      <c r="AA245" s="534" t="s">
        <v>1915</v>
      </c>
      <c r="AB245" s="516" t="s">
        <v>1916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1229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224</v>
      </c>
      <c r="D246" s="516" t="s">
        <v>1917</v>
      </c>
      <c r="E246" s="516">
        <f t="shared" si="3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400</v>
      </c>
      <c r="W246" s="541" t="s">
        <v>1918</v>
      </c>
      <c r="X246" s="516" t="s">
        <v>876</v>
      </c>
      <c r="Y246" s="542">
        <v>38233</v>
      </c>
      <c r="Z246" s="543">
        <f t="shared" ca="1" si="2"/>
        <v>21</v>
      </c>
      <c r="AA246" s="534" t="s">
        <v>1919</v>
      </c>
      <c r="AB246" s="516" t="s">
        <v>1920</v>
      </c>
      <c r="AC246" s="516" t="s">
        <v>842</v>
      </c>
      <c r="AD246" s="516" t="s">
        <v>843</v>
      </c>
      <c r="AE246" s="534" t="s">
        <v>713</v>
      </c>
      <c r="AF246" s="566" t="s">
        <v>713</v>
      </c>
      <c r="AG246" s="534" t="s">
        <v>1921</v>
      </c>
      <c r="AH246" s="516"/>
      <c r="AI246" s="516"/>
      <c r="AJ246" s="593" t="s">
        <v>1604</v>
      </c>
      <c r="AK246" s="516"/>
      <c r="AL246" s="544"/>
      <c r="AM246" s="544"/>
    </row>
    <row r="247" spans="1:39" ht="18" customHeight="1">
      <c r="C247" s="516">
        <v>225</v>
      </c>
      <c r="D247" s="516" t="s">
        <v>1922</v>
      </c>
      <c r="E247" s="516">
        <f t="shared" si="3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 t="s">
        <v>308</v>
      </c>
      <c r="R247" s="516"/>
      <c r="S247" s="516"/>
      <c r="T247" s="516"/>
      <c r="U247" s="516" t="s">
        <v>788</v>
      </c>
      <c r="V247" s="538" t="s">
        <v>1923</v>
      </c>
      <c r="W247" s="541" t="s">
        <v>1924</v>
      </c>
      <c r="X247" s="516" t="s">
        <v>876</v>
      </c>
      <c r="Y247" s="542">
        <v>36315</v>
      </c>
      <c r="Z247" s="543">
        <f t="shared" ca="1" si="2"/>
        <v>26</v>
      </c>
      <c r="AA247" s="534" t="s">
        <v>1925</v>
      </c>
      <c r="AB247" s="516" t="s">
        <v>1926</v>
      </c>
      <c r="AC247" s="516" t="s">
        <v>842</v>
      </c>
      <c r="AD247" s="516" t="s">
        <v>843</v>
      </c>
      <c r="AE247" s="534" t="s">
        <v>713</v>
      </c>
      <c r="AF247" s="534" t="s">
        <v>713</v>
      </c>
      <c r="AG247" s="534" t="s">
        <v>1229</v>
      </c>
      <c r="AH247" s="516"/>
      <c r="AI247" s="516"/>
      <c r="AJ247" s="569" t="s">
        <v>1224</v>
      </c>
      <c r="AK247" s="516"/>
      <c r="AL247" s="544"/>
      <c r="AM247" s="544"/>
    </row>
    <row r="248" spans="1:39" ht="18" customHeight="1">
      <c r="C248" s="516">
        <v>227</v>
      </c>
      <c r="D248" s="516" t="s">
        <v>1928</v>
      </c>
      <c r="E248" s="516">
        <f t="shared" si="3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426</v>
      </c>
      <c r="W248" s="541" t="s">
        <v>1929</v>
      </c>
      <c r="X248" s="516" t="s">
        <v>876</v>
      </c>
      <c r="Y248" s="542">
        <v>37693</v>
      </c>
      <c r="Z248" s="543">
        <f t="shared" ca="1" si="2"/>
        <v>22</v>
      </c>
      <c r="AA248" s="534" t="s">
        <v>1930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1250</v>
      </c>
      <c r="AH248" s="516"/>
      <c r="AI248" s="516" t="s">
        <v>866</v>
      </c>
      <c r="AJ248" s="516" t="s">
        <v>903</v>
      </c>
      <c r="AK248" s="516"/>
      <c r="AL248" s="544"/>
      <c r="AM248" s="544"/>
    </row>
    <row r="249" spans="1:39" ht="18" customHeight="1">
      <c r="C249" s="516">
        <v>228</v>
      </c>
      <c r="D249" s="516" t="s">
        <v>1931</v>
      </c>
      <c r="E249" s="516">
        <f t="shared" si="3"/>
        <v>215</v>
      </c>
      <c r="F249" s="534" t="s">
        <v>1310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70" t="s">
        <v>1884</v>
      </c>
      <c r="N249" s="537"/>
      <c r="O249" s="537"/>
      <c r="P249" s="559" t="s">
        <v>828</v>
      </c>
      <c r="Q249" s="539"/>
      <c r="R249" s="516"/>
      <c r="S249" s="516"/>
      <c r="T249" s="516"/>
      <c r="U249" s="516" t="s">
        <v>1886</v>
      </c>
      <c r="V249" s="559" t="s">
        <v>1932</v>
      </c>
      <c r="W249" s="541" t="s">
        <v>1933</v>
      </c>
      <c r="X249" s="516" t="s">
        <v>876</v>
      </c>
      <c r="Y249" s="542">
        <v>39312</v>
      </c>
      <c r="Z249" s="543">
        <f t="shared" ca="1" si="2"/>
        <v>18</v>
      </c>
      <c r="AA249" s="534" t="s">
        <v>1934</v>
      </c>
      <c r="AB249" s="516" t="s">
        <v>1935</v>
      </c>
      <c r="AC249" s="516" t="s">
        <v>842</v>
      </c>
      <c r="AD249" s="516" t="s">
        <v>843</v>
      </c>
      <c r="AE249" s="534" t="s">
        <v>1735</v>
      </c>
      <c r="AF249" s="534" t="s">
        <v>1735</v>
      </c>
      <c r="AG249" s="534"/>
      <c r="AH249" s="516"/>
      <c r="AI249" s="516" t="s">
        <v>1936</v>
      </c>
      <c r="AJ249" s="516" t="s">
        <v>903</v>
      </c>
      <c r="AK249" s="516" t="s">
        <v>1805</v>
      </c>
      <c r="AL249" s="544"/>
      <c r="AM249" s="544"/>
    </row>
    <row r="250" spans="1:39" ht="18" customHeight="1">
      <c r="C250" s="516">
        <v>229</v>
      </c>
      <c r="D250" s="516" t="s">
        <v>1664</v>
      </c>
      <c r="E250" s="516">
        <f t="shared" si="3"/>
        <v>215</v>
      </c>
      <c r="F250" s="534"/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48" t="s">
        <v>938</v>
      </c>
      <c r="Q250" s="539"/>
      <c r="R250" s="516" t="s">
        <v>49</v>
      </c>
      <c r="S250" s="516" t="s">
        <v>168</v>
      </c>
      <c r="T250" s="516"/>
      <c r="U250" s="516"/>
      <c r="V250" s="548" t="s">
        <v>323</v>
      </c>
      <c r="W250" s="541" t="s">
        <v>1938</v>
      </c>
      <c r="X250" s="516" t="s">
        <v>876</v>
      </c>
      <c r="Y250" s="542">
        <v>30593</v>
      </c>
      <c r="Z250" s="543">
        <f t="shared" ca="1" si="2"/>
        <v>42</v>
      </c>
      <c r="AA250" s="534" t="s">
        <v>1666</v>
      </c>
      <c r="AB250" s="516" t="s">
        <v>1667</v>
      </c>
      <c r="AC250" s="516" t="s">
        <v>802</v>
      </c>
      <c r="AD250" s="516" t="s">
        <v>794</v>
      </c>
      <c r="AE250" s="534" t="s">
        <v>713</v>
      </c>
      <c r="AF250" s="534" t="s">
        <v>713</v>
      </c>
      <c r="AG250" s="534"/>
      <c r="AH250" s="516" t="s">
        <v>872</v>
      </c>
      <c r="AI250" s="516"/>
      <c r="AJ250" s="516"/>
      <c r="AK250" s="516"/>
      <c r="AL250" s="544"/>
      <c r="AM250" s="544"/>
    </row>
    <row r="251" spans="1:39" ht="18" customHeight="1">
      <c r="C251" s="516">
        <v>230</v>
      </c>
      <c r="D251" s="516" t="s">
        <v>1937</v>
      </c>
      <c r="E251" s="516">
        <f t="shared" si="3"/>
        <v>216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 t="s">
        <v>62</v>
      </c>
      <c r="S251" s="516" t="s">
        <v>62</v>
      </c>
      <c r="T251" s="516"/>
      <c r="U251" s="516" t="s">
        <v>874</v>
      </c>
      <c r="V251" s="538" t="s">
        <v>347</v>
      </c>
      <c r="W251" s="541" t="s">
        <v>1939</v>
      </c>
      <c r="X251" s="516" t="s">
        <v>876</v>
      </c>
      <c r="Y251" s="542">
        <v>30325</v>
      </c>
      <c r="Z251" s="543">
        <f t="shared" ca="1" si="2"/>
        <v>43</v>
      </c>
      <c r="AA251" s="534" t="s">
        <v>1940</v>
      </c>
      <c r="AB251" s="516" t="s">
        <v>1941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1391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1942</v>
      </c>
      <c r="E252" s="516">
        <f t="shared" si="3"/>
        <v>217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38" t="s">
        <v>938</v>
      </c>
      <c r="Q252" s="539" t="s">
        <v>308</v>
      </c>
      <c r="R252" s="516"/>
      <c r="S252" s="516"/>
      <c r="T252" s="516"/>
      <c r="U252" s="516" t="s">
        <v>874</v>
      </c>
      <c r="V252" s="538" t="s">
        <v>332</v>
      </c>
      <c r="W252" s="541" t="s">
        <v>1943</v>
      </c>
      <c r="X252" s="516" t="s">
        <v>876</v>
      </c>
      <c r="Y252" s="542">
        <v>27988</v>
      </c>
      <c r="Z252" s="543">
        <f t="shared" ca="1" si="2"/>
        <v>49</v>
      </c>
      <c r="AA252" s="534" t="s">
        <v>1944</v>
      </c>
      <c r="AB252" s="516" t="s">
        <v>1945</v>
      </c>
      <c r="AC252" s="516" t="s">
        <v>842</v>
      </c>
      <c r="AD252" s="516" t="s">
        <v>843</v>
      </c>
      <c r="AE252" s="534" t="s">
        <v>713</v>
      </c>
      <c r="AF252" s="566" t="s">
        <v>713</v>
      </c>
      <c r="AG252" s="534" t="s">
        <v>1427</v>
      </c>
      <c r="AH252" s="516"/>
      <c r="AI252" s="516"/>
      <c r="AJ252" s="516" t="s">
        <v>1497</v>
      </c>
      <c r="AK252" s="516"/>
      <c r="AL252" s="544"/>
      <c r="AM252" s="544"/>
    </row>
    <row r="253" spans="1:39" ht="18" customHeight="1">
      <c r="C253" s="516">
        <v>232</v>
      </c>
      <c r="D253" s="516" t="s">
        <v>1946</v>
      </c>
      <c r="E253" s="516">
        <f t="shared" si="3"/>
        <v>218</v>
      </c>
      <c r="F253" s="534" t="s">
        <v>1157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1664</v>
      </c>
      <c r="L253" s="535" t="s">
        <v>1937</v>
      </c>
      <c r="M253" s="536"/>
      <c r="N253" s="537"/>
      <c r="O253" s="537"/>
      <c r="P253" s="559" t="s">
        <v>938</v>
      </c>
      <c r="Q253" s="539" t="s">
        <v>308</v>
      </c>
      <c r="R253" s="516"/>
      <c r="S253" s="516"/>
      <c r="T253" s="516"/>
      <c r="U253" s="516" t="s">
        <v>788</v>
      </c>
      <c r="V253" s="559" t="s">
        <v>361</v>
      </c>
      <c r="W253" s="541" t="s">
        <v>1947</v>
      </c>
      <c r="X253" s="516" t="s">
        <v>876</v>
      </c>
      <c r="Y253" s="542">
        <v>33178</v>
      </c>
      <c r="Z253" s="543">
        <f t="shared" ca="1" si="2"/>
        <v>35</v>
      </c>
      <c r="AA253" s="534" t="s">
        <v>1948</v>
      </c>
      <c r="AB253" s="516" t="s">
        <v>1949</v>
      </c>
      <c r="AC253" s="516" t="s">
        <v>842</v>
      </c>
      <c r="AD253" s="516" t="s">
        <v>843</v>
      </c>
      <c r="AE253" s="534" t="s">
        <v>713</v>
      </c>
      <c r="AF253" s="534" t="s">
        <v>713</v>
      </c>
      <c r="AG253" s="534" t="s">
        <v>1229</v>
      </c>
      <c r="AH253" s="516"/>
      <c r="AI253" s="516"/>
      <c r="AJ253" s="593" t="s">
        <v>1950</v>
      </c>
      <c r="AK253" s="516"/>
      <c r="AL253" s="544"/>
      <c r="AM253" s="544"/>
    </row>
    <row r="254" spans="1:39" ht="18" customHeight="1">
      <c r="C254" s="516">
        <v>233</v>
      </c>
      <c r="D254" s="516" t="s">
        <v>1951</v>
      </c>
      <c r="E254" s="516">
        <f t="shared" si="3"/>
        <v>219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/>
      <c r="S254" s="516"/>
      <c r="T254" s="516" t="s">
        <v>4225</v>
      </c>
      <c r="U254" s="516" t="s">
        <v>874</v>
      </c>
      <c r="V254" s="538" t="s">
        <v>1956</v>
      </c>
      <c r="W254" s="541" t="s">
        <v>1957</v>
      </c>
      <c r="X254" s="516" t="s">
        <v>876</v>
      </c>
      <c r="Y254" s="542">
        <v>34308</v>
      </c>
      <c r="Z254" s="543">
        <f t="shared" ca="1" si="2"/>
        <v>32</v>
      </c>
      <c r="AA254" s="534" t="s">
        <v>1958</v>
      </c>
      <c r="AB254" s="516" t="s">
        <v>1959</v>
      </c>
      <c r="AC254" s="516" t="s">
        <v>842</v>
      </c>
      <c r="AD254" s="516" t="s">
        <v>851</v>
      </c>
      <c r="AE254" s="534" t="s">
        <v>713</v>
      </c>
      <c r="AF254" s="566" t="s">
        <v>713</v>
      </c>
      <c r="AG254" s="534" t="s">
        <v>1449</v>
      </c>
      <c r="AH254" s="516"/>
      <c r="AI254" s="516"/>
      <c r="AJ254" s="516" t="s">
        <v>903</v>
      </c>
      <c r="AK254" s="516"/>
      <c r="AL254" s="544"/>
      <c r="AM254" s="544"/>
    </row>
    <row r="255" spans="1:39" ht="18" customHeight="1">
      <c r="C255" s="516">
        <v>234</v>
      </c>
      <c r="D255" s="516" t="s">
        <v>1952</v>
      </c>
      <c r="E255" s="516">
        <f t="shared" si="3"/>
        <v>220</v>
      </c>
      <c r="F255" s="534" t="s">
        <v>811</v>
      </c>
      <c r="G255" s="534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38" t="s">
        <v>978</v>
      </c>
      <c r="Q255" s="539"/>
      <c r="R255" s="516" t="s">
        <v>62</v>
      </c>
      <c r="S255" s="516" t="s">
        <v>548</v>
      </c>
      <c r="T255" s="516"/>
      <c r="U255" s="516" t="s">
        <v>874</v>
      </c>
      <c r="V255" s="538" t="s">
        <v>348</v>
      </c>
      <c r="W255" s="541" t="s">
        <v>1960</v>
      </c>
      <c r="X255" s="516" t="s">
        <v>876</v>
      </c>
      <c r="Y255" s="542">
        <v>34385</v>
      </c>
      <c r="Z255" s="543">
        <f t="shared" ca="1" si="2"/>
        <v>31</v>
      </c>
      <c r="AA255" s="534" t="s">
        <v>1961</v>
      </c>
      <c r="AB255" s="516" t="s">
        <v>1962</v>
      </c>
      <c r="AC255" s="516" t="s">
        <v>842</v>
      </c>
      <c r="AD255" s="516" t="s">
        <v>851</v>
      </c>
      <c r="AE255" s="534" t="s">
        <v>713</v>
      </c>
      <c r="AF255" s="534" t="s">
        <v>1400</v>
      </c>
      <c r="AG255" s="534" t="s">
        <v>1963</v>
      </c>
      <c r="AH255" s="516"/>
      <c r="AI255" s="516"/>
      <c r="AJ255" s="516" t="s">
        <v>1852</v>
      </c>
      <c r="AK255" s="516"/>
      <c r="AL255" s="544"/>
      <c r="AM255" s="544"/>
    </row>
    <row r="256" spans="1:39" ht="18" customHeight="1">
      <c r="A256" s="173"/>
      <c r="B256" s="173"/>
      <c r="C256" s="516">
        <v>236</v>
      </c>
      <c r="D256" s="516" t="s">
        <v>1953</v>
      </c>
      <c r="E256" s="516">
        <f>SUBTOTAL(103,$U$21:U256)</f>
        <v>221</v>
      </c>
      <c r="F256" s="603" t="s">
        <v>811</v>
      </c>
      <c r="G256" s="516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56" t="s">
        <v>978</v>
      </c>
      <c r="Q256" s="539" t="s">
        <v>308</v>
      </c>
      <c r="R256" s="516" t="s">
        <v>62</v>
      </c>
      <c r="S256" s="516" t="s">
        <v>548</v>
      </c>
      <c r="T256" s="554"/>
      <c r="U256" s="596" t="s">
        <v>874</v>
      </c>
      <c r="V256" s="556" t="s">
        <v>375</v>
      </c>
      <c r="W256" s="557" t="s">
        <v>1964</v>
      </c>
      <c r="X256" s="516" t="s">
        <v>876</v>
      </c>
      <c r="Y256" s="542">
        <v>30447</v>
      </c>
      <c r="Z256" s="543">
        <f t="shared" ca="1" si="2"/>
        <v>42</v>
      </c>
      <c r="AA256" s="516" t="s">
        <v>1965</v>
      </c>
      <c r="AB256" s="516" t="s">
        <v>1966</v>
      </c>
      <c r="AC256" s="516" t="s">
        <v>842</v>
      </c>
      <c r="AD256" s="516" t="s">
        <v>843</v>
      </c>
      <c r="AE256" s="516" t="s">
        <v>713</v>
      </c>
      <c r="AF256" s="566" t="s">
        <v>713</v>
      </c>
      <c r="AG256" s="516" t="s">
        <v>1094</v>
      </c>
      <c r="AH256" s="554"/>
      <c r="AI256" s="554"/>
      <c r="AJ256" s="516" t="s">
        <v>1497</v>
      </c>
      <c r="AK256" s="554"/>
      <c r="AL256" s="554"/>
      <c r="AM256" s="554"/>
    </row>
    <row r="257" spans="3:39" ht="18" customHeight="1">
      <c r="C257" s="516">
        <v>235</v>
      </c>
      <c r="D257" s="516" t="s">
        <v>1954</v>
      </c>
      <c r="E257" s="516">
        <f t="shared" ref="E257:E282" si="4">SUBTOTAL(103,$U$21:U257)</f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333</v>
      </c>
      <c r="W257" s="541" t="s">
        <v>1967</v>
      </c>
      <c r="X257" s="516" t="s">
        <v>876</v>
      </c>
      <c r="Y257" s="542">
        <v>30826</v>
      </c>
      <c r="Z257" s="543">
        <f t="shared" ca="1" si="2"/>
        <v>41</v>
      </c>
      <c r="AA257" s="534" t="s">
        <v>1968</v>
      </c>
      <c r="AB257" s="516" t="s">
        <v>1969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66" t="s">
        <v>1313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1955</v>
      </c>
      <c r="E258" s="516">
        <f t="shared" si="4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 t="s">
        <v>62</v>
      </c>
      <c r="S258" s="516" t="s">
        <v>548</v>
      </c>
      <c r="T258" s="516"/>
      <c r="U258" s="516" t="s">
        <v>874</v>
      </c>
      <c r="V258" s="538" t="s">
        <v>389</v>
      </c>
      <c r="W258" s="541" t="s">
        <v>1970</v>
      </c>
      <c r="X258" s="516" t="s">
        <v>876</v>
      </c>
      <c r="Y258" s="542">
        <v>31415</v>
      </c>
      <c r="Z258" s="543">
        <f t="shared" ca="1" si="2"/>
        <v>40</v>
      </c>
      <c r="AA258" s="534" t="s">
        <v>1971</v>
      </c>
      <c r="AB258" s="516" t="s">
        <v>1972</v>
      </c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1973</v>
      </c>
      <c r="AH258" s="516"/>
      <c r="AI258" s="516"/>
      <c r="AJ258" s="593" t="s">
        <v>1604</v>
      </c>
      <c r="AK258" s="516"/>
      <c r="AL258" s="544"/>
      <c r="AM258" s="544"/>
    </row>
    <row r="259" spans="3:39" ht="18" customHeight="1">
      <c r="C259" s="516">
        <v>237</v>
      </c>
      <c r="D259" s="516" t="s">
        <v>1974</v>
      </c>
      <c r="E259" s="516">
        <f t="shared" si="4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1951</v>
      </c>
      <c r="L259" s="535" t="s">
        <v>1952</v>
      </c>
      <c r="M259" s="570" t="s">
        <v>1953</v>
      </c>
      <c r="N259" s="660" t="s">
        <v>1954</v>
      </c>
      <c r="O259" s="660" t="s">
        <v>1955</v>
      </c>
      <c r="P259" s="538" t="s">
        <v>978</v>
      </c>
      <c r="Q259" s="539" t="s">
        <v>308</v>
      </c>
      <c r="R259" s="516"/>
      <c r="S259" s="516"/>
      <c r="T259" s="516"/>
      <c r="U259" s="516" t="s">
        <v>874</v>
      </c>
      <c r="V259" s="540" t="s">
        <v>362</v>
      </c>
      <c r="W259" s="541" t="s">
        <v>1975</v>
      </c>
      <c r="X259" s="516" t="s">
        <v>876</v>
      </c>
      <c r="Y259" s="542">
        <v>33658</v>
      </c>
      <c r="Z259" s="543">
        <f t="shared" ca="1" si="2"/>
        <v>33</v>
      </c>
      <c r="AA259" s="534" t="s">
        <v>1976</v>
      </c>
      <c r="AB259" s="516" t="s">
        <v>1977</v>
      </c>
      <c r="AC259" s="516" t="s">
        <v>842</v>
      </c>
      <c r="AD259" s="516" t="s">
        <v>843</v>
      </c>
      <c r="AE259" s="534" t="s">
        <v>236</v>
      </c>
      <c r="AF259" s="534" t="s">
        <v>236</v>
      </c>
      <c r="AG259" s="534" t="s">
        <v>1978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239</v>
      </c>
      <c r="D260" s="516" t="s">
        <v>1985</v>
      </c>
      <c r="E260" s="516">
        <f t="shared" si="4"/>
        <v>225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48" t="s">
        <v>314</v>
      </c>
      <c r="Q260" s="539"/>
      <c r="R260" s="516" t="s">
        <v>49</v>
      </c>
      <c r="S260" s="516" t="s">
        <v>168</v>
      </c>
      <c r="T260" s="516"/>
      <c r="U260" s="516" t="s">
        <v>1886</v>
      </c>
      <c r="V260" s="548" t="s">
        <v>324</v>
      </c>
      <c r="W260" s="541" t="s">
        <v>1989</v>
      </c>
      <c r="X260" s="516" t="s">
        <v>876</v>
      </c>
      <c r="Y260" s="542">
        <v>39305</v>
      </c>
      <c r="Z260" s="543">
        <f t="shared" ca="1" si="2"/>
        <v>18</v>
      </c>
      <c r="AA260" s="534" t="s">
        <v>1990</v>
      </c>
      <c r="AB260" s="516" t="s">
        <v>1991</v>
      </c>
      <c r="AC260" s="516" t="s">
        <v>842</v>
      </c>
      <c r="AD260" s="516" t="s">
        <v>794</v>
      </c>
      <c r="AE260" s="534" t="s">
        <v>236</v>
      </c>
      <c r="AF260" s="534" t="s">
        <v>236</v>
      </c>
      <c r="AG260" s="534" t="s">
        <v>865</v>
      </c>
      <c r="AH260" s="516"/>
      <c r="AI260" s="516"/>
      <c r="AJ260" s="516" t="s">
        <v>844</v>
      </c>
      <c r="AK260" s="516"/>
      <c r="AL260" s="544"/>
      <c r="AM260" s="544"/>
    </row>
    <row r="261" spans="3:39" ht="18" customHeight="1">
      <c r="C261" s="516">
        <v>240</v>
      </c>
      <c r="D261" s="516" t="s">
        <v>1986</v>
      </c>
      <c r="E261" s="516">
        <f t="shared" si="4"/>
        <v>226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 t="s">
        <v>62</v>
      </c>
      <c r="S261" s="516" t="s">
        <v>1885</v>
      </c>
      <c r="T261" s="516"/>
      <c r="U261" s="516" t="s">
        <v>1886</v>
      </c>
      <c r="V261" s="538" t="s">
        <v>349</v>
      </c>
      <c r="W261" s="541" t="s">
        <v>1992</v>
      </c>
      <c r="X261" s="516" t="s">
        <v>876</v>
      </c>
      <c r="Y261" s="542">
        <v>39342</v>
      </c>
      <c r="Z261" s="543">
        <f t="shared" ca="1" si="2"/>
        <v>18</v>
      </c>
      <c r="AA261" s="534" t="s">
        <v>1993</v>
      </c>
      <c r="AB261" s="516" t="s">
        <v>1994</v>
      </c>
      <c r="AC261" s="516" t="s">
        <v>842</v>
      </c>
      <c r="AD261" s="516" t="s">
        <v>843</v>
      </c>
      <c r="AE261" s="534" t="s">
        <v>815</v>
      </c>
      <c r="AF261" s="534" t="s">
        <v>815</v>
      </c>
      <c r="AG261" s="534" t="s">
        <v>1995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1987</v>
      </c>
      <c r="E262" s="516">
        <f t="shared" si="4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 t="s">
        <v>62</v>
      </c>
      <c r="S262" s="516" t="s">
        <v>1885</v>
      </c>
      <c r="T262" s="516"/>
      <c r="U262" s="516" t="s">
        <v>1886</v>
      </c>
      <c r="V262" s="538" t="s">
        <v>401</v>
      </c>
      <c r="W262" s="541" t="s">
        <v>1996</v>
      </c>
      <c r="X262" s="516" t="s">
        <v>790</v>
      </c>
      <c r="Y262" s="542">
        <v>39486</v>
      </c>
      <c r="Z262" s="543">
        <f t="shared" ca="1" si="2"/>
        <v>17</v>
      </c>
      <c r="AA262" s="534" t="s">
        <v>1997</v>
      </c>
      <c r="AB262" s="516" t="s">
        <v>1998</v>
      </c>
      <c r="AC262" s="516" t="s">
        <v>842</v>
      </c>
      <c r="AD262" s="516" t="s">
        <v>843</v>
      </c>
      <c r="AE262" s="534" t="s">
        <v>815</v>
      </c>
      <c r="AF262" s="534" t="s">
        <v>1999</v>
      </c>
      <c r="AG262" s="534" t="s">
        <v>2000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1988</v>
      </c>
      <c r="E263" s="516">
        <f t="shared" si="4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412</v>
      </c>
      <c r="W263" s="541" t="s">
        <v>2001</v>
      </c>
      <c r="X263" s="516" t="s">
        <v>876</v>
      </c>
      <c r="Y263" s="542">
        <v>40060</v>
      </c>
      <c r="Z263" s="543">
        <f t="shared" ca="1" si="2"/>
        <v>16</v>
      </c>
      <c r="AA263" s="534" t="s">
        <v>2002</v>
      </c>
      <c r="AB263" s="516" t="s">
        <v>2003</v>
      </c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2004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4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2"/>
        <v>20</v>
      </c>
      <c r="AA264" s="594" t="s">
        <v>2007</v>
      </c>
      <c r="AB264" s="516" t="s">
        <v>2008</v>
      </c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2009</v>
      </c>
      <c r="E265" s="516">
        <f t="shared" si="4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2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245</v>
      </c>
      <c r="D266" s="516" t="s">
        <v>2014</v>
      </c>
      <c r="E266" s="516">
        <f t="shared" si="4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2"/>
        <v>19</v>
      </c>
      <c r="AA266" s="534" t="s">
        <v>2016</v>
      </c>
      <c r="AB266" s="516" t="s">
        <v>2017</v>
      </c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2018</v>
      </c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2019</v>
      </c>
      <c r="E267" s="516">
        <f t="shared" si="4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2"/>
        <v>18</v>
      </c>
      <c r="AA267" s="534" t="s">
        <v>2021</v>
      </c>
      <c r="AB267" s="516" t="s">
        <v>2022</v>
      </c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247</v>
      </c>
      <c r="D268" s="516" t="s">
        <v>2023</v>
      </c>
      <c r="E268" s="516">
        <f t="shared" si="4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 t="s">
        <v>1987</v>
      </c>
      <c r="N268" s="537" t="s">
        <v>1988</v>
      </c>
      <c r="O268" s="660" t="s">
        <v>1988</v>
      </c>
      <c r="P268" s="559" t="s">
        <v>314</v>
      </c>
      <c r="Q268" s="539" t="s">
        <v>308</v>
      </c>
      <c r="R268" s="516"/>
      <c r="S268" s="516"/>
      <c r="T268" s="516"/>
      <c r="U268" s="516" t="s">
        <v>1886</v>
      </c>
      <c r="V268" s="559" t="s">
        <v>418</v>
      </c>
      <c r="W268" s="541" t="s">
        <v>2024</v>
      </c>
      <c r="X268" s="516" t="s">
        <v>876</v>
      </c>
      <c r="Y268" s="542">
        <v>40531</v>
      </c>
      <c r="Z268" s="543">
        <f t="shared" ca="1" si="2"/>
        <v>15</v>
      </c>
      <c r="AA268" s="534" t="s">
        <v>2025</v>
      </c>
      <c r="AB268" s="516"/>
      <c r="AC268" s="516" t="s">
        <v>842</v>
      </c>
      <c r="AD268" s="516" t="s">
        <v>843</v>
      </c>
      <c r="AE268" s="534" t="s">
        <v>236</v>
      </c>
      <c r="AF268" s="534" t="s">
        <v>236</v>
      </c>
      <c r="AG268" s="574" t="s">
        <v>744</v>
      </c>
      <c r="AH268" s="516"/>
      <c r="AI268" s="516"/>
      <c r="AJ268" s="565" t="s">
        <v>1087</v>
      </c>
      <c r="AK268" s="516" t="s">
        <v>2026</v>
      </c>
      <c r="AL268" s="544"/>
      <c r="AM268" s="544"/>
    </row>
    <row r="269" spans="3:39" ht="18" customHeight="1">
      <c r="C269" s="516">
        <v>248</v>
      </c>
      <c r="D269" s="516" t="s">
        <v>1510</v>
      </c>
      <c r="E269" s="516">
        <f t="shared" si="4"/>
        <v>233</v>
      </c>
      <c r="F269" s="534"/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48" t="s">
        <v>315</v>
      </c>
      <c r="Q269" s="539"/>
      <c r="R269" s="516" t="s">
        <v>163</v>
      </c>
      <c r="S269" s="516" t="s">
        <v>500</v>
      </c>
      <c r="T269" s="516"/>
      <c r="U269" s="562"/>
      <c r="V269" s="548" t="s">
        <v>322</v>
      </c>
      <c r="W269" s="560" t="s">
        <v>1511</v>
      </c>
      <c r="X269" s="516" t="s">
        <v>876</v>
      </c>
      <c r="Y269" s="542">
        <v>36694</v>
      </c>
      <c r="Z269" s="543">
        <f t="shared" ca="1" si="2"/>
        <v>25</v>
      </c>
      <c r="AA269" s="534" t="s">
        <v>1512</v>
      </c>
      <c r="AB269" s="516"/>
      <c r="AC269" s="516" t="s">
        <v>793</v>
      </c>
      <c r="AD269" s="516" t="s">
        <v>794</v>
      </c>
      <c r="AE269" s="534" t="s">
        <v>713</v>
      </c>
      <c r="AF269" s="534" t="s">
        <v>713</v>
      </c>
      <c r="AG269" s="534" t="s">
        <v>1514</v>
      </c>
      <c r="AH269" s="516" t="s">
        <v>872</v>
      </c>
      <c r="AI269" s="516"/>
      <c r="AJ269" s="516"/>
      <c r="AK269" s="516"/>
      <c r="AL269" s="544"/>
      <c r="AM269" s="544"/>
    </row>
    <row r="270" spans="3:39" ht="18" customHeight="1">
      <c r="C270" s="516">
        <v>249</v>
      </c>
      <c r="D270" s="516" t="s">
        <v>2030</v>
      </c>
      <c r="E270" s="516">
        <f t="shared" si="4"/>
        <v>234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/>
      <c r="R270" s="516" t="s">
        <v>62</v>
      </c>
      <c r="S270" s="516" t="s">
        <v>1885</v>
      </c>
      <c r="T270" s="516"/>
      <c r="U270" s="562" t="s">
        <v>1886</v>
      </c>
      <c r="V270" s="538" t="s">
        <v>336</v>
      </c>
      <c r="W270" s="560" t="s">
        <v>2032</v>
      </c>
      <c r="X270" s="516" t="s">
        <v>876</v>
      </c>
      <c r="Y270" s="542">
        <v>39497</v>
      </c>
      <c r="Z270" s="543">
        <f t="shared" ca="1" si="2"/>
        <v>17</v>
      </c>
      <c r="AA270" s="534" t="s">
        <v>2033</v>
      </c>
      <c r="AB270" s="516" t="s">
        <v>2034</v>
      </c>
      <c r="AC270" s="516" t="s">
        <v>842</v>
      </c>
      <c r="AD270" s="516" t="s">
        <v>851</v>
      </c>
      <c r="AE270" s="534" t="s">
        <v>713</v>
      </c>
      <c r="AF270" s="534" t="s">
        <v>1400</v>
      </c>
      <c r="AG270" s="534" t="s">
        <v>2035</v>
      </c>
      <c r="AH270" s="516"/>
      <c r="AI270" s="516"/>
      <c r="AJ270" s="516" t="s">
        <v>1852</v>
      </c>
      <c r="AK270" s="516"/>
      <c r="AL270" s="544"/>
      <c r="AM270" s="544"/>
    </row>
    <row r="271" spans="3:39" ht="18" customHeight="1">
      <c r="C271" s="516">
        <v>255</v>
      </c>
      <c r="D271" s="516" t="s">
        <v>2031</v>
      </c>
      <c r="E271" s="516">
        <f t="shared" si="4"/>
        <v>235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 t="s">
        <v>308</v>
      </c>
      <c r="R271" s="516" t="s">
        <v>62</v>
      </c>
      <c r="S271" s="516" t="s">
        <v>1885</v>
      </c>
      <c r="T271" s="516"/>
      <c r="U271" s="562" t="s">
        <v>1886</v>
      </c>
      <c r="V271" s="540" t="s">
        <v>413</v>
      </c>
      <c r="W271" s="560" t="s">
        <v>2036</v>
      </c>
      <c r="X271" s="516" t="s">
        <v>790</v>
      </c>
      <c r="Y271" s="542">
        <v>40125</v>
      </c>
      <c r="Z271" s="543">
        <f t="shared" ca="1" si="2"/>
        <v>16</v>
      </c>
      <c r="AA271" s="534" t="s">
        <v>2037</v>
      </c>
      <c r="AB271" s="516" t="s">
        <v>2038</v>
      </c>
      <c r="AC271" s="516" t="s">
        <v>842</v>
      </c>
      <c r="AD271" s="516" t="s">
        <v>843</v>
      </c>
      <c r="AE271" s="534" t="s">
        <v>2039</v>
      </c>
      <c r="AF271" s="534" t="s">
        <v>713</v>
      </c>
      <c r="AG271" s="534" t="s">
        <v>1229</v>
      </c>
      <c r="AH271" s="516"/>
      <c r="AI271" s="516"/>
      <c r="AJ271" s="569" t="s">
        <v>1224</v>
      </c>
      <c r="AK271" s="516"/>
      <c r="AL271" s="544"/>
      <c r="AM271" s="544"/>
    </row>
    <row r="272" spans="3:39" ht="18" customHeight="1">
      <c r="C272" s="516">
        <v>250</v>
      </c>
      <c r="D272" s="516" t="s">
        <v>2040</v>
      </c>
      <c r="E272" s="516">
        <f t="shared" si="4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350</v>
      </c>
      <c r="W272" s="560" t="s">
        <v>2041</v>
      </c>
      <c r="X272" s="516" t="s">
        <v>876</v>
      </c>
      <c r="Y272" s="542">
        <v>39425</v>
      </c>
      <c r="Z272" s="543">
        <f t="shared" ca="1" si="2"/>
        <v>18</v>
      </c>
      <c r="AA272" s="534" t="s">
        <v>2042</v>
      </c>
      <c r="AB272" s="516" t="s">
        <v>2043</v>
      </c>
      <c r="AC272" s="516" t="s">
        <v>842</v>
      </c>
      <c r="AD272" s="516" t="s">
        <v>851</v>
      </c>
      <c r="AE272" s="534" t="s">
        <v>1735</v>
      </c>
      <c r="AF272" s="534" t="s">
        <v>1735</v>
      </c>
      <c r="AG272" s="534" t="s">
        <v>2044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251</v>
      </c>
      <c r="D273" s="516" t="s">
        <v>2045</v>
      </c>
      <c r="E273" s="516">
        <f t="shared" si="4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364</v>
      </c>
      <c r="W273" s="560" t="s">
        <v>2046</v>
      </c>
      <c r="X273" s="516" t="s">
        <v>876</v>
      </c>
      <c r="Y273" s="542">
        <v>39833</v>
      </c>
      <c r="Z273" s="543">
        <f t="shared" ca="1" si="2"/>
        <v>17</v>
      </c>
      <c r="AA273" s="534" t="s">
        <v>2047</v>
      </c>
      <c r="AB273" s="516" t="s">
        <v>2048</v>
      </c>
      <c r="AC273" s="516" t="s">
        <v>842</v>
      </c>
      <c r="AD273" s="516" t="s">
        <v>851</v>
      </c>
      <c r="AE273" s="534" t="s">
        <v>713</v>
      </c>
      <c r="AF273" s="534" t="s">
        <v>713</v>
      </c>
      <c r="AG273" s="534" t="s">
        <v>2049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252</v>
      </c>
      <c r="D274" s="516" t="s">
        <v>2050</v>
      </c>
      <c r="E274" s="516">
        <f t="shared" si="4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/>
      <c r="R274" s="516"/>
      <c r="S274" s="516"/>
      <c r="T274" s="516"/>
      <c r="U274" s="562" t="s">
        <v>1886</v>
      </c>
      <c r="V274" s="538" t="s">
        <v>377</v>
      </c>
      <c r="W274" s="560" t="s">
        <v>2051</v>
      </c>
      <c r="X274" s="516" t="s">
        <v>876</v>
      </c>
      <c r="Y274" s="542">
        <v>40449</v>
      </c>
      <c r="Z274" s="543">
        <f t="shared" ca="1" si="2"/>
        <v>15</v>
      </c>
      <c r="AA274" s="534" t="s">
        <v>2052</v>
      </c>
      <c r="AB274" s="516" t="s">
        <v>2053</v>
      </c>
      <c r="AC274" s="516" t="s">
        <v>842</v>
      </c>
      <c r="AD274" s="516" t="s">
        <v>851</v>
      </c>
      <c r="AE274" s="534" t="s">
        <v>815</v>
      </c>
      <c r="AF274" s="534" t="s">
        <v>1267</v>
      </c>
      <c r="AG274" s="534" t="s">
        <v>2054</v>
      </c>
      <c r="AH274" s="516"/>
      <c r="AI274" s="516"/>
      <c r="AJ274" s="516" t="s">
        <v>1852</v>
      </c>
      <c r="AK274" s="516"/>
      <c r="AL274" s="544"/>
      <c r="AM274" s="544"/>
    </row>
    <row r="275" spans="1:39" ht="18" customHeight="1">
      <c r="C275" s="516">
        <v>253</v>
      </c>
      <c r="D275" s="516" t="s">
        <v>2055</v>
      </c>
      <c r="E275" s="516">
        <f t="shared" si="4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788</v>
      </c>
      <c r="V275" s="538" t="s">
        <v>391</v>
      </c>
      <c r="W275" s="560" t="s">
        <v>2056</v>
      </c>
      <c r="X275" s="516" t="s">
        <v>790</v>
      </c>
      <c r="Y275" s="542">
        <v>39065</v>
      </c>
      <c r="Z275" s="543">
        <f t="shared" ca="1" si="2"/>
        <v>19</v>
      </c>
      <c r="AA275" s="534" t="s">
        <v>2057</v>
      </c>
      <c r="AB275" s="516" t="s">
        <v>2058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16" t="s">
        <v>1497</v>
      </c>
      <c r="AK275" s="516"/>
      <c r="AL275" s="544"/>
      <c r="AM275" s="544"/>
    </row>
    <row r="276" spans="1:39" ht="18" customHeight="1">
      <c r="C276" s="516">
        <v>254</v>
      </c>
      <c r="D276" s="516" t="s">
        <v>2059</v>
      </c>
      <c r="E276" s="516">
        <f t="shared" si="4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538" t="s">
        <v>402</v>
      </c>
      <c r="W276" s="560" t="s">
        <v>2060</v>
      </c>
      <c r="X276" s="516" t="s">
        <v>876</v>
      </c>
      <c r="Y276" s="542">
        <v>39343</v>
      </c>
      <c r="Z276" s="543">
        <f t="shared" ca="1" si="2"/>
        <v>18</v>
      </c>
      <c r="AA276" s="534" t="s">
        <v>2061</v>
      </c>
      <c r="AB276" s="516" t="s">
        <v>2062</v>
      </c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69" t="s">
        <v>1224</v>
      </c>
      <c r="AK276" s="516"/>
      <c r="AL276" s="544"/>
      <c r="AM276" s="544"/>
    </row>
    <row r="277" spans="1:39" ht="18" customHeight="1">
      <c r="C277" s="516">
        <v>256</v>
      </c>
      <c r="D277" s="516" t="s">
        <v>2063</v>
      </c>
      <c r="E277" s="516">
        <f t="shared" si="4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602" t="s">
        <v>419</v>
      </c>
      <c r="W277" s="560" t="s">
        <v>2064</v>
      </c>
      <c r="X277" s="516" t="s">
        <v>790</v>
      </c>
      <c r="Y277" s="542">
        <v>39893</v>
      </c>
      <c r="Z277" s="543">
        <f t="shared" ca="1" si="2"/>
        <v>16</v>
      </c>
      <c r="AA277" s="534" t="s">
        <v>2065</v>
      </c>
      <c r="AB277" s="516" t="s">
        <v>2066</v>
      </c>
      <c r="AC277" s="516" t="s">
        <v>842</v>
      </c>
      <c r="AD277" s="516" t="s">
        <v>843</v>
      </c>
      <c r="AE277" s="534" t="s">
        <v>1400</v>
      </c>
      <c r="AF277" s="534" t="s">
        <v>1400</v>
      </c>
      <c r="AG277" s="534" t="s">
        <v>2067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2068</v>
      </c>
      <c r="E278" s="516">
        <f t="shared" si="4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70" t="s">
        <v>2031</v>
      </c>
      <c r="N278" s="537"/>
      <c r="O278" s="537"/>
      <c r="P278" s="538" t="s">
        <v>315</v>
      </c>
      <c r="Q278" s="539" t="s">
        <v>308</v>
      </c>
      <c r="R278" s="516"/>
      <c r="S278" s="516"/>
      <c r="T278" s="516"/>
      <c r="U278" s="562" t="s">
        <v>1886</v>
      </c>
      <c r="V278" s="563" t="s">
        <v>427</v>
      </c>
      <c r="W278" s="560" t="s">
        <v>2069</v>
      </c>
      <c r="X278" s="516" t="s">
        <v>876</v>
      </c>
      <c r="Y278" s="542">
        <v>40254</v>
      </c>
      <c r="Z278" s="543">
        <f t="shared" ca="1" si="2"/>
        <v>15</v>
      </c>
      <c r="AA278" s="534" t="s">
        <v>2070</v>
      </c>
      <c r="AB278" s="516" t="s">
        <v>2071</v>
      </c>
      <c r="AC278" s="516" t="s">
        <v>842</v>
      </c>
      <c r="AD278" s="516" t="s">
        <v>843</v>
      </c>
      <c r="AE278" s="534" t="s">
        <v>713</v>
      </c>
      <c r="AF278" s="534" t="s">
        <v>713</v>
      </c>
      <c r="AG278" s="534" t="s">
        <v>2072</v>
      </c>
      <c r="AH278" s="516"/>
      <c r="AI278" s="516"/>
      <c r="AJ278" s="575" t="s">
        <v>1438</v>
      </c>
      <c r="AK278" s="516"/>
      <c r="AL278" s="544"/>
      <c r="AM278" s="544"/>
    </row>
    <row r="279" spans="1:39" ht="18" customHeight="1">
      <c r="C279" s="516">
        <v>258</v>
      </c>
      <c r="D279" s="516" t="s">
        <v>2081</v>
      </c>
      <c r="E279" s="516">
        <f t="shared" si="4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2"/>
        <v>73</v>
      </c>
      <c r="AA279" s="534" t="s">
        <v>2083</v>
      </c>
      <c r="AB279" s="516" t="s">
        <v>2084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2086</v>
      </c>
      <c r="E280" s="516">
        <f t="shared" si="4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2"/>
        <v>68</v>
      </c>
      <c r="AA280" s="534" t="s">
        <v>2088</v>
      </c>
      <c r="AB280" s="516" t="s">
        <v>2089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2090</v>
      </c>
      <c r="E281" s="516">
        <f t="shared" si="4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2"/>
        <v>66</v>
      </c>
      <c r="AA281" s="534" t="s">
        <v>2092</v>
      </c>
      <c r="AB281" s="516" t="s">
        <v>2093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C282" s="516">
        <v>261</v>
      </c>
      <c r="D282" s="516" t="s">
        <v>2094</v>
      </c>
      <c r="E282" s="516">
        <f t="shared" si="4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2"/>
        <v>57</v>
      </c>
      <c r="AA282" s="534" t="s">
        <v>2096</v>
      </c>
      <c r="AB282" s="516" t="s">
        <v>2097</v>
      </c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1:39" ht="18" customHeight="1">
      <c r="A283" s="173"/>
      <c r="B283" s="173"/>
      <c r="C283" s="516">
        <v>263</v>
      </c>
      <c r="D283" s="516" t="s">
        <v>2098</v>
      </c>
      <c r="E283" s="516">
        <f>SUBTOTAL(103,$U$21:U283)</f>
        <v>247</v>
      </c>
      <c r="F283" s="555" t="s">
        <v>1822</v>
      </c>
      <c r="G283" s="516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661" t="s">
        <v>2098</v>
      </c>
      <c r="M283" s="554"/>
      <c r="N283" s="567"/>
      <c r="O283" s="567"/>
      <c r="P283" s="538" t="s">
        <v>828</v>
      </c>
      <c r="Q283" s="568"/>
      <c r="R283" s="516" t="s">
        <v>62</v>
      </c>
      <c r="S283" s="516" t="s">
        <v>62</v>
      </c>
      <c r="T283" s="554"/>
      <c r="U283" s="604" t="s">
        <v>898</v>
      </c>
      <c r="V283" s="556" t="s">
        <v>194</v>
      </c>
      <c r="W283" s="557" t="s">
        <v>2099</v>
      </c>
      <c r="X283" s="516" t="s">
        <v>876</v>
      </c>
      <c r="Y283" s="542">
        <v>17993</v>
      </c>
      <c r="Z283" s="543">
        <f t="shared" ca="1" si="2"/>
        <v>76</v>
      </c>
      <c r="AA283" s="516" t="s">
        <v>2100</v>
      </c>
      <c r="AB283" s="516" t="s">
        <v>2101</v>
      </c>
      <c r="AC283" s="516" t="s">
        <v>802</v>
      </c>
      <c r="AD283" s="516" t="s">
        <v>794</v>
      </c>
      <c r="AE283" s="516" t="s">
        <v>809</v>
      </c>
      <c r="AF283" s="516" t="s">
        <v>809</v>
      </c>
      <c r="AG283" s="516" t="s">
        <v>2085</v>
      </c>
      <c r="AH283" s="554"/>
      <c r="AI283" s="554"/>
      <c r="AJ283" s="554"/>
      <c r="AK283" s="516" t="s">
        <v>1863</v>
      </c>
      <c r="AL283" s="554"/>
      <c r="AM283" s="554"/>
    </row>
    <row r="284" spans="1:39" ht="18" customHeight="1">
      <c r="C284" s="516">
        <v>262</v>
      </c>
      <c r="D284" s="516" t="s">
        <v>2102</v>
      </c>
      <c r="E284" s="516">
        <f t="shared" ref="E284:E370" si="5">SUBTOTAL(103,$U$21:U284)</f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788</v>
      </c>
      <c r="V284" s="548" t="s">
        <v>280</v>
      </c>
      <c r="W284" s="541" t="s">
        <v>2103</v>
      </c>
      <c r="X284" s="516" t="s">
        <v>876</v>
      </c>
      <c r="Y284" s="542">
        <v>32972</v>
      </c>
      <c r="Z284" s="543">
        <f t="shared" ca="1" si="2"/>
        <v>35</v>
      </c>
      <c r="AA284" s="534" t="s">
        <v>2104</v>
      </c>
      <c r="AB284" s="516" t="s">
        <v>2105</v>
      </c>
      <c r="AC284" s="516" t="s">
        <v>842</v>
      </c>
      <c r="AD284" s="516" t="s">
        <v>851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2106</v>
      </c>
      <c r="E285" s="516">
        <f t="shared" si="5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2"/>
        <v>72</v>
      </c>
      <c r="AA285" s="534" t="s">
        <v>2108</v>
      </c>
      <c r="AB285" s="516" t="s">
        <v>2109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2110</v>
      </c>
      <c r="E286" s="516">
        <f t="shared" si="5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2"/>
        <v>73</v>
      </c>
      <c r="AA286" s="534" t="s">
        <v>2112</v>
      </c>
      <c r="AB286" s="516" t="s">
        <v>2113</v>
      </c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2114</v>
      </c>
      <c r="E287" s="516">
        <f t="shared" si="5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2"/>
        <v>44</v>
      </c>
      <c r="AA287" s="534" t="s">
        <v>2116</v>
      </c>
      <c r="AB287" s="516" t="s">
        <v>2117</v>
      </c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2118</v>
      </c>
      <c r="E288" s="516">
        <f t="shared" si="5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70" t="s">
        <v>2098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2"/>
        <v>67</v>
      </c>
      <c r="AA288" s="534" t="s">
        <v>2120</v>
      </c>
      <c r="AB288" s="516" t="s">
        <v>2121</v>
      </c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2122</v>
      </c>
      <c r="E289" s="516">
        <f t="shared" si="5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2"/>
        <v>69</v>
      </c>
      <c r="AA289" s="534" t="s">
        <v>2125</v>
      </c>
      <c r="AB289" s="516" t="s">
        <v>2126</v>
      </c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2127</v>
      </c>
      <c r="E290" s="516">
        <f t="shared" si="5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ref="Z290:Z383" ca="1" si="6">DATEDIF(Y290,TODAY(),"Y")</f>
        <v>71</v>
      </c>
      <c r="AA290" s="534" t="s">
        <v>2129</v>
      </c>
      <c r="AB290" s="516" t="s">
        <v>2130</v>
      </c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270</v>
      </c>
      <c r="D291" s="516" t="s">
        <v>2131</v>
      </c>
      <c r="E291" s="516">
        <f t="shared" si="5"/>
        <v>255</v>
      </c>
      <c r="F291" s="534" t="s">
        <v>1822</v>
      </c>
      <c r="G291" s="534" t="s">
        <v>869</v>
      </c>
      <c r="H291" s="535" t="s">
        <v>784</v>
      </c>
      <c r="I291" s="535" t="s">
        <v>1075</v>
      </c>
      <c r="J291" s="535" t="s">
        <v>870</v>
      </c>
      <c r="K291" s="535" t="s">
        <v>2081</v>
      </c>
      <c r="L291" s="535" t="s">
        <v>936</v>
      </c>
      <c r="M291" s="536" t="s">
        <v>950</v>
      </c>
      <c r="N291" s="537"/>
      <c r="O291" s="537"/>
      <c r="P291" s="538" t="s">
        <v>938</v>
      </c>
      <c r="Q291" s="539" t="s">
        <v>308</v>
      </c>
      <c r="R291" s="516"/>
      <c r="S291" s="516"/>
      <c r="T291" s="516"/>
      <c r="U291" s="516" t="s">
        <v>898</v>
      </c>
      <c r="V291" s="538" t="s">
        <v>233</v>
      </c>
      <c r="W291" s="541" t="s">
        <v>4211</v>
      </c>
      <c r="X291" s="516" t="s">
        <v>876</v>
      </c>
      <c r="Y291" s="542">
        <v>19444</v>
      </c>
      <c r="Z291" s="543">
        <f t="shared" ca="1" si="6"/>
        <v>72</v>
      </c>
      <c r="AA291" s="534" t="s">
        <v>2133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795</v>
      </c>
      <c r="AG291" s="534" t="s">
        <v>4212</v>
      </c>
      <c r="AH291" s="516"/>
      <c r="AI291" s="516"/>
      <c r="AJ291" s="516" t="s">
        <v>971</v>
      </c>
      <c r="AK291" s="516"/>
      <c r="AL291" s="544"/>
      <c r="AM291" s="544"/>
    </row>
    <row r="292" spans="3:39" ht="18" customHeight="1">
      <c r="C292" s="516">
        <v>271</v>
      </c>
      <c r="D292" s="516" t="s">
        <v>2134</v>
      </c>
      <c r="E292" s="516">
        <f t="shared" si="5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2135</v>
      </c>
      <c r="W292" s="541" t="s">
        <v>2136</v>
      </c>
      <c r="X292" s="516" t="s">
        <v>876</v>
      </c>
      <c r="Y292" s="542">
        <v>19511</v>
      </c>
      <c r="Z292" s="543">
        <f t="shared" ca="1" si="6"/>
        <v>72</v>
      </c>
      <c r="AA292" s="534" t="s">
        <v>2137</v>
      </c>
      <c r="AB292" s="516"/>
      <c r="AC292" s="516" t="s">
        <v>842</v>
      </c>
      <c r="AD292" s="516" t="s">
        <v>843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2138</v>
      </c>
      <c r="AJ292" s="516" t="s">
        <v>867</v>
      </c>
      <c r="AK292" s="516"/>
      <c r="AL292" s="544"/>
      <c r="AM292" s="544"/>
    </row>
    <row r="293" spans="3:39" ht="18" customHeight="1">
      <c r="C293" s="516">
        <v>272</v>
      </c>
      <c r="D293" s="516" t="s">
        <v>2139</v>
      </c>
      <c r="E293" s="516">
        <f t="shared" si="5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38" t="s">
        <v>938</v>
      </c>
      <c r="Q293" s="539"/>
      <c r="R293" s="516"/>
      <c r="S293" s="516"/>
      <c r="T293" s="516"/>
      <c r="U293" s="516" t="s">
        <v>898</v>
      </c>
      <c r="V293" s="538" t="s">
        <v>2140</v>
      </c>
      <c r="W293" s="541" t="s">
        <v>2141</v>
      </c>
      <c r="X293" s="516" t="s">
        <v>876</v>
      </c>
      <c r="Y293" s="542">
        <v>12079</v>
      </c>
      <c r="Z293" s="543">
        <f t="shared" ca="1" si="6"/>
        <v>93</v>
      </c>
      <c r="AA293" s="534" t="s">
        <v>2142</v>
      </c>
      <c r="AB293" s="571"/>
      <c r="AC293" s="516" t="s">
        <v>842</v>
      </c>
      <c r="AD293" s="516" t="s">
        <v>851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2143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2145</v>
      </c>
      <c r="E294" s="516">
        <f t="shared" si="5"/>
        <v>258</v>
      </c>
      <c r="F294" s="534" t="s">
        <v>1822</v>
      </c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2081</v>
      </c>
      <c r="L294" s="535" t="s">
        <v>2122</v>
      </c>
      <c r="M294" s="536"/>
      <c r="N294" s="537"/>
      <c r="O294" s="537"/>
      <c r="P294" s="559" t="s">
        <v>938</v>
      </c>
      <c r="Q294" s="539"/>
      <c r="R294" s="516"/>
      <c r="S294" s="516"/>
      <c r="T294" s="516"/>
      <c r="U294" s="516" t="s">
        <v>874</v>
      </c>
      <c r="V294" s="559" t="s">
        <v>2146</v>
      </c>
      <c r="W294" s="541" t="s">
        <v>2147</v>
      </c>
      <c r="X294" s="516" t="s">
        <v>876</v>
      </c>
      <c r="Y294" s="542">
        <v>23752</v>
      </c>
      <c r="Z294" s="543">
        <f t="shared" ca="1" si="6"/>
        <v>61</v>
      </c>
      <c r="AA294" s="534" t="s">
        <v>2142</v>
      </c>
      <c r="AB294" s="571"/>
      <c r="AC294" s="516" t="s">
        <v>842</v>
      </c>
      <c r="AD294" s="516" t="s">
        <v>843</v>
      </c>
      <c r="AE294" s="534" t="s">
        <v>809</v>
      </c>
      <c r="AF294" s="534" t="s">
        <v>809</v>
      </c>
      <c r="AG294" s="534" t="s">
        <v>2085</v>
      </c>
      <c r="AH294" s="516"/>
      <c r="AI294" s="516" t="s">
        <v>2148</v>
      </c>
      <c r="AJ294" s="516" t="s">
        <v>832</v>
      </c>
      <c r="AK294" s="516" t="s">
        <v>2144</v>
      </c>
      <c r="AL294" s="544"/>
      <c r="AM294" s="544"/>
    </row>
    <row r="295" spans="3:39" ht="18" customHeight="1">
      <c r="C295" s="516">
        <v>274</v>
      </c>
      <c r="D295" s="516" t="s">
        <v>2149</v>
      </c>
      <c r="E295" s="516">
        <f t="shared" si="5"/>
        <v>258</v>
      </c>
      <c r="F295" s="534"/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48" t="s">
        <v>978</v>
      </c>
      <c r="Q295" s="539"/>
      <c r="R295" s="516" t="s">
        <v>49</v>
      </c>
      <c r="S295" s="516" t="s">
        <v>168</v>
      </c>
      <c r="T295" s="516"/>
      <c r="U295" s="516"/>
      <c r="V295" s="548" t="s">
        <v>174</v>
      </c>
      <c r="W295" s="541" t="s">
        <v>2151</v>
      </c>
      <c r="X295" s="516" t="s">
        <v>876</v>
      </c>
      <c r="Y295" s="542">
        <v>36505</v>
      </c>
      <c r="Z295" s="543">
        <f t="shared" ca="1" si="6"/>
        <v>26</v>
      </c>
      <c r="AA295" s="534" t="s">
        <v>2152</v>
      </c>
      <c r="AB295" s="516"/>
      <c r="AC295" s="516" t="s">
        <v>842</v>
      </c>
      <c r="AD295" s="516" t="s">
        <v>794</v>
      </c>
      <c r="AE295" s="534" t="s">
        <v>236</v>
      </c>
      <c r="AF295" s="534" t="s">
        <v>795</v>
      </c>
      <c r="AG295" s="534" t="s">
        <v>804</v>
      </c>
      <c r="AH295" s="516" t="s">
        <v>872</v>
      </c>
      <c r="AI295" s="516"/>
      <c r="AJ295" s="516"/>
      <c r="AK295" s="516"/>
      <c r="AL295" s="544"/>
      <c r="AM295" s="544"/>
    </row>
    <row r="296" spans="3:39" ht="18" customHeight="1">
      <c r="C296" s="516">
        <v>275</v>
      </c>
      <c r="D296" s="516" t="s">
        <v>2150</v>
      </c>
      <c r="E296" s="516">
        <f t="shared" si="5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 t="s">
        <v>62</v>
      </c>
      <c r="S296" s="516" t="s">
        <v>548</v>
      </c>
      <c r="T296" s="516"/>
      <c r="U296" s="516" t="s">
        <v>874</v>
      </c>
      <c r="V296" s="538" t="s">
        <v>195</v>
      </c>
      <c r="W296" s="541" t="s">
        <v>2153</v>
      </c>
      <c r="X296" s="516" t="s">
        <v>876</v>
      </c>
      <c r="Y296" s="542">
        <v>34934</v>
      </c>
      <c r="Z296" s="543">
        <f t="shared" ca="1" si="6"/>
        <v>30</v>
      </c>
      <c r="AA296" s="534" t="s">
        <v>2154</v>
      </c>
      <c r="AB296" s="516" t="s">
        <v>2155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2157</v>
      </c>
      <c r="E297" s="516">
        <f t="shared" si="5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215</v>
      </c>
      <c r="W297" s="541" t="s">
        <v>2158</v>
      </c>
      <c r="X297" s="516" t="s">
        <v>876</v>
      </c>
      <c r="Y297" s="542">
        <v>34898</v>
      </c>
      <c r="Z297" s="543">
        <f t="shared" ca="1" si="6"/>
        <v>30</v>
      </c>
      <c r="AA297" s="534" t="s">
        <v>2159</v>
      </c>
      <c r="AB297" s="516" t="s">
        <v>2160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2156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2161</v>
      </c>
      <c r="E298" s="516">
        <f t="shared" si="5"/>
        <v>261</v>
      </c>
      <c r="F298" s="534" t="s">
        <v>1822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/>
      <c r="R298" s="516"/>
      <c r="S298" s="516"/>
      <c r="T298" s="516"/>
      <c r="U298" s="516" t="s">
        <v>788</v>
      </c>
      <c r="V298" s="538" t="s">
        <v>234</v>
      </c>
      <c r="W298" s="541" t="s">
        <v>2162</v>
      </c>
      <c r="X298" s="516" t="s">
        <v>876</v>
      </c>
      <c r="Y298" s="542">
        <v>38176</v>
      </c>
      <c r="Z298" s="543">
        <f t="shared" ca="1" si="6"/>
        <v>21</v>
      </c>
      <c r="AA298" s="534" t="s">
        <v>2163</v>
      </c>
      <c r="AB298" s="516" t="s">
        <v>2164</v>
      </c>
      <c r="AC298" s="516" t="s">
        <v>842</v>
      </c>
      <c r="AD298" s="516" t="s">
        <v>843</v>
      </c>
      <c r="AE298" s="534" t="s">
        <v>809</v>
      </c>
      <c r="AF298" s="534" t="s">
        <v>809</v>
      </c>
      <c r="AG298" s="534" t="s">
        <v>2165</v>
      </c>
      <c r="AH298" s="516"/>
      <c r="AI298" s="516"/>
      <c r="AJ298" s="516" t="s">
        <v>1852</v>
      </c>
      <c r="AK298" s="516" t="s">
        <v>1863</v>
      </c>
      <c r="AL298" s="544"/>
      <c r="AM298" s="544"/>
    </row>
    <row r="299" spans="3:39" ht="18" customHeight="1">
      <c r="C299" s="516">
        <v>278</v>
      </c>
      <c r="D299" s="516" t="s">
        <v>2166</v>
      </c>
      <c r="E299" s="516">
        <f t="shared" si="5"/>
        <v>262</v>
      </c>
      <c r="F299" s="534" t="s">
        <v>1001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38" t="s">
        <v>978</v>
      </c>
      <c r="Q299" s="539" t="s">
        <v>308</v>
      </c>
      <c r="R299" s="516"/>
      <c r="S299" s="516"/>
      <c r="T299" s="516"/>
      <c r="U299" s="516" t="s">
        <v>788</v>
      </c>
      <c r="V299" s="538" t="s">
        <v>269</v>
      </c>
      <c r="W299" s="541" t="s">
        <v>2167</v>
      </c>
      <c r="X299" s="516" t="s">
        <v>876</v>
      </c>
      <c r="Y299" s="542">
        <v>38937</v>
      </c>
      <c r="Z299" s="543">
        <f t="shared" ca="1" si="6"/>
        <v>19</v>
      </c>
      <c r="AA299" s="534" t="s">
        <v>2168</v>
      </c>
      <c r="AB299" s="516" t="s">
        <v>2169</v>
      </c>
      <c r="AC299" s="516" t="s">
        <v>842</v>
      </c>
      <c r="AD299" s="516" t="s">
        <v>843</v>
      </c>
      <c r="AE299" s="534" t="s">
        <v>236</v>
      </c>
      <c r="AF299" s="534" t="s">
        <v>236</v>
      </c>
      <c r="AG299" s="534" t="s">
        <v>865</v>
      </c>
      <c r="AH299" s="516"/>
      <c r="AI299" s="516"/>
      <c r="AJ299" s="593" t="s">
        <v>1950</v>
      </c>
      <c r="AK299" s="516"/>
      <c r="AL299" s="544"/>
      <c r="AM299" s="544"/>
    </row>
    <row r="300" spans="3:39" ht="18" customHeight="1">
      <c r="C300" s="516">
        <v>279</v>
      </c>
      <c r="D300" s="516" t="s">
        <v>2170</v>
      </c>
      <c r="E300" s="516">
        <f t="shared" si="5"/>
        <v>263</v>
      </c>
      <c r="F300" s="534" t="s">
        <v>1822</v>
      </c>
      <c r="G300" s="534" t="s">
        <v>809</v>
      </c>
      <c r="H300" s="535" t="s">
        <v>2081</v>
      </c>
      <c r="I300" s="535" t="s">
        <v>173</v>
      </c>
      <c r="J300" s="535" t="s">
        <v>2081</v>
      </c>
      <c r="K300" s="535" t="s">
        <v>2149</v>
      </c>
      <c r="L300" s="535" t="s">
        <v>2150</v>
      </c>
      <c r="M300" s="536"/>
      <c r="N300" s="537"/>
      <c r="O300" s="537"/>
      <c r="P300" s="559" t="s">
        <v>978</v>
      </c>
      <c r="Q300" s="539"/>
      <c r="R300" s="516"/>
      <c r="S300" s="516"/>
      <c r="T300" s="516"/>
      <c r="U300" s="516" t="s">
        <v>874</v>
      </c>
      <c r="V300" s="559" t="s">
        <v>2171</v>
      </c>
      <c r="W300" s="541" t="s">
        <v>2172</v>
      </c>
      <c r="X300" s="516" t="s">
        <v>876</v>
      </c>
      <c r="Y300" s="542">
        <v>33443</v>
      </c>
      <c r="Z300" s="543">
        <f t="shared" ca="1" si="6"/>
        <v>34</v>
      </c>
      <c r="AA300" s="534" t="s">
        <v>2173</v>
      </c>
      <c r="AB300" s="571"/>
      <c r="AC300" s="516" t="s">
        <v>842</v>
      </c>
      <c r="AD300" s="516" t="s">
        <v>843</v>
      </c>
      <c r="AE300" s="534" t="s">
        <v>809</v>
      </c>
      <c r="AF300" s="534" t="s">
        <v>809</v>
      </c>
      <c r="AG300" s="534" t="s">
        <v>2174</v>
      </c>
      <c r="AH300" s="516"/>
      <c r="AI300" s="516" t="s">
        <v>2175</v>
      </c>
      <c r="AJ300" s="516" t="s">
        <v>1852</v>
      </c>
      <c r="AK300" s="516" t="s">
        <v>1805</v>
      </c>
      <c r="AL300" s="544"/>
      <c r="AM300" s="544"/>
    </row>
    <row r="301" spans="3:39" ht="18" customHeight="1">
      <c r="C301" s="516">
        <v>280</v>
      </c>
      <c r="D301" s="516" t="s">
        <v>2086</v>
      </c>
      <c r="E301" s="516">
        <f t="shared" si="5"/>
        <v>263</v>
      </c>
      <c r="F301" s="534"/>
      <c r="G301" s="534" t="s">
        <v>2180</v>
      </c>
      <c r="H301" s="535" t="s">
        <v>2081</v>
      </c>
      <c r="I301" s="535"/>
      <c r="J301" s="535" t="s">
        <v>1106</v>
      </c>
      <c r="K301" s="535"/>
      <c r="L301" s="535" t="s">
        <v>786</v>
      </c>
      <c r="M301" s="536"/>
      <c r="N301" s="537"/>
      <c r="O301" s="537"/>
      <c r="P301" s="548" t="s">
        <v>787</v>
      </c>
      <c r="Q301" s="539"/>
      <c r="R301" s="516" t="s">
        <v>163</v>
      </c>
      <c r="S301" s="516" t="s">
        <v>500</v>
      </c>
      <c r="T301" s="516" t="s">
        <v>49</v>
      </c>
      <c r="U301" s="516"/>
      <c r="V301" s="548" t="s">
        <v>193</v>
      </c>
      <c r="W301" s="541" t="s">
        <v>2087</v>
      </c>
      <c r="X301" s="516" t="s">
        <v>876</v>
      </c>
      <c r="Y301" s="542">
        <v>20911</v>
      </c>
      <c r="Z301" s="543">
        <f t="shared" ca="1" si="6"/>
        <v>68</v>
      </c>
      <c r="AA301" s="534" t="s">
        <v>2088</v>
      </c>
      <c r="AB301" s="516"/>
      <c r="AC301" s="516" t="s">
        <v>802</v>
      </c>
      <c r="AD301" s="516" t="s">
        <v>794</v>
      </c>
      <c r="AE301" s="534" t="s">
        <v>809</v>
      </c>
      <c r="AF301" s="534" t="s">
        <v>809</v>
      </c>
      <c r="AG301" s="534" t="s">
        <v>2085</v>
      </c>
      <c r="AH301" s="516" t="s">
        <v>872</v>
      </c>
      <c r="AI301" s="516"/>
      <c r="AJ301" s="516"/>
      <c r="AK301" s="516"/>
      <c r="AL301" s="544"/>
      <c r="AM301" s="544"/>
    </row>
    <row r="302" spans="3:39" ht="18" customHeight="1">
      <c r="C302" s="516">
        <v>281</v>
      </c>
      <c r="D302" s="516" t="s">
        <v>2181</v>
      </c>
      <c r="E302" s="516">
        <f t="shared" si="5"/>
        <v>264</v>
      </c>
      <c r="F302" s="534" t="s">
        <v>811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337</v>
      </c>
      <c r="W302" s="541" t="s">
        <v>2183</v>
      </c>
      <c r="X302" s="516" t="s">
        <v>876</v>
      </c>
      <c r="Y302" s="542">
        <v>22722</v>
      </c>
      <c r="Z302" s="543">
        <f t="shared" ca="1" si="6"/>
        <v>63</v>
      </c>
      <c r="AA302" s="534" t="s">
        <v>2184</v>
      </c>
      <c r="AB302" s="516" t="s">
        <v>2185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2186</v>
      </c>
      <c r="AH302" s="516"/>
      <c r="AI302" s="516"/>
      <c r="AJ302" s="516" t="s">
        <v>1497</v>
      </c>
      <c r="AK302" s="516"/>
      <c r="AL302" s="544"/>
      <c r="AM302" s="544"/>
    </row>
    <row r="303" spans="3:39" ht="18" customHeight="1">
      <c r="C303" s="516">
        <v>282</v>
      </c>
      <c r="D303" s="516" t="s">
        <v>2182</v>
      </c>
      <c r="E303" s="516">
        <f t="shared" si="5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 t="s">
        <v>62</v>
      </c>
      <c r="S303" s="516" t="s">
        <v>548</v>
      </c>
      <c r="T303" s="516"/>
      <c r="U303" s="516" t="s">
        <v>874</v>
      </c>
      <c r="V303" s="538" t="s">
        <v>2187</v>
      </c>
      <c r="W303" s="541" t="s">
        <v>2188</v>
      </c>
      <c r="X303" s="516" t="s">
        <v>876</v>
      </c>
      <c r="Y303" s="542">
        <v>21722</v>
      </c>
      <c r="Z303" s="543">
        <f t="shared" ca="1" si="6"/>
        <v>66</v>
      </c>
      <c r="AA303" s="534" t="s">
        <v>2189</v>
      </c>
      <c r="AB303" s="516" t="s">
        <v>2190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2192</v>
      </c>
      <c r="E304" s="516">
        <f t="shared" si="5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2193</v>
      </c>
      <c r="W304" s="541" t="s">
        <v>2194</v>
      </c>
      <c r="X304" s="516" t="s">
        <v>876</v>
      </c>
      <c r="Y304" s="542">
        <v>22447</v>
      </c>
      <c r="Z304" s="543">
        <f t="shared" ca="1" si="6"/>
        <v>64</v>
      </c>
      <c r="AA304" s="534" t="s">
        <v>2195</v>
      </c>
      <c r="AB304" s="516" t="s">
        <v>2196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2191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2197</v>
      </c>
      <c r="E305" s="516">
        <f t="shared" si="5"/>
        <v>267</v>
      </c>
      <c r="F305" s="534" t="s">
        <v>1822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378</v>
      </c>
      <c r="W305" s="541" t="s">
        <v>2198</v>
      </c>
      <c r="X305" s="516" t="s">
        <v>876</v>
      </c>
      <c r="Y305" s="542">
        <v>28584</v>
      </c>
      <c r="Z305" s="543">
        <f t="shared" ca="1" si="6"/>
        <v>47</v>
      </c>
      <c r="AA305" s="534" t="s">
        <v>2199</v>
      </c>
      <c r="AB305" s="516" t="s">
        <v>2200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971</v>
      </c>
      <c r="AK305" s="516" t="s">
        <v>1863</v>
      </c>
      <c r="AL305" s="544"/>
      <c r="AM305" s="544"/>
    </row>
    <row r="306" spans="3:39" ht="18" customHeight="1">
      <c r="C306" s="516">
        <v>285</v>
      </c>
      <c r="D306" s="516" t="s">
        <v>2201</v>
      </c>
      <c r="E306" s="516">
        <f t="shared" si="5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38" t="s">
        <v>787</v>
      </c>
      <c r="Q306" s="539" t="s">
        <v>308</v>
      </c>
      <c r="R306" s="516"/>
      <c r="S306" s="516"/>
      <c r="T306" s="516"/>
      <c r="U306" s="516" t="s">
        <v>874</v>
      </c>
      <c r="V306" s="538" t="s">
        <v>403</v>
      </c>
      <c r="W306" s="541" t="s">
        <v>2202</v>
      </c>
      <c r="X306" s="516" t="s">
        <v>876</v>
      </c>
      <c r="Y306" s="542">
        <v>26312</v>
      </c>
      <c r="Z306" s="543">
        <f t="shared" ca="1" si="6"/>
        <v>54</v>
      </c>
      <c r="AA306" s="534" t="s">
        <v>2203</v>
      </c>
      <c r="AB306" s="516" t="s">
        <v>2204</v>
      </c>
      <c r="AC306" s="516" t="s">
        <v>842</v>
      </c>
      <c r="AD306" s="516" t="s">
        <v>843</v>
      </c>
      <c r="AE306" s="534" t="s">
        <v>942</v>
      </c>
      <c r="AF306" s="534" t="s">
        <v>942</v>
      </c>
      <c r="AG306" s="534" t="s">
        <v>2179</v>
      </c>
      <c r="AH306" s="516"/>
      <c r="AI306" s="516"/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2205</v>
      </c>
      <c r="E307" s="516">
        <f t="shared" si="5"/>
        <v>269</v>
      </c>
      <c r="F307" s="534" t="s">
        <v>811</v>
      </c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2086</v>
      </c>
      <c r="L307" s="535" t="s">
        <v>2181</v>
      </c>
      <c r="M307" s="629" t="s">
        <v>2182</v>
      </c>
      <c r="N307" s="537"/>
      <c r="O307" s="537"/>
      <c r="P307" s="559" t="s">
        <v>787</v>
      </c>
      <c r="Q307" s="539" t="s">
        <v>308</v>
      </c>
      <c r="R307" s="516"/>
      <c r="S307" s="516"/>
      <c r="T307" s="516"/>
      <c r="U307" s="516" t="s">
        <v>874</v>
      </c>
      <c r="V307" s="559" t="s">
        <v>392</v>
      </c>
      <c r="W307" s="541" t="s">
        <v>2206</v>
      </c>
      <c r="X307" s="516" t="s">
        <v>876</v>
      </c>
      <c r="Y307" s="542">
        <v>21826</v>
      </c>
      <c r="Z307" s="543">
        <f t="shared" ca="1" si="6"/>
        <v>66</v>
      </c>
      <c r="AA307" s="534" t="s">
        <v>2207</v>
      </c>
      <c r="AB307" s="571"/>
      <c r="AC307" s="516" t="s">
        <v>842</v>
      </c>
      <c r="AD307" s="516" t="s">
        <v>843</v>
      </c>
      <c r="AE307" s="534" t="s">
        <v>2208</v>
      </c>
      <c r="AF307" s="534" t="s">
        <v>2208</v>
      </c>
      <c r="AG307" s="534" t="s">
        <v>2209</v>
      </c>
      <c r="AH307" s="516"/>
      <c r="AI307" s="516" t="s">
        <v>866</v>
      </c>
      <c r="AJ307" s="516" t="s">
        <v>1497</v>
      </c>
      <c r="AK307" s="516"/>
      <c r="AL307" s="544"/>
      <c r="AM307" s="544"/>
    </row>
    <row r="308" spans="3:39" ht="18" customHeight="1">
      <c r="C308" s="516">
        <v>287</v>
      </c>
      <c r="D308" s="516" t="s">
        <v>2094</v>
      </c>
      <c r="E308" s="516">
        <f t="shared" si="5"/>
        <v>269</v>
      </c>
      <c r="F308" s="534"/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2217</v>
      </c>
      <c r="M308" s="536"/>
      <c r="N308" s="537"/>
      <c r="O308" s="537"/>
      <c r="P308" s="548" t="s">
        <v>828</v>
      </c>
      <c r="Q308" s="539"/>
      <c r="R308" s="516" t="s">
        <v>49</v>
      </c>
      <c r="S308" s="516" t="s">
        <v>168</v>
      </c>
      <c r="T308" s="516"/>
      <c r="U308" s="516"/>
      <c r="V308" s="548" t="s">
        <v>231</v>
      </c>
      <c r="W308" s="541" t="s">
        <v>2095</v>
      </c>
      <c r="X308" s="516" t="s">
        <v>876</v>
      </c>
      <c r="Y308" s="542">
        <v>25211</v>
      </c>
      <c r="Z308" s="543">
        <f t="shared" ca="1" si="6"/>
        <v>57</v>
      </c>
      <c r="AA308" s="534" t="s">
        <v>2096</v>
      </c>
      <c r="AB308" s="516"/>
      <c r="AC308" s="516" t="s">
        <v>802</v>
      </c>
      <c r="AD308" s="516" t="s">
        <v>794</v>
      </c>
      <c r="AE308" s="534" t="s">
        <v>809</v>
      </c>
      <c r="AF308" s="534" t="s">
        <v>809</v>
      </c>
      <c r="AG308" s="534" t="s">
        <v>2085</v>
      </c>
      <c r="AH308" s="516" t="s">
        <v>872</v>
      </c>
      <c r="AI308" s="516"/>
      <c r="AJ308" s="516"/>
      <c r="AK308" s="516"/>
      <c r="AL308" s="544"/>
      <c r="AM308" s="544"/>
    </row>
    <row r="309" spans="3:39" ht="18" customHeight="1">
      <c r="C309" s="516">
        <v>288</v>
      </c>
      <c r="D309" s="516" t="s">
        <v>2213</v>
      </c>
      <c r="E309" s="516">
        <f t="shared" si="5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 t="s">
        <v>62</v>
      </c>
      <c r="S309" s="516" t="s">
        <v>548</v>
      </c>
      <c r="T309" s="516"/>
      <c r="U309" s="516" t="s">
        <v>788</v>
      </c>
      <c r="V309" s="538" t="s">
        <v>2214</v>
      </c>
      <c r="W309" s="541" t="s">
        <v>2215</v>
      </c>
      <c r="X309" s="516" t="s">
        <v>876</v>
      </c>
      <c r="Y309" s="542">
        <v>34119</v>
      </c>
      <c r="Z309" s="543">
        <f t="shared" ca="1" si="6"/>
        <v>32</v>
      </c>
      <c r="AA309" s="534" t="s">
        <v>2216</v>
      </c>
      <c r="AB309" s="516" t="s">
        <v>2217</v>
      </c>
      <c r="AC309" s="516" t="s">
        <v>842</v>
      </c>
      <c r="AD309" s="516" t="s">
        <v>843</v>
      </c>
      <c r="AE309" s="534" t="s">
        <v>809</v>
      </c>
      <c r="AF309" s="534" t="s">
        <v>809</v>
      </c>
      <c r="AG309" s="534" t="s">
        <v>2218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2219</v>
      </c>
      <c r="E310" s="516">
        <f t="shared" si="5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2220</v>
      </c>
      <c r="W310" s="541" t="s">
        <v>2221</v>
      </c>
      <c r="X310" s="516" t="s">
        <v>876</v>
      </c>
      <c r="Y310" s="542">
        <v>33793</v>
      </c>
      <c r="Z310" s="543">
        <f t="shared" ca="1" si="6"/>
        <v>33</v>
      </c>
      <c r="AA310" s="534" t="s">
        <v>2222</v>
      </c>
      <c r="AB310" s="571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2224</v>
      </c>
      <c r="E311" s="516">
        <f t="shared" si="5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874</v>
      </c>
      <c r="V311" s="538" t="s">
        <v>2225</v>
      </c>
      <c r="W311" s="541" t="s">
        <v>2226</v>
      </c>
      <c r="X311" s="516" t="s">
        <v>876</v>
      </c>
      <c r="Y311" s="542">
        <v>34240</v>
      </c>
      <c r="Z311" s="543">
        <f t="shared" ca="1" si="6"/>
        <v>32</v>
      </c>
      <c r="AA311" s="534" t="s">
        <v>2227</v>
      </c>
      <c r="AB311" s="516" t="s">
        <v>2228</v>
      </c>
      <c r="AC311" s="516" t="s">
        <v>842</v>
      </c>
      <c r="AD311" s="516" t="s">
        <v>843</v>
      </c>
      <c r="AE311" s="534" t="s">
        <v>942</v>
      </c>
      <c r="AF311" s="534" t="s">
        <v>942</v>
      </c>
      <c r="AG311" s="534" t="s">
        <v>2223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2229</v>
      </c>
      <c r="E312" s="516">
        <f t="shared" si="5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788</v>
      </c>
      <c r="V312" s="538" t="s">
        <v>2230</v>
      </c>
      <c r="W312" s="541" t="s">
        <v>2231</v>
      </c>
      <c r="X312" s="516" t="s">
        <v>876</v>
      </c>
      <c r="Y312" s="542">
        <v>35234</v>
      </c>
      <c r="Z312" s="543">
        <f t="shared" ca="1" si="6"/>
        <v>29</v>
      </c>
      <c r="AA312" s="534" t="s">
        <v>2232</v>
      </c>
      <c r="AB312" s="516" t="s">
        <v>2233</v>
      </c>
      <c r="AC312" s="516" t="s">
        <v>842</v>
      </c>
      <c r="AD312" s="516" t="s">
        <v>843</v>
      </c>
      <c r="AE312" s="534" t="s">
        <v>809</v>
      </c>
      <c r="AF312" s="534" t="s">
        <v>809</v>
      </c>
      <c r="AG312" s="534" t="s">
        <v>2218</v>
      </c>
      <c r="AH312" s="516"/>
      <c r="AI312" s="516"/>
      <c r="AJ312" s="516" t="s">
        <v>976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2234</v>
      </c>
      <c r="E313" s="516">
        <f t="shared" si="5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38" t="s">
        <v>828</v>
      </c>
      <c r="Q313" s="539"/>
      <c r="R313" s="516"/>
      <c r="S313" s="516"/>
      <c r="T313" s="516"/>
      <c r="U313" s="516" t="s">
        <v>874</v>
      </c>
      <c r="V313" s="538" t="s">
        <v>2235</v>
      </c>
      <c r="W313" s="541" t="s">
        <v>2236</v>
      </c>
      <c r="X313" s="516" t="s">
        <v>876</v>
      </c>
      <c r="Y313" s="542">
        <v>35316</v>
      </c>
      <c r="Z313" s="543">
        <f t="shared" ca="1" si="6"/>
        <v>29</v>
      </c>
      <c r="AA313" s="534" t="s">
        <v>2237</v>
      </c>
      <c r="AB313" s="516" t="s">
        <v>2238</v>
      </c>
      <c r="AC313" s="516" t="s">
        <v>842</v>
      </c>
      <c r="AD313" s="516" t="s">
        <v>851</v>
      </c>
      <c r="AE313" s="534" t="s">
        <v>809</v>
      </c>
      <c r="AF313" s="534" t="s">
        <v>809</v>
      </c>
      <c r="AG313" s="534" t="s">
        <v>2239</v>
      </c>
      <c r="AH313" s="516"/>
      <c r="AI313" s="516"/>
      <c r="AJ313" s="516" t="s">
        <v>832</v>
      </c>
      <c r="AK313" s="516" t="s">
        <v>1863</v>
      </c>
      <c r="AL313" s="544"/>
      <c r="AM313" s="544"/>
    </row>
    <row r="314" spans="3:39" ht="18" customHeight="1">
      <c r="C314" s="516">
        <v>293</v>
      </c>
      <c r="D314" s="516" t="s">
        <v>2240</v>
      </c>
      <c r="E314" s="516">
        <f t="shared" si="5"/>
        <v>275</v>
      </c>
      <c r="F314" s="534" t="s">
        <v>1822</v>
      </c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2094</v>
      </c>
      <c r="L314" s="535" t="s">
        <v>2213</v>
      </c>
      <c r="M314" s="536"/>
      <c r="N314" s="537"/>
      <c r="O314" s="537"/>
      <c r="P314" s="559" t="s">
        <v>828</v>
      </c>
      <c r="Q314" s="539"/>
      <c r="R314" s="516"/>
      <c r="S314" s="516"/>
      <c r="T314" s="516"/>
      <c r="U314" s="516" t="s">
        <v>788</v>
      </c>
      <c r="V314" s="559" t="s">
        <v>2241</v>
      </c>
      <c r="W314" s="541" t="s">
        <v>2242</v>
      </c>
      <c r="X314" s="516" t="s">
        <v>876</v>
      </c>
      <c r="Y314" s="542">
        <v>34953</v>
      </c>
      <c r="Z314" s="543">
        <f t="shared" ca="1" si="6"/>
        <v>30</v>
      </c>
      <c r="AA314" s="594" t="s">
        <v>2243</v>
      </c>
      <c r="AB314" s="571"/>
      <c r="AC314" s="516" t="s">
        <v>842</v>
      </c>
      <c r="AD314" s="516" t="s">
        <v>843</v>
      </c>
      <c r="AE314" s="534" t="s">
        <v>809</v>
      </c>
      <c r="AF314" s="534" t="s">
        <v>809</v>
      </c>
      <c r="AG314" s="534" t="s">
        <v>2085</v>
      </c>
      <c r="AH314" s="516"/>
      <c r="AI314" s="516" t="s">
        <v>2244</v>
      </c>
      <c r="AJ314" s="516" t="s">
        <v>1535</v>
      </c>
      <c r="AK314" s="516" t="s">
        <v>1805</v>
      </c>
      <c r="AL314" s="544"/>
      <c r="AM314" s="544"/>
    </row>
    <row r="315" spans="3:39" ht="18" customHeight="1">
      <c r="C315" s="516">
        <v>294</v>
      </c>
      <c r="D315" s="516" t="s">
        <v>2090</v>
      </c>
      <c r="E315" s="516">
        <f t="shared" si="5"/>
        <v>275</v>
      </c>
      <c r="F315" s="534"/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48" t="s">
        <v>938</v>
      </c>
      <c r="Q315" s="539"/>
      <c r="R315" s="516" t="s">
        <v>49</v>
      </c>
      <c r="S315" s="516" t="s">
        <v>168</v>
      </c>
      <c r="T315" s="516"/>
      <c r="U315" s="516"/>
      <c r="V315" s="548" t="s">
        <v>212</v>
      </c>
      <c r="W315" s="541" t="s">
        <v>2091</v>
      </c>
      <c r="X315" s="516" t="s">
        <v>876</v>
      </c>
      <c r="Y315" s="542">
        <v>21600</v>
      </c>
      <c r="Z315" s="543">
        <f t="shared" ca="1" si="6"/>
        <v>66</v>
      </c>
      <c r="AA315" s="534" t="s">
        <v>2092</v>
      </c>
      <c r="AB315" s="516"/>
      <c r="AC315" s="516" t="s">
        <v>802</v>
      </c>
      <c r="AD315" s="516" t="s">
        <v>794</v>
      </c>
      <c r="AE315" s="534" t="s">
        <v>809</v>
      </c>
      <c r="AF315" s="534" t="s">
        <v>809</v>
      </c>
      <c r="AG315" s="534" t="s">
        <v>2085</v>
      </c>
      <c r="AH315" s="516" t="s">
        <v>872</v>
      </c>
      <c r="AI315" s="516"/>
      <c r="AJ315" s="516"/>
      <c r="AK315" s="516"/>
      <c r="AL315" s="544"/>
      <c r="AM315" s="544"/>
    </row>
    <row r="316" spans="3:39" ht="18" customHeight="1">
      <c r="C316" s="516">
        <v>295</v>
      </c>
      <c r="D316" s="516" t="s">
        <v>2245</v>
      </c>
      <c r="E316" s="516">
        <f t="shared" si="5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 t="s">
        <v>62</v>
      </c>
      <c r="S316" s="516" t="s">
        <v>548</v>
      </c>
      <c r="T316" s="516"/>
      <c r="U316" s="516" t="s">
        <v>874</v>
      </c>
      <c r="V316" s="538" t="s">
        <v>339</v>
      </c>
      <c r="W316" s="541" t="s">
        <v>2246</v>
      </c>
      <c r="X316" s="516" t="s">
        <v>876</v>
      </c>
      <c r="Y316" s="542">
        <v>22712</v>
      </c>
      <c r="Z316" s="543">
        <f t="shared" ca="1" si="6"/>
        <v>63</v>
      </c>
      <c r="AA316" s="534" t="s">
        <v>2247</v>
      </c>
      <c r="AB316" s="516" t="s">
        <v>2248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2249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2250</v>
      </c>
      <c r="E317" s="516">
        <f t="shared" si="5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353</v>
      </c>
      <c r="W317" s="541" t="s">
        <v>2251</v>
      </c>
      <c r="X317" s="516" t="s">
        <v>876</v>
      </c>
      <c r="Y317" s="542">
        <v>24504</v>
      </c>
      <c r="Z317" s="543">
        <f t="shared" ca="1" si="6"/>
        <v>58</v>
      </c>
      <c r="AA317" s="534" t="s">
        <v>2252</v>
      </c>
      <c r="AB317" s="516" t="s">
        <v>2253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2179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2254</v>
      </c>
      <c r="E318" s="516">
        <f t="shared" si="5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38" t="s">
        <v>938</v>
      </c>
      <c r="Q318" s="539"/>
      <c r="R318" s="516"/>
      <c r="S318" s="516"/>
      <c r="T318" s="516"/>
      <c r="U318" s="516" t="s">
        <v>874</v>
      </c>
      <c r="V318" s="538" t="s">
        <v>367</v>
      </c>
      <c r="W318" s="541" t="s">
        <v>2255</v>
      </c>
      <c r="X318" s="516" t="s">
        <v>876</v>
      </c>
      <c r="Y318" s="542">
        <v>30050</v>
      </c>
      <c r="Z318" s="543">
        <f t="shared" ca="1" si="6"/>
        <v>43</v>
      </c>
      <c r="AA318" s="534" t="s">
        <v>2256</v>
      </c>
      <c r="AB318" s="516" t="s">
        <v>2257</v>
      </c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2258</v>
      </c>
      <c r="AH318" s="516"/>
      <c r="AI318" s="516"/>
      <c r="AJ318" s="516" t="s">
        <v>1852</v>
      </c>
      <c r="AK318" s="516" t="s">
        <v>1863</v>
      </c>
      <c r="AL318" s="544"/>
      <c r="AM318" s="544"/>
    </row>
    <row r="319" spans="3:39" ht="18" customHeight="1">
      <c r="C319" s="516">
        <v>298</v>
      </c>
      <c r="D319" s="516" t="s">
        <v>2259</v>
      </c>
      <c r="E319" s="516">
        <f t="shared" si="5"/>
        <v>279</v>
      </c>
      <c r="F319" s="534" t="s">
        <v>1822</v>
      </c>
      <c r="G319" s="534" t="s">
        <v>2180</v>
      </c>
      <c r="H319" s="535" t="s">
        <v>2081</v>
      </c>
      <c r="I319" s="535" t="s">
        <v>193</v>
      </c>
      <c r="J319" s="535" t="s">
        <v>2086</v>
      </c>
      <c r="K319" s="535" t="s">
        <v>2090</v>
      </c>
      <c r="L319" s="535" t="s">
        <v>786</v>
      </c>
      <c r="M319" s="536"/>
      <c r="N319" s="537"/>
      <c r="O319" s="537"/>
      <c r="P319" s="559" t="s">
        <v>938</v>
      </c>
      <c r="Q319" s="539"/>
      <c r="R319" s="516"/>
      <c r="S319" s="516"/>
      <c r="T319" s="516"/>
      <c r="U319" s="516" t="s">
        <v>874</v>
      </c>
      <c r="V319" s="559" t="s">
        <v>380</v>
      </c>
      <c r="W319" s="541" t="s">
        <v>2260</v>
      </c>
      <c r="X319" s="516" t="s">
        <v>876</v>
      </c>
      <c r="Y319" s="542">
        <v>32103</v>
      </c>
      <c r="Z319" s="543">
        <f t="shared" ca="1" si="6"/>
        <v>38</v>
      </c>
      <c r="AA319" s="534" t="s">
        <v>2261</v>
      </c>
      <c r="AB319" s="571"/>
      <c r="AC319" s="516" t="s">
        <v>842</v>
      </c>
      <c r="AD319" s="516" t="s">
        <v>843</v>
      </c>
      <c r="AE319" s="534" t="s">
        <v>942</v>
      </c>
      <c r="AF319" s="534" t="s">
        <v>942</v>
      </c>
      <c r="AG319" s="534" t="s">
        <v>2262</v>
      </c>
      <c r="AH319" s="516"/>
      <c r="AI319" s="516" t="s">
        <v>2263</v>
      </c>
      <c r="AJ319" s="516" t="s">
        <v>1852</v>
      </c>
      <c r="AK319" s="516" t="s">
        <v>1805</v>
      </c>
      <c r="AL319" s="544"/>
      <c r="AM319" s="544"/>
    </row>
    <row r="320" spans="3:39" ht="18" customHeight="1">
      <c r="C320" s="516">
        <v>299</v>
      </c>
      <c r="D320" s="516" t="s">
        <v>2264</v>
      </c>
      <c r="E320" s="516">
        <f t="shared" si="5"/>
        <v>280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48" t="s">
        <v>787</v>
      </c>
      <c r="Q320" s="539"/>
      <c r="R320" s="516" t="s">
        <v>49</v>
      </c>
      <c r="S320" s="516" t="s">
        <v>168</v>
      </c>
      <c r="T320" s="516"/>
      <c r="U320" s="516" t="s">
        <v>799</v>
      </c>
      <c r="V320" s="548" t="s">
        <v>175</v>
      </c>
      <c r="W320" s="541" t="s">
        <v>2268</v>
      </c>
      <c r="X320" s="516" t="s">
        <v>790</v>
      </c>
      <c r="Y320" s="542">
        <v>24646</v>
      </c>
      <c r="Z320" s="543">
        <f t="shared" ca="1" si="6"/>
        <v>58</v>
      </c>
      <c r="AA320" s="594" t="s">
        <v>2269</v>
      </c>
      <c r="AB320" s="516" t="s">
        <v>2270</v>
      </c>
      <c r="AC320" s="516" t="s">
        <v>802</v>
      </c>
      <c r="AD320" s="516" t="s">
        <v>794</v>
      </c>
      <c r="AE320" s="534" t="s">
        <v>815</v>
      </c>
      <c r="AF320" s="534" t="s">
        <v>815</v>
      </c>
      <c r="AG320" s="534" t="s">
        <v>2271</v>
      </c>
      <c r="AH320" s="516"/>
      <c r="AI320" s="516"/>
      <c r="AJ320" s="516" t="s">
        <v>1535</v>
      </c>
      <c r="AK320" s="516"/>
      <c r="AL320" s="544"/>
      <c r="AM320" s="544"/>
    </row>
    <row r="321" spans="1:39" ht="18" customHeight="1">
      <c r="C321" s="516">
        <v>300</v>
      </c>
      <c r="D321" s="516" t="s">
        <v>2266</v>
      </c>
      <c r="E321" s="516">
        <f t="shared" si="5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/>
      <c r="R321" s="516" t="s">
        <v>62</v>
      </c>
      <c r="S321" s="516" t="s">
        <v>548</v>
      </c>
      <c r="T321" s="516" t="s">
        <v>2272</v>
      </c>
      <c r="U321" s="516" t="s">
        <v>799</v>
      </c>
      <c r="V321" s="538" t="s">
        <v>196</v>
      </c>
      <c r="W321" s="541" t="s">
        <v>2273</v>
      </c>
      <c r="X321" s="516" t="s">
        <v>790</v>
      </c>
      <c r="Y321" s="542">
        <v>24767</v>
      </c>
      <c r="Z321" s="543">
        <f t="shared" ca="1" si="6"/>
        <v>58</v>
      </c>
      <c r="AA321" s="534" t="s">
        <v>2274</v>
      </c>
      <c r="AB321" s="516" t="s">
        <v>2275</v>
      </c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2276</v>
      </c>
      <c r="AH321" s="516"/>
      <c r="AI321" s="516"/>
      <c r="AJ321" s="516" t="s">
        <v>1852</v>
      </c>
      <c r="AK321" s="516"/>
      <c r="AL321" s="544"/>
      <c r="AM321" s="544"/>
    </row>
    <row r="322" spans="1:39" ht="18" customHeight="1">
      <c r="C322" s="516">
        <v>304</v>
      </c>
      <c r="D322" s="516" t="s">
        <v>2267</v>
      </c>
      <c r="E322" s="516">
        <f t="shared" si="5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 t="s">
        <v>308</v>
      </c>
      <c r="R322" s="516" t="s">
        <v>62</v>
      </c>
      <c r="S322" s="516" t="s">
        <v>548</v>
      </c>
      <c r="T322" s="516"/>
      <c r="U322" s="516" t="s">
        <v>799</v>
      </c>
      <c r="V322" s="538" t="s">
        <v>254</v>
      </c>
      <c r="W322" s="541" t="s">
        <v>2277</v>
      </c>
      <c r="X322" s="516" t="s">
        <v>790</v>
      </c>
      <c r="Y322" s="542">
        <v>27502</v>
      </c>
      <c r="Z322" s="543">
        <f t="shared" ca="1" si="6"/>
        <v>50</v>
      </c>
      <c r="AA322" s="534" t="s">
        <v>2278</v>
      </c>
      <c r="AB322" s="516" t="s">
        <v>2279</v>
      </c>
      <c r="AC322" s="516" t="s">
        <v>842</v>
      </c>
      <c r="AD322" s="516" t="s">
        <v>843</v>
      </c>
      <c r="AE322" s="534" t="s">
        <v>815</v>
      </c>
      <c r="AF322" s="606" t="s">
        <v>815</v>
      </c>
      <c r="AG322" s="534" t="s">
        <v>1282</v>
      </c>
      <c r="AH322" s="516"/>
      <c r="AI322" s="516"/>
      <c r="AJ322" s="516" t="s">
        <v>1497</v>
      </c>
      <c r="AK322" s="516"/>
      <c r="AL322" s="544"/>
      <c r="AM322" s="544"/>
    </row>
    <row r="323" spans="1:39" ht="18" customHeight="1">
      <c r="C323" s="516">
        <v>301</v>
      </c>
      <c r="D323" s="516" t="s">
        <v>2280</v>
      </c>
      <c r="E323" s="516">
        <f t="shared" si="5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 t="s">
        <v>2272</v>
      </c>
      <c r="U323" s="516" t="s">
        <v>799</v>
      </c>
      <c r="V323" s="538" t="s">
        <v>216</v>
      </c>
      <c r="W323" s="541" t="s">
        <v>2281</v>
      </c>
      <c r="X323" s="516" t="s">
        <v>790</v>
      </c>
      <c r="Y323" s="542">
        <v>28064</v>
      </c>
      <c r="Z323" s="543">
        <f t="shared" ca="1" si="6"/>
        <v>49</v>
      </c>
      <c r="AA323" s="534" t="s">
        <v>2282</v>
      </c>
      <c r="AB323" s="516"/>
      <c r="AC323" s="516" t="s">
        <v>842</v>
      </c>
      <c r="AD323" s="516" t="s">
        <v>851</v>
      </c>
      <c r="AE323" s="534" t="s">
        <v>815</v>
      </c>
      <c r="AF323" s="606" t="s">
        <v>815</v>
      </c>
      <c r="AG323" s="534" t="s">
        <v>2283</v>
      </c>
      <c r="AH323" s="516"/>
      <c r="AI323" s="516"/>
      <c r="AJ323" s="516" t="s">
        <v>1852</v>
      </c>
      <c r="AK323" s="516"/>
      <c r="AL323" s="544"/>
      <c r="AM323" s="544"/>
    </row>
    <row r="324" spans="1:39" ht="18" customHeight="1">
      <c r="C324" s="516">
        <v>302</v>
      </c>
      <c r="D324" s="516" t="s">
        <v>2307</v>
      </c>
      <c r="E324" s="516">
        <f t="shared" si="5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37"/>
      <c r="O324" s="537"/>
      <c r="P324" s="538" t="s">
        <v>787</v>
      </c>
      <c r="Q324" s="539"/>
      <c r="R324" s="516"/>
      <c r="S324" s="516"/>
      <c r="T324" s="516"/>
      <c r="U324" s="516" t="s">
        <v>799</v>
      </c>
      <c r="V324" s="538" t="s">
        <v>235</v>
      </c>
      <c r="W324" s="541" t="s">
        <v>2308</v>
      </c>
      <c r="X324" s="516" t="s">
        <v>790</v>
      </c>
      <c r="Y324" s="542">
        <v>29343</v>
      </c>
      <c r="Z324" s="543">
        <f t="shared" ca="1" si="6"/>
        <v>45</v>
      </c>
      <c r="AA324" s="534" t="s">
        <v>2309</v>
      </c>
      <c r="AB324" s="516" t="s">
        <v>2310</v>
      </c>
      <c r="AC324" s="516" t="s">
        <v>842</v>
      </c>
      <c r="AD324" s="516" t="s">
        <v>843</v>
      </c>
      <c r="AE324" s="534" t="s">
        <v>713</v>
      </c>
      <c r="AF324" s="534" t="s">
        <v>815</v>
      </c>
      <c r="AG324" s="534" t="s">
        <v>2311</v>
      </c>
      <c r="AH324" s="516" t="s">
        <v>1571</v>
      </c>
      <c r="AI324" s="516" t="s">
        <v>2312</v>
      </c>
      <c r="AJ324" s="516" t="s">
        <v>1852</v>
      </c>
      <c r="AK324" s="516"/>
      <c r="AL324" s="544"/>
      <c r="AM324" s="544"/>
    </row>
    <row r="325" spans="1:39" ht="18" customHeight="1">
      <c r="A325" s="173"/>
      <c r="B325" s="173"/>
      <c r="C325" s="516">
        <v>303</v>
      </c>
      <c r="D325" s="581" t="s">
        <v>2313</v>
      </c>
      <c r="E325" s="516">
        <f t="shared" si="5"/>
        <v>285</v>
      </c>
      <c r="F325" s="581" t="s">
        <v>981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83"/>
      <c r="O325" s="583"/>
      <c r="P325" s="538" t="s">
        <v>787</v>
      </c>
      <c r="Q325" s="585"/>
      <c r="R325" s="586"/>
      <c r="S325" s="586"/>
      <c r="T325" s="586"/>
      <c r="U325" s="581" t="s">
        <v>788</v>
      </c>
      <c r="V325" s="584" t="s">
        <v>2314</v>
      </c>
      <c r="W325" s="587" t="s">
        <v>2315</v>
      </c>
      <c r="X325" s="581" t="s">
        <v>790</v>
      </c>
      <c r="Y325" s="588">
        <v>35416</v>
      </c>
      <c r="Z325" s="589">
        <f t="shared" ca="1" si="6"/>
        <v>29</v>
      </c>
      <c r="AA325" s="586"/>
      <c r="AB325" s="607" t="s">
        <v>2316</v>
      </c>
      <c r="AC325" s="581" t="s">
        <v>842</v>
      </c>
      <c r="AD325" s="581" t="s">
        <v>851</v>
      </c>
      <c r="AE325" s="581" t="s">
        <v>815</v>
      </c>
      <c r="AF325" s="581" t="s">
        <v>815</v>
      </c>
      <c r="AG325" s="581" t="s">
        <v>2317</v>
      </c>
      <c r="AH325" s="590" t="s">
        <v>1571</v>
      </c>
      <c r="AI325" s="581" t="s">
        <v>2318</v>
      </c>
      <c r="AJ325" s="586"/>
      <c r="AK325" s="586"/>
      <c r="AL325" s="554"/>
      <c r="AM325" s="554"/>
    </row>
    <row r="326" spans="1:39" ht="18" customHeight="1">
      <c r="C326" s="516">
        <v>305</v>
      </c>
      <c r="D326" s="516" t="s">
        <v>2284</v>
      </c>
      <c r="E326" s="516">
        <f t="shared" si="5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2285</v>
      </c>
      <c r="W326" s="541" t="s">
        <v>2286</v>
      </c>
      <c r="X326" s="516" t="s">
        <v>790</v>
      </c>
      <c r="Y326" s="542">
        <v>28563</v>
      </c>
      <c r="Z326" s="543">
        <f t="shared" ca="1" si="6"/>
        <v>47</v>
      </c>
      <c r="AA326" s="534" t="s">
        <v>2287</v>
      </c>
      <c r="AB326" s="516" t="s">
        <v>2288</v>
      </c>
      <c r="AC326" s="516" t="s">
        <v>842</v>
      </c>
      <c r="AD326" s="516" t="s">
        <v>843</v>
      </c>
      <c r="AE326" s="534" t="s">
        <v>1289</v>
      </c>
      <c r="AF326" s="534" t="s">
        <v>1289</v>
      </c>
      <c r="AG326" s="534" t="s">
        <v>2289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2290</v>
      </c>
      <c r="E327" s="516">
        <f t="shared" si="5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281</v>
      </c>
      <c r="W327" s="541" t="s">
        <v>2291</v>
      </c>
      <c r="X327" s="516" t="s">
        <v>790</v>
      </c>
      <c r="Y327" s="542">
        <v>29749</v>
      </c>
      <c r="Z327" s="543">
        <f t="shared" ca="1" si="6"/>
        <v>44</v>
      </c>
      <c r="AA327" s="534" t="s">
        <v>2292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2004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2293</v>
      </c>
      <c r="E328" s="516">
        <f t="shared" si="5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290</v>
      </c>
      <c r="W328" s="541" t="s">
        <v>2294</v>
      </c>
      <c r="X328" s="516" t="s">
        <v>790</v>
      </c>
      <c r="Y328" s="542">
        <v>30427</v>
      </c>
      <c r="Z328" s="543">
        <f t="shared" ca="1" si="6"/>
        <v>42</v>
      </c>
      <c r="AA328" s="534" t="s">
        <v>2295</v>
      </c>
      <c r="AB328" s="516" t="s">
        <v>2296</v>
      </c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2297</v>
      </c>
      <c r="AH328" s="516"/>
      <c r="AI328" s="516"/>
      <c r="AJ328" s="516" t="s">
        <v>1497</v>
      </c>
      <c r="AK328" s="516"/>
      <c r="AL328" s="544"/>
      <c r="AM328" s="544"/>
    </row>
    <row r="329" spans="1:39" ht="18" customHeight="1">
      <c r="C329" s="516">
        <v>308</v>
      </c>
      <c r="D329" s="516" t="s">
        <v>2298</v>
      </c>
      <c r="E329" s="516">
        <f t="shared" si="5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898</v>
      </c>
      <c r="V329" s="538" t="s">
        <v>295</v>
      </c>
      <c r="W329" s="541" t="s">
        <v>2299</v>
      </c>
      <c r="X329" s="516" t="s">
        <v>790</v>
      </c>
      <c r="Y329" s="542">
        <v>18451</v>
      </c>
      <c r="Z329" s="543">
        <f t="shared" ca="1" si="6"/>
        <v>75</v>
      </c>
      <c r="AA329" s="534" t="s">
        <v>2300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2301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2302</v>
      </c>
      <c r="E330" s="516">
        <f t="shared" si="5"/>
        <v>290</v>
      </c>
      <c r="F330" s="534" t="s">
        <v>811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2264</v>
      </c>
      <c r="L330" s="661" t="s">
        <v>2266</v>
      </c>
      <c r="M330" s="570" t="s">
        <v>2267</v>
      </c>
      <c r="N330" s="537"/>
      <c r="O330" s="537"/>
      <c r="P330" s="538" t="s">
        <v>787</v>
      </c>
      <c r="Q330" s="539" t="s">
        <v>308</v>
      </c>
      <c r="R330" s="516"/>
      <c r="S330" s="516"/>
      <c r="T330" s="516"/>
      <c r="U330" s="516" t="s">
        <v>799</v>
      </c>
      <c r="V330" s="538" t="s">
        <v>300</v>
      </c>
      <c r="W330" s="541" t="s">
        <v>2303</v>
      </c>
      <c r="X330" s="516" t="s">
        <v>790</v>
      </c>
      <c r="Y330" s="542">
        <v>25791</v>
      </c>
      <c r="Z330" s="543">
        <f t="shared" ca="1" si="6"/>
        <v>55</v>
      </c>
      <c r="AA330" s="534" t="s">
        <v>2304</v>
      </c>
      <c r="AB330" s="516" t="s">
        <v>2305</v>
      </c>
      <c r="AC330" s="516" t="s">
        <v>842</v>
      </c>
      <c r="AD330" s="516" t="s">
        <v>851</v>
      </c>
      <c r="AE330" s="534" t="s">
        <v>815</v>
      </c>
      <c r="AF330" s="606" t="s">
        <v>815</v>
      </c>
      <c r="AG330" s="534" t="s">
        <v>2306</v>
      </c>
      <c r="AH330" s="516"/>
      <c r="AI330" s="516"/>
      <c r="AJ330" s="565" t="s">
        <v>1087</v>
      </c>
      <c r="AK330" s="516"/>
      <c r="AL330" s="544"/>
      <c r="AM330" s="544"/>
    </row>
    <row r="331" spans="1:39" ht="18" customHeight="1">
      <c r="C331" s="516">
        <v>310</v>
      </c>
      <c r="D331" s="516" t="s">
        <v>2319</v>
      </c>
      <c r="E331" s="516">
        <f t="shared" si="5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48" t="s">
        <v>828</v>
      </c>
      <c r="Q331" s="539"/>
      <c r="R331" s="516" t="s">
        <v>49</v>
      </c>
      <c r="S331" s="516" t="s">
        <v>168</v>
      </c>
      <c r="T331" s="516"/>
      <c r="U331" s="516" t="s">
        <v>799</v>
      </c>
      <c r="V331" s="548" t="s">
        <v>2321</v>
      </c>
      <c r="W331" s="541" t="s">
        <v>2322</v>
      </c>
      <c r="X331" s="516" t="s">
        <v>790</v>
      </c>
      <c r="Y331" s="542">
        <v>26171</v>
      </c>
      <c r="Z331" s="543">
        <f t="shared" ca="1" si="6"/>
        <v>54</v>
      </c>
      <c r="AA331" s="534" t="s">
        <v>2323</v>
      </c>
      <c r="AB331" s="516" t="s">
        <v>2324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2317</v>
      </c>
      <c r="AH331" s="516"/>
      <c r="AI331" s="516"/>
      <c r="AJ331" s="516"/>
      <c r="AK331" s="516"/>
      <c r="AL331" s="544"/>
      <c r="AM331" s="544"/>
    </row>
    <row r="332" spans="1:39" ht="18" customHeight="1">
      <c r="C332" s="516">
        <v>311</v>
      </c>
      <c r="D332" s="516" t="s">
        <v>2320</v>
      </c>
      <c r="E332" s="516">
        <f t="shared" si="5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 t="s">
        <v>62</v>
      </c>
      <c r="S332" s="516" t="s">
        <v>548</v>
      </c>
      <c r="T332" s="516"/>
      <c r="U332" s="516" t="s">
        <v>799</v>
      </c>
      <c r="V332" s="538" t="s">
        <v>2325</v>
      </c>
      <c r="W332" s="541" t="s">
        <v>2326</v>
      </c>
      <c r="X332" s="516" t="s">
        <v>790</v>
      </c>
      <c r="Y332" s="542">
        <v>27634</v>
      </c>
      <c r="Z332" s="543">
        <f t="shared" ca="1" si="6"/>
        <v>50</v>
      </c>
      <c r="AA332" s="534" t="s">
        <v>2327</v>
      </c>
      <c r="AB332" s="516" t="s">
        <v>2328</v>
      </c>
      <c r="AC332" s="516" t="s">
        <v>802</v>
      </c>
      <c r="AD332" s="516" t="s">
        <v>794</v>
      </c>
      <c r="AE332" s="534" t="s">
        <v>815</v>
      </c>
      <c r="AF332" s="534" t="s">
        <v>815</v>
      </c>
      <c r="AG332" s="534" t="s">
        <v>1282</v>
      </c>
      <c r="AH332" s="516"/>
      <c r="AI332" s="516"/>
      <c r="AJ332" s="516" t="s">
        <v>903</v>
      </c>
      <c r="AK332" s="516"/>
      <c r="AL332" s="544"/>
      <c r="AM332" s="544"/>
    </row>
    <row r="333" spans="1:39" ht="18" customHeight="1">
      <c r="C333" s="516">
        <v>312</v>
      </c>
      <c r="D333" s="516" t="s">
        <v>2329</v>
      </c>
      <c r="E333" s="516">
        <f t="shared" si="5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291</v>
      </c>
      <c r="W333" s="541" t="s">
        <v>2330</v>
      </c>
      <c r="X333" s="516" t="s">
        <v>790</v>
      </c>
      <c r="Y333" s="542">
        <v>26832</v>
      </c>
      <c r="Z333" s="543">
        <f t="shared" ca="1" si="6"/>
        <v>52</v>
      </c>
      <c r="AA333" s="534" t="s">
        <v>2331</v>
      </c>
      <c r="AB333" s="516" t="s">
        <v>2332</v>
      </c>
      <c r="AC333" s="516" t="s">
        <v>842</v>
      </c>
      <c r="AD333" s="516" t="s">
        <v>851</v>
      </c>
      <c r="AE333" s="534" t="s">
        <v>815</v>
      </c>
      <c r="AF333" s="534" t="s">
        <v>815</v>
      </c>
      <c r="AG333" s="534" t="s">
        <v>2333</v>
      </c>
      <c r="AH333" s="516"/>
      <c r="AI333" s="516"/>
      <c r="AJ333" s="516" t="s">
        <v>867</v>
      </c>
      <c r="AK333" s="516"/>
      <c r="AL333" s="544"/>
      <c r="AM333" s="544"/>
    </row>
    <row r="334" spans="1:39" ht="18" customHeight="1">
      <c r="C334" s="516">
        <v>313</v>
      </c>
      <c r="D334" s="516" t="s">
        <v>2334</v>
      </c>
      <c r="E334" s="516">
        <f t="shared" si="5"/>
        <v>294</v>
      </c>
      <c r="F334" s="534" t="s">
        <v>811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2335</v>
      </c>
      <c r="W334" s="541" t="s">
        <v>2336</v>
      </c>
      <c r="X334" s="516" t="s">
        <v>790</v>
      </c>
      <c r="Y334" s="542">
        <v>23664</v>
      </c>
      <c r="Z334" s="543">
        <f t="shared" ca="1" si="6"/>
        <v>61</v>
      </c>
      <c r="AA334" s="534" t="s">
        <v>864</v>
      </c>
      <c r="AB334" s="516" t="s">
        <v>2337</v>
      </c>
      <c r="AC334" s="516" t="s">
        <v>802</v>
      </c>
      <c r="AD334" s="516" t="s">
        <v>794</v>
      </c>
      <c r="AE334" s="534" t="s">
        <v>236</v>
      </c>
      <c r="AF334" s="534" t="s">
        <v>236</v>
      </c>
      <c r="AG334" s="534" t="s">
        <v>865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2338</v>
      </c>
      <c r="E335" s="516">
        <f t="shared" si="5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799</v>
      </c>
      <c r="V335" s="538" t="s">
        <v>2339</v>
      </c>
      <c r="W335" s="541" t="s">
        <v>2340</v>
      </c>
      <c r="X335" s="516" t="s">
        <v>790</v>
      </c>
      <c r="Y335" s="542">
        <v>31932</v>
      </c>
      <c r="Z335" s="543">
        <f t="shared" ca="1" si="6"/>
        <v>38</v>
      </c>
      <c r="AA335" s="534" t="s">
        <v>2341</v>
      </c>
      <c r="AB335" s="516" t="s">
        <v>2342</v>
      </c>
      <c r="AC335" s="516" t="s">
        <v>802</v>
      </c>
      <c r="AD335" s="516" t="s">
        <v>794</v>
      </c>
      <c r="AE335" s="534" t="s">
        <v>1256</v>
      </c>
      <c r="AF335" s="534" t="s">
        <v>1256</v>
      </c>
      <c r="AG335" s="534" t="s">
        <v>2343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2344</v>
      </c>
      <c r="E336" s="516">
        <f t="shared" si="5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2345</v>
      </c>
      <c r="W336" s="541" t="s">
        <v>2346</v>
      </c>
      <c r="X336" s="516" t="s">
        <v>876</v>
      </c>
      <c r="Y336" s="542">
        <v>27553</v>
      </c>
      <c r="Z336" s="543">
        <f t="shared" ca="1" si="6"/>
        <v>50</v>
      </c>
      <c r="AA336" s="534" t="s">
        <v>2347</v>
      </c>
      <c r="AB336" s="516" t="s">
        <v>2348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2349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2350</v>
      </c>
      <c r="E337" s="516">
        <f t="shared" si="5"/>
        <v>297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/>
      <c r="R337" s="516"/>
      <c r="S337" s="516"/>
      <c r="T337" s="516"/>
      <c r="U337" s="516" t="s">
        <v>874</v>
      </c>
      <c r="V337" s="538" t="s">
        <v>2351</v>
      </c>
      <c r="W337" s="541" t="s">
        <v>2352</v>
      </c>
      <c r="X337" s="516" t="s">
        <v>876</v>
      </c>
      <c r="Y337" s="542">
        <v>30200</v>
      </c>
      <c r="Z337" s="543">
        <f t="shared" ca="1" si="6"/>
        <v>43</v>
      </c>
      <c r="AA337" s="534" t="s">
        <v>2353</v>
      </c>
      <c r="AB337" s="516" t="s">
        <v>2354</v>
      </c>
      <c r="AC337" s="516" t="s">
        <v>842</v>
      </c>
      <c r="AD337" s="516" t="s">
        <v>851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16" t="s">
        <v>903</v>
      </c>
      <c r="AK337" s="516"/>
      <c r="AL337" s="544"/>
      <c r="AM337" s="544"/>
    </row>
    <row r="338" spans="1:39" ht="18" customHeight="1">
      <c r="C338" s="516">
        <v>317</v>
      </c>
      <c r="D338" s="516" t="s">
        <v>2355</v>
      </c>
      <c r="E338" s="516">
        <f t="shared" si="5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38" t="s">
        <v>828</v>
      </c>
      <c r="Q338" s="539" t="s">
        <v>308</v>
      </c>
      <c r="R338" s="516"/>
      <c r="S338" s="516"/>
      <c r="T338" s="516"/>
      <c r="U338" s="516" t="s">
        <v>799</v>
      </c>
      <c r="V338" s="538" t="s">
        <v>2356</v>
      </c>
      <c r="W338" s="541" t="s">
        <v>2357</v>
      </c>
      <c r="X338" s="516" t="s">
        <v>790</v>
      </c>
      <c r="Y338" s="542">
        <v>30794</v>
      </c>
      <c r="Z338" s="543">
        <f t="shared" ca="1" si="6"/>
        <v>41</v>
      </c>
      <c r="AA338" s="534" t="s">
        <v>2358</v>
      </c>
      <c r="AB338" s="516" t="s">
        <v>2359</v>
      </c>
      <c r="AC338" s="516" t="s">
        <v>842</v>
      </c>
      <c r="AD338" s="516" t="s">
        <v>851</v>
      </c>
      <c r="AE338" s="534" t="s">
        <v>815</v>
      </c>
      <c r="AF338" s="606" t="s">
        <v>815</v>
      </c>
      <c r="AG338" s="534" t="s">
        <v>1282</v>
      </c>
      <c r="AH338" s="516"/>
      <c r="AI338" s="516"/>
      <c r="AJ338" s="516" t="s">
        <v>971</v>
      </c>
      <c r="AK338" s="516"/>
      <c r="AL338" s="544"/>
      <c r="AM338" s="544"/>
    </row>
    <row r="339" spans="1:39" ht="18" customHeight="1">
      <c r="C339" s="516">
        <v>318</v>
      </c>
      <c r="D339" s="516" t="s">
        <v>2360</v>
      </c>
      <c r="E339" s="516">
        <f t="shared" si="5"/>
        <v>299</v>
      </c>
      <c r="F339" s="534" t="s">
        <v>811</v>
      </c>
      <c r="G339" s="534" t="s">
        <v>2265</v>
      </c>
      <c r="H339" s="535" t="s">
        <v>1144</v>
      </c>
      <c r="I339" s="535" t="s">
        <v>175</v>
      </c>
      <c r="J339" s="535" t="s">
        <v>2264</v>
      </c>
      <c r="K339" s="535" t="s">
        <v>2319</v>
      </c>
      <c r="L339" s="535" t="s">
        <v>2320</v>
      </c>
      <c r="M339" s="536"/>
      <c r="N339" s="537"/>
      <c r="O339" s="537"/>
      <c r="P339" s="559" t="s">
        <v>828</v>
      </c>
      <c r="Q339" s="539" t="s">
        <v>308</v>
      </c>
      <c r="R339" s="516"/>
      <c r="S339" s="516"/>
      <c r="T339" s="516"/>
      <c r="U339" s="516" t="s">
        <v>799</v>
      </c>
      <c r="V339" s="559" t="s">
        <v>296</v>
      </c>
      <c r="W339" s="541" t="s">
        <v>2361</v>
      </c>
      <c r="X339" s="516" t="s">
        <v>790</v>
      </c>
      <c r="Y339" s="542">
        <v>32505</v>
      </c>
      <c r="Z339" s="543">
        <f t="shared" ca="1" si="6"/>
        <v>37</v>
      </c>
      <c r="AA339" s="534" t="s">
        <v>2362</v>
      </c>
      <c r="AB339" s="516" t="s">
        <v>2363</v>
      </c>
      <c r="AC339" s="516" t="s">
        <v>842</v>
      </c>
      <c r="AD339" s="516" t="s">
        <v>843</v>
      </c>
      <c r="AE339" s="534" t="s">
        <v>815</v>
      </c>
      <c r="AF339" s="534" t="s">
        <v>815</v>
      </c>
      <c r="AG339" s="534" t="s">
        <v>1282</v>
      </c>
      <c r="AH339" s="516"/>
      <c r="AI339" s="516"/>
      <c r="AJ339" s="569" t="s">
        <v>1224</v>
      </c>
      <c r="AK339" s="516"/>
      <c r="AL339" s="544"/>
      <c r="AM339" s="544"/>
    </row>
    <row r="340" spans="1:39" ht="18" customHeight="1">
      <c r="C340" s="516">
        <v>319</v>
      </c>
      <c r="D340" s="516" t="s">
        <v>2368</v>
      </c>
      <c r="E340" s="516">
        <f t="shared" si="5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48" t="s">
        <v>2372</v>
      </c>
      <c r="Q340" s="539"/>
      <c r="R340" s="516" t="s">
        <v>163</v>
      </c>
      <c r="S340" s="516" t="s">
        <v>500</v>
      </c>
      <c r="T340" s="516" t="s">
        <v>49</v>
      </c>
      <c r="U340" s="516" t="s">
        <v>874</v>
      </c>
      <c r="V340" s="548" t="s">
        <v>2370</v>
      </c>
      <c r="W340" s="541" t="s">
        <v>2373</v>
      </c>
      <c r="X340" s="516" t="s">
        <v>876</v>
      </c>
      <c r="Y340" s="542">
        <v>25905</v>
      </c>
      <c r="Z340" s="543">
        <f t="shared" ca="1" si="6"/>
        <v>55</v>
      </c>
      <c r="AA340" s="534" t="s">
        <v>2374</v>
      </c>
      <c r="AB340" s="516" t="s">
        <v>2375</v>
      </c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2271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320</v>
      </c>
      <c r="D341" s="516" t="s">
        <v>2371</v>
      </c>
      <c r="E341" s="516">
        <f t="shared" si="5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 t="s">
        <v>62</v>
      </c>
      <c r="S341" s="516" t="s">
        <v>548</v>
      </c>
      <c r="T341" s="516"/>
      <c r="U341" s="516" t="s">
        <v>874</v>
      </c>
      <c r="V341" s="538" t="s">
        <v>283</v>
      </c>
      <c r="W341" s="541" t="s">
        <v>2376</v>
      </c>
      <c r="X341" s="516" t="s">
        <v>876</v>
      </c>
      <c r="Y341" s="542">
        <v>26792</v>
      </c>
      <c r="Z341" s="543">
        <f t="shared" ca="1" si="6"/>
        <v>52</v>
      </c>
      <c r="AA341" s="534" t="s">
        <v>2377</v>
      </c>
      <c r="AB341" s="516" t="s">
        <v>2378</v>
      </c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321</v>
      </c>
      <c r="D342" s="516" t="s">
        <v>2379</v>
      </c>
      <c r="E342" s="516">
        <f t="shared" si="5"/>
        <v>302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874</v>
      </c>
      <c r="V342" s="538" t="s">
        <v>217</v>
      </c>
      <c r="W342" s="541" t="s">
        <v>2380</v>
      </c>
      <c r="X342" s="516" t="s">
        <v>876</v>
      </c>
      <c r="Y342" s="542">
        <v>23437</v>
      </c>
      <c r="Z342" s="543">
        <f t="shared" ca="1" si="6"/>
        <v>61</v>
      </c>
      <c r="AA342" s="534" t="s">
        <v>2381</v>
      </c>
      <c r="AB342" s="516" t="s">
        <v>2382</v>
      </c>
      <c r="AC342" s="516" t="s">
        <v>802</v>
      </c>
      <c r="AD342" s="516" t="s">
        <v>794</v>
      </c>
      <c r="AE342" s="534" t="s">
        <v>815</v>
      </c>
      <c r="AF342" s="534" t="s">
        <v>815</v>
      </c>
      <c r="AG342" s="534" t="s">
        <v>2383</v>
      </c>
      <c r="AH342" s="516"/>
      <c r="AI342" s="516"/>
      <c r="AJ342" s="516"/>
      <c r="AK342" s="516"/>
      <c r="AL342" s="544"/>
      <c r="AM342" s="544"/>
    </row>
    <row r="343" spans="1:39" ht="18" customHeight="1">
      <c r="C343" s="516">
        <v>322</v>
      </c>
      <c r="D343" s="516" t="s">
        <v>2384</v>
      </c>
      <c r="E343" s="516">
        <f t="shared" si="5"/>
        <v>303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 t="s">
        <v>49</v>
      </c>
      <c r="S343" s="516" t="s">
        <v>168</v>
      </c>
      <c r="T343" s="516"/>
      <c r="U343" s="516" t="s">
        <v>874</v>
      </c>
      <c r="V343" s="538" t="s">
        <v>197</v>
      </c>
      <c r="W343" s="541" t="s">
        <v>2385</v>
      </c>
      <c r="X343" s="516" t="s">
        <v>876</v>
      </c>
      <c r="Y343" s="542">
        <v>28739</v>
      </c>
      <c r="Z343" s="543">
        <f t="shared" ca="1" si="6"/>
        <v>47</v>
      </c>
      <c r="AA343" s="534" t="s">
        <v>2386</v>
      </c>
      <c r="AB343" s="516" t="s">
        <v>2387</v>
      </c>
      <c r="AC343" s="516" t="s">
        <v>802</v>
      </c>
      <c r="AD343" s="516" t="s">
        <v>794</v>
      </c>
      <c r="AE343" s="534" t="s">
        <v>1735</v>
      </c>
      <c r="AF343" s="534" t="s">
        <v>1735</v>
      </c>
      <c r="AG343" s="534" t="s">
        <v>2388</v>
      </c>
      <c r="AH343" s="516"/>
      <c r="AI343" s="516"/>
      <c r="AJ343" s="516" t="s">
        <v>844</v>
      </c>
      <c r="AK343" s="516"/>
      <c r="AL343" s="544"/>
      <c r="AM343" s="544"/>
    </row>
    <row r="344" spans="1:39" ht="18" customHeight="1">
      <c r="C344" s="516">
        <v>323</v>
      </c>
      <c r="D344" s="516" t="s">
        <v>2389</v>
      </c>
      <c r="E344" s="516">
        <f t="shared" si="5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237</v>
      </c>
      <c r="W344" s="541" t="s">
        <v>2390</v>
      </c>
      <c r="X344" s="516" t="s">
        <v>876</v>
      </c>
      <c r="Y344" s="542">
        <v>15634</v>
      </c>
      <c r="Z344" s="543">
        <f t="shared" ca="1" si="6"/>
        <v>83</v>
      </c>
      <c r="AA344" s="534" t="s">
        <v>2391</v>
      </c>
      <c r="AB344" s="571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2392</v>
      </c>
      <c r="E345" s="516">
        <f t="shared" si="5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898</v>
      </c>
      <c r="V345" s="538" t="s">
        <v>255</v>
      </c>
      <c r="W345" s="541" t="s">
        <v>2393</v>
      </c>
      <c r="X345" s="516" t="s">
        <v>876</v>
      </c>
      <c r="Y345" s="542">
        <v>18124</v>
      </c>
      <c r="Z345" s="543">
        <f t="shared" ca="1" si="6"/>
        <v>76</v>
      </c>
      <c r="AA345" s="534" t="s">
        <v>2394</v>
      </c>
      <c r="AB345" s="516" t="s">
        <v>2395</v>
      </c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2396</v>
      </c>
      <c r="E346" s="516">
        <f t="shared" si="5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538" t="s">
        <v>272</v>
      </c>
      <c r="W346" s="541" t="s">
        <v>2397</v>
      </c>
      <c r="X346" s="516" t="s">
        <v>876</v>
      </c>
      <c r="Y346" s="542">
        <v>25188</v>
      </c>
      <c r="Z346" s="543">
        <f t="shared" ca="1" si="6"/>
        <v>57</v>
      </c>
      <c r="AA346" s="534" t="s">
        <v>2398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C347" s="516">
        <v>326</v>
      </c>
      <c r="D347" s="516" t="s">
        <v>2399</v>
      </c>
      <c r="E347" s="516">
        <f t="shared" si="5"/>
        <v>307</v>
      </c>
      <c r="F347" s="534" t="s">
        <v>811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36"/>
      <c r="N347" s="537"/>
      <c r="O347" s="537"/>
      <c r="P347" s="538" t="s">
        <v>2372</v>
      </c>
      <c r="Q347" s="539"/>
      <c r="R347" s="516"/>
      <c r="S347" s="516"/>
      <c r="T347" s="516"/>
      <c r="U347" s="516" t="s">
        <v>874</v>
      </c>
      <c r="V347" s="608" t="s">
        <v>292</v>
      </c>
      <c r="W347" s="541" t="s">
        <v>2400</v>
      </c>
      <c r="X347" s="516" t="s">
        <v>876</v>
      </c>
      <c r="Y347" s="542">
        <v>22076</v>
      </c>
      <c r="Z347" s="543">
        <f t="shared" ca="1" si="6"/>
        <v>65</v>
      </c>
      <c r="AA347" s="534" t="s">
        <v>2401</v>
      </c>
      <c r="AB347" s="516" t="s">
        <v>2402</v>
      </c>
      <c r="AC347" s="516" t="s">
        <v>842</v>
      </c>
      <c r="AD347" s="516" t="s">
        <v>843</v>
      </c>
      <c r="AE347" s="534" t="s">
        <v>815</v>
      </c>
      <c r="AF347" s="606" t="s">
        <v>815</v>
      </c>
      <c r="AG347" s="534"/>
      <c r="AH347" s="516"/>
      <c r="AI347" s="516"/>
      <c r="AJ347" s="593" t="s">
        <v>1604</v>
      </c>
      <c r="AK347" s="516"/>
      <c r="AL347" s="544"/>
      <c r="AM347" s="544"/>
    </row>
    <row r="348" spans="1:39" ht="18" customHeight="1">
      <c r="A348" s="173"/>
      <c r="B348" s="173"/>
      <c r="C348" s="516">
        <v>327</v>
      </c>
      <c r="D348" s="516" t="s">
        <v>2403</v>
      </c>
      <c r="E348" s="516">
        <f t="shared" si="5"/>
        <v>308</v>
      </c>
      <c r="F348" s="609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54"/>
      <c r="N348" s="567"/>
      <c r="O348" s="567"/>
      <c r="P348" s="538" t="s">
        <v>2372</v>
      </c>
      <c r="Q348" s="568"/>
      <c r="R348" s="554"/>
      <c r="S348" s="554"/>
      <c r="T348" s="554"/>
      <c r="U348" s="555" t="s">
        <v>788</v>
      </c>
      <c r="V348" s="610" t="s">
        <v>297</v>
      </c>
      <c r="W348" s="557" t="s">
        <v>2404</v>
      </c>
      <c r="X348" s="516" t="s">
        <v>876</v>
      </c>
      <c r="Y348" s="542">
        <v>34440</v>
      </c>
      <c r="Z348" s="543">
        <f t="shared" ca="1" si="6"/>
        <v>31</v>
      </c>
      <c r="AA348" s="516" t="s">
        <v>2405</v>
      </c>
      <c r="AB348" s="516" t="s">
        <v>2406</v>
      </c>
      <c r="AC348" s="516" t="s">
        <v>793</v>
      </c>
      <c r="AD348" s="516" t="s">
        <v>794</v>
      </c>
      <c r="AE348" s="516" t="s">
        <v>815</v>
      </c>
      <c r="AF348" s="516" t="s">
        <v>815</v>
      </c>
      <c r="AG348" s="516" t="s">
        <v>2317</v>
      </c>
      <c r="AH348" s="554"/>
      <c r="AI348" s="554"/>
      <c r="AJ348" s="611"/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2407</v>
      </c>
      <c r="E349" s="516">
        <f t="shared" si="5"/>
        <v>309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36"/>
      <c r="N349" s="537"/>
      <c r="O349" s="53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301</v>
      </c>
      <c r="W349" s="557" t="s">
        <v>2408</v>
      </c>
      <c r="X349" s="516" t="s">
        <v>876</v>
      </c>
      <c r="Y349" s="542">
        <v>23216</v>
      </c>
      <c r="Z349" s="543">
        <f t="shared" ca="1" si="6"/>
        <v>62</v>
      </c>
      <c r="AA349" s="516" t="s">
        <v>2409</v>
      </c>
      <c r="AB349" s="516" t="s">
        <v>2410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2411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A350" s="173"/>
      <c r="B350" s="173"/>
      <c r="C350" s="516">
        <v>329</v>
      </c>
      <c r="D350" s="516" t="s">
        <v>2412</v>
      </c>
      <c r="E350" s="516">
        <f t="shared" si="5"/>
        <v>310</v>
      </c>
      <c r="F350" s="534" t="s">
        <v>811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662" t="s">
        <v>2371</v>
      </c>
      <c r="M350" s="554"/>
      <c r="N350" s="567"/>
      <c r="O350" s="567"/>
      <c r="P350" s="538" t="s">
        <v>2372</v>
      </c>
      <c r="Q350" s="539" t="s">
        <v>308</v>
      </c>
      <c r="R350" s="554"/>
      <c r="S350" s="554"/>
      <c r="T350" s="554"/>
      <c r="U350" s="516" t="s">
        <v>874</v>
      </c>
      <c r="V350" s="610" t="s">
        <v>304</v>
      </c>
      <c r="W350" s="557" t="s">
        <v>2413</v>
      </c>
      <c r="X350" s="516" t="s">
        <v>876</v>
      </c>
      <c r="Y350" s="542">
        <v>24814</v>
      </c>
      <c r="Z350" s="543">
        <f t="shared" ca="1" si="6"/>
        <v>58</v>
      </c>
      <c r="AA350" s="516" t="s">
        <v>2414</v>
      </c>
      <c r="AB350" s="516" t="s">
        <v>2415</v>
      </c>
      <c r="AC350" s="516" t="s">
        <v>842</v>
      </c>
      <c r="AD350" s="516" t="s">
        <v>843</v>
      </c>
      <c r="AE350" s="516" t="s">
        <v>815</v>
      </c>
      <c r="AF350" s="516" t="s">
        <v>815</v>
      </c>
      <c r="AG350" s="516" t="s">
        <v>2416</v>
      </c>
      <c r="AH350" s="554"/>
      <c r="AI350" s="554"/>
      <c r="AJ350" s="575" t="s">
        <v>1438</v>
      </c>
      <c r="AK350" s="554"/>
      <c r="AL350" s="554"/>
      <c r="AM350" s="554"/>
    </row>
    <row r="351" spans="1:39" ht="18" customHeight="1">
      <c r="C351" s="516">
        <v>330</v>
      </c>
      <c r="D351" s="516" t="s">
        <v>2420</v>
      </c>
      <c r="E351" s="516">
        <f t="shared" si="5"/>
        <v>311</v>
      </c>
      <c r="F351" s="534" t="s">
        <v>782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1009</v>
      </c>
      <c r="L351" s="662" t="s">
        <v>2371</v>
      </c>
      <c r="M351" s="554"/>
      <c r="N351" s="537"/>
      <c r="O351" s="537"/>
      <c r="P351" s="540" t="s">
        <v>2372</v>
      </c>
      <c r="Q351" s="539"/>
      <c r="R351" s="516"/>
      <c r="S351" s="516"/>
      <c r="T351" s="516"/>
      <c r="U351" s="516" t="s">
        <v>874</v>
      </c>
      <c r="V351" s="559" t="s">
        <v>2421</v>
      </c>
      <c r="W351" s="541" t="s">
        <v>2422</v>
      </c>
      <c r="X351" s="516" t="s">
        <v>876</v>
      </c>
      <c r="Y351" s="542">
        <v>31496</v>
      </c>
      <c r="Z351" s="543">
        <f t="shared" ca="1" si="6"/>
        <v>39</v>
      </c>
      <c r="AA351" s="534"/>
      <c r="AB351" s="516"/>
      <c r="AC351" s="516" t="s">
        <v>802</v>
      </c>
      <c r="AD351" s="516" t="s">
        <v>794</v>
      </c>
      <c r="AE351" s="534" t="s">
        <v>815</v>
      </c>
      <c r="AF351" s="534" t="s">
        <v>816</v>
      </c>
      <c r="AG351" s="534" t="s">
        <v>817</v>
      </c>
      <c r="AH351" s="516" t="s">
        <v>1571</v>
      </c>
      <c r="AI351" s="516" t="s">
        <v>2423</v>
      </c>
      <c r="AJ351" s="516"/>
      <c r="AK351" s="516" t="s">
        <v>860</v>
      </c>
      <c r="AL351" s="544"/>
      <c r="AM351" s="544"/>
    </row>
    <row r="352" spans="1:39" ht="18" customHeight="1">
      <c r="C352" s="516">
        <v>332</v>
      </c>
      <c r="D352" s="516" t="s">
        <v>2424</v>
      </c>
      <c r="E352" s="516">
        <f t="shared" si="5"/>
        <v>312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48" t="s">
        <v>2425</v>
      </c>
      <c r="Q352" s="539"/>
      <c r="R352" s="516" t="s">
        <v>49</v>
      </c>
      <c r="S352" s="516" t="s">
        <v>49</v>
      </c>
      <c r="T352" s="516"/>
      <c r="U352" s="516" t="s">
        <v>874</v>
      </c>
      <c r="V352" s="538" t="s">
        <v>177</v>
      </c>
      <c r="W352" s="541" t="s">
        <v>2426</v>
      </c>
      <c r="X352" s="516" t="s">
        <v>876</v>
      </c>
      <c r="Y352" s="542">
        <v>27506</v>
      </c>
      <c r="Z352" s="543">
        <f t="shared" ca="1" si="6"/>
        <v>50</v>
      </c>
      <c r="AA352" s="534" t="s">
        <v>2427</v>
      </c>
      <c r="AB352" s="516" t="s">
        <v>2428</v>
      </c>
      <c r="AC352" s="516" t="s">
        <v>802</v>
      </c>
      <c r="AD352" s="516" t="s">
        <v>794</v>
      </c>
      <c r="AE352" s="534" t="s">
        <v>815</v>
      </c>
      <c r="AF352" s="534" t="s">
        <v>1289</v>
      </c>
      <c r="AG352" s="534" t="s">
        <v>2429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333</v>
      </c>
      <c r="D353" s="516" t="s">
        <v>2430</v>
      </c>
      <c r="E353" s="516">
        <f t="shared" si="5"/>
        <v>313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198</v>
      </c>
      <c r="W353" s="541" t="s">
        <v>2431</v>
      </c>
      <c r="X353" s="516" t="s">
        <v>876</v>
      </c>
      <c r="Y353" s="542">
        <v>21782</v>
      </c>
      <c r="Z353" s="543">
        <f t="shared" ca="1" si="6"/>
        <v>66</v>
      </c>
      <c r="AA353" s="534"/>
      <c r="AB353" s="516" t="s">
        <v>2433</v>
      </c>
      <c r="AC353" s="516" t="s">
        <v>842</v>
      </c>
      <c r="AD353" s="516" t="s">
        <v>851</v>
      </c>
      <c r="AE353" s="534" t="s">
        <v>1289</v>
      </c>
      <c r="AF353" s="534" t="s">
        <v>1289</v>
      </c>
      <c r="AG353" s="534" t="s">
        <v>2289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2434</v>
      </c>
      <c r="E354" s="516">
        <f t="shared" si="5"/>
        <v>314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218</v>
      </c>
      <c r="W354" s="541" t="s">
        <v>2435</v>
      </c>
      <c r="X354" s="516" t="s">
        <v>876</v>
      </c>
      <c r="Y354" s="542">
        <v>22092</v>
      </c>
      <c r="Z354" s="543">
        <f t="shared" ca="1" si="6"/>
        <v>65</v>
      </c>
      <c r="AA354" s="534"/>
      <c r="AB354" s="516" t="s">
        <v>2437</v>
      </c>
      <c r="AC354" s="516" t="s">
        <v>842</v>
      </c>
      <c r="AD354" s="516" t="s">
        <v>843</v>
      </c>
      <c r="AE354" s="534" t="s">
        <v>815</v>
      </c>
      <c r="AF354" s="534" t="s">
        <v>815</v>
      </c>
      <c r="AG354" s="534" t="s">
        <v>2438</v>
      </c>
      <c r="AH354" s="516"/>
      <c r="AI354" s="516"/>
      <c r="AJ354" s="516" t="s">
        <v>976</v>
      </c>
      <c r="AK354" s="516"/>
      <c r="AL354" s="544"/>
      <c r="AM354" s="544"/>
    </row>
    <row r="355" spans="3:39" ht="18" customHeight="1">
      <c r="C355" s="516">
        <v>335</v>
      </c>
      <c r="D355" s="516" t="s">
        <v>2439</v>
      </c>
      <c r="E355" s="516">
        <f t="shared" si="5"/>
        <v>315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874</v>
      </c>
      <c r="V355" s="538" t="s">
        <v>2440</v>
      </c>
      <c r="W355" s="541" t="s">
        <v>2441</v>
      </c>
      <c r="X355" s="516" t="s">
        <v>876</v>
      </c>
      <c r="Y355" s="542">
        <v>34222</v>
      </c>
      <c r="Z355" s="543">
        <f t="shared" ca="1" si="6"/>
        <v>32</v>
      </c>
      <c r="AA355" s="534"/>
      <c r="AB355" s="516" t="s">
        <v>2442</v>
      </c>
      <c r="AC355" s="516" t="s">
        <v>842</v>
      </c>
      <c r="AD355" s="516" t="s">
        <v>851</v>
      </c>
      <c r="AE355" s="534" t="s">
        <v>815</v>
      </c>
      <c r="AF355" s="534" t="s">
        <v>815</v>
      </c>
      <c r="AG355" s="534" t="s">
        <v>1282</v>
      </c>
      <c r="AH355" s="516"/>
      <c r="AI355" s="516" t="s">
        <v>2443</v>
      </c>
      <c r="AJ355" s="516" t="s">
        <v>844</v>
      </c>
      <c r="AK355" s="516"/>
      <c r="AL355" s="544"/>
      <c r="AM355" s="544"/>
    </row>
    <row r="356" spans="3:39" ht="18" customHeight="1">
      <c r="C356" s="516">
        <v>336</v>
      </c>
      <c r="D356" s="516" t="s">
        <v>2444</v>
      </c>
      <c r="E356" s="516">
        <f t="shared" si="5"/>
        <v>316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12" t="s">
        <v>2424</v>
      </c>
      <c r="L356" s="535"/>
      <c r="M356" s="554"/>
      <c r="N356" s="537"/>
      <c r="O356" s="537"/>
      <c r="P356" s="559" t="s">
        <v>2425</v>
      </c>
      <c r="Q356" s="539"/>
      <c r="R356" s="516"/>
      <c r="S356" s="516"/>
      <c r="T356" s="516"/>
      <c r="U356" s="516" t="s">
        <v>874</v>
      </c>
      <c r="V356" s="540" t="s">
        <v>2445</v>
      </c>
      <c r="W356" s="541" t="s">
        <v>2446</v>
      </c>
      <c r="X356" s="516" t="s">
        <v>876</v>
      </c>
      <c r="Y356" s="542">
        <v>30979</v>
      </c>
      <c r="Z356" s="543">
        <f t="shared" ca="1" si="6"/>
        <v>41</v>
      </c>
      <c r="AA356" s="534" t="s">
        <v>2447</v>
      </c>
      <c r="AB356" s="516" t="s">
        <v>2448</v>
      </c>
      <c r="AC356" s="516" t="s">
        <v>842</v>
      </c>
      <c r="AD356" s="516" t="s">
        <v>843</v>
      </c>
      <c r="AE356" s="534" t="s">
        <v>815</v>
      </c>
      <c r="AF356" s="534" t="s">
        <v>815</v>
      </c>
      <c r="AG356" s="534" t="s">
        <v>2333</v>
      </c>
      <c r="AH356" s="516"/>
      <c r="AI356" s="516" t="s">
        <v>2443</v>
      </c>
      <c r="AJ356" s="516" t="s">
        <v>1535</v>
      </c>
      <c r="AK356" s="516"/>
      <c r="AL356" s="544"/>
      <c r="AM356" s="544"/>
    </row>
    <row r="357" spans="3:39" ht="18" customHeight="1">
      <c r="C357" s="516">
        <v>337</v>
      </c>
      <c r="D357" s="516" t="s">
        <v>2460</v>
      </c>
      <c r="E357" s="516">
        <f t="shared" si="5"/>
        <v>317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48" t="s">
        <v>2461</v>
      </c>
      <c r="Q357" s="539"/>
      <c r="R357" s="516" t="s">
        <v>49</v>
      </c>
      <c r="S357" s="516" t="s">
        <v>49</v>
      </c>
      <c r="T357" s="516"/>
      <c r="U357" s="562" t="s">
        <v>788</v>
      </c>
      <c r="V357" s="548" t="s">
        <v>178</v>
      </c>
      <c r="W357" s="560" t="s">
        <v>2462</v>
      </c>
      <c r="X357" s="516" t="s">
        <v>876</v>
      </c>
      <c r="Y357" s="542">
        <v>32694</v>
      </c>
      <c r="Z357" s="543">
        <f t="shared" ca="1" si="6"/>
        <v>36</v>
      </c>
      <c r="AA357" s="534" t="s">
        <v>2463</v>
      </c>
      <c r="AB357" s="516" t="s">
        <v>2464</v>
      </c>
      <c r="AC357" s="516" t="s">
        <v>842</v>
      </c>
      <c r="AD357" s="516" t="s">
        <v>851</v>
      </c>
      <c r="AE357" s="534" t="s">
        <v>815</v>
      </c>
      <c r="AF357" s="534" t="s">
        <v>1796</v>
      </c>
      <c r="AG357" s="534" t="s">
        <v>2465</v>
      </c>
      <c r="AH357" s="516"/>
      <c r="AI357" s="516"/>
      <c r="AJ357" s="516" t="s">
        <v>867</v>
      </c>
      <c r="AK357" s="516"/>
      <c r="AL357" s="544"/>
      <c r="AM357" s="544"/>
    </row>
    <row r="358" spans="3:39" ht="18" customHeight="1">
      <c r="C358" s="516">
        <v>338</v>
      </c>
      <c r="D358" s="516" t="s">
        <v>2466</v>
      </c>
      <c r="E358" s="516">
        <f t="shared" si="5"/>
        <v>318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2467</v>
      </c>
      <c r="W358" s="560" t="s">
        <v>2468</v>
      </c>
      <c r="X358" s="516" t="s">
        <v>876</v>
      </c>
      <c r="Y358" s="542">
        <v>19460</v>
      </c>
      <c r="Z358" s="543">
        <f t="shared" ca="1" si="6"/>
        <v>72</v>
      </c>
      <c r="AA358" s="534"/>
      <c r="AB358" s="614" t="s">
        <v>2469</v>
      </c>
      <c r="AC358" s="516" t="s">
        <v>842</v>
      </c>
      <c r="AD358" s="516" t="s">
        <v>794</v>
      </c>
      <c r="AE358" s="534" t="s">
        <v>815</v>
      </c>
      <c r="AF358" s="534" t="s">
        <v>815</v>
      </c>
      <c r="AG358" s="534" t="s">
        <v>2470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2471</v>
      </c>
      <c r="E359" s="516">
        <f t="shared" si="5"/>
        <v>319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898</v>
      </c>
      <c r="V359" s="538" t="s">
        <v>219</v>
      </c>
      <c r="W359" s="560" t="s">
        <v>2472</v>
      </c>
      <c r="X359" s="516" t="s">
        <v>876</v>
      </c>
      <c r="Y359" s="542">
        <v>17662</v>
      </c>
      <c r="Z359" s="543">
        <f t="shared" ca="1" si="6"/>
        <v>77</v>
      </c>
      <c r="AA359" s="534" t="s">
        <v>2473</v>
      </c>
      <c r="AB359" s="516" t="s">
        <v>2474</v>
      </c>
      <c r="AC359" s="516" t="s">
        <v>802</v>
      </c>
      <c r="AD359" s="516" t="s">
        <v>794</v>
      </c>
      <c r="AE359" s="534" t="s">
        <v>815</v>
      </c>
      <c r="AF359" s="534" t="s">
        <v>815</v>
      </c>
      <c r="AG359" s="534" t="s">
        <v>2475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340</v>
      </c>
      <c r="D360" s="516" t="s">
        <v>2476</v>
      </c>
      <c r="E360" s="516">
        <f t="shared" si="5"/>
        <v>320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38" t="s">
        <v>2461</v>
      </c>
      <c r="Q360" s="539"/>
      <c r="R360" s="516"/>
      <c r="S360" s="516"/>
      <c r="T360" s="516"/>
      <c r="U360" s="562" t="s">
        <v>874</v>
      </c>
      <c r="V360" s="538" t="s">
        <v>239</v>
      </c>
      <c r="W360" s="560" t="s">
        <v>2477</v>
      </c>
      <c r="X360" s="516" t="s">
        <v>876</v>
      </c>
      <c r="Y360" s="542">
        <v>29101</v>
      </c>
      <c r="Z360" s="543">
        <f t="shared" ca="1" si="6"/>
        <v>46</v>
      </c>
      <c r="AA360" s="534"/>
      <c r="AB360" s="516" t="s">
        <v>2479</v>
      </c>
      <c r="AC360" s="516" t="s">
        <v>802</v>
      </c>
      <c r="AD360" s="516" t="s">
        <v>794</v>
      </c>
      <c r="AE360" s="534" t="s">
        <v>815</v>
      </c>
      <c r="AF360" s="534" t="s">
        <v>2480</v>
      </c>
      <c r="AG360" s="534" t="s">
        <v>2481</v>
      </c>
      <c r="AH360" s="516"/>
      <c r="AI360" s="516"/>
      <c r="AJ360" s="516" t="s">
        <v>867</v>
      </c>
      <c r="AK360" s="516"/>
      <c r="AL360" s="544"/>
      <c r="AM360" s="544"/>
    </row>
    <row r="361" spans="3:39" ht="18" customHeight="1">
      <c r="C361" s="516">
        <v>341</v>
      </c>
      <c r="D361" s="516" t="s">
        <v>2482</v>
      </c>
      <c r="E361" s="516">
        <f t="shared" si="5"/>
        <v>321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663" t="s">
        <v>2460</v>
      </c>
      <c r="L361" s="535"/>
      <c r="M361" s="554"/>
      <c r="N361" s="537"/>
      <c r="O361" s="537"/>
      <c r="P361" s="559" t="s">
        <v>2461</v>
      </c>
      <c r="Q361" s="539"/>
      <c r="R361" s="516"/>
      <c r="S361" s="516"/>
      <c r="T361" s="516"/>
      <c r="U361" s="562" t="s">
        <v>874</v>
      </c>
      <c r="V361" s="559" t="s">
        <v>2483</v>
      </c>
      <c r="W361" s="560" t="s">
        <v>2484</v>
      </c>
      <c r="X361" s="516" t="s">
        <v>876</v>
      </c>
      <c r="Y361" s="542">
        <v>30956</v>
      </c>
      <c r="Z361" s="543">
        <f t="shared" ca="1" si="6"/>
        <v>41</v>
      </c>
      <c r="AA361" s="534" t="s">
        <v>2485</v>
      </c>
      <c r="AB361" s="516" t="s">
        <v>2486</v>
      </c>
      <c r="AC361" s="516" t="s">
        <v>842</v>
      </c>
      <c r="AD361" s="516" t="s">
        <v>851</v>
      </c>
      <c r="AE361" s="534" t="s">
        <v>815</v>
      </c>
      <c r="AF361" s="534" t="s">
        <v>815</v>
      </c>
      <c r="AG361" s="534" t="s">
        <v>2487</v>
      </c>
      <c r="AH361" s="516"/>
      <c r="AI361" s="516"/>
      <c r="AJ361" s="516" t="s">
        <v>903</v>
      </c>
      <c r="AK361" s="516"/>
      <c r="AL361" s="544"/>
      <c r="AM361" s="544"/>
    </row>
    <row r="362" spans="3:39" ht="18" customHeight="1">
      <c r="C362" s="516">
        <v>342</v>
      </c>
      <c r="D362" s="516" t="s">
        <v>2488</v>
      </c>
      <c r="E362" s="516">
        <f t="shared" si="5"/>
        <v>322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50" t="s">
        <v>828</v>
      </c>
      <c r="Q362" s="539"/>
      <c r="R362" s="516" t="s">
        <v>49</v>
      </c>
      <c r="S362" s="516" t="s">
        <v>168</v>
      </c>
      <c r="T362" s="516"/>
      <c r="U362" s="516" t="s">
        <v>874</v>
      </c>
      <c r="V362" s="548" t="s">
        <v>179</v>
      </c>
      <c r="W362" s="541" t="s">
        <v>2490</v>
      </c>
      <c r="X362" s="516" t="s">
        <v>876</v>
      </c>
      <c r="Y362" s="542">
        <v>23890</v>
      </c>
      <c r="Z362" s="543">
        <f t="shared" ca="1" si="6"/>
        <v>60</v>
      </c>
      <c r="AA362" s="534" t="s">
        <v>2491</v>
      </c>
      <c r="AB362" s="516" t="s">
        <v>2492</v>
      </c>
      <c r="AC362" s="516" t="s">
        <v>802</v>
      </c>
      <c r="AD362" s="516" t="s">
        <v>794</v>
      </c>
      <c r="AE362" s="534" t="s">
        <v>713</v>
      </c>
      <c r="AF362" s="534" t="s">
        <v>815</v>
      </c>
      <c r="AG362" s="534" t="s">
        <v>2333</v>
      </c>
      <c r="AH362" s="516"/>
      <c r="AI362" s="516"/>
      <c r="AJ362" s="516" t="s">
        <v>844</v>
      </c>
      <c r="AK362" s="516"/>
      <c r="AL362" s="544"/>
      <c r="AM362" s="544"/>
    </row>
    <row r="363" spans="3:39" ht="18" customHeight="1">
      <c r="C363" s="516">
        <v>343</v>
      </c>
      <c r="D363" s="516" t="s">
        <v>2489</v>
      </c>
      <c r="E363" s="516">
        <f t="shared" si="5"/>
        <v>323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 t="s">
        <v>62</v>
      </c>
      <c r="S363" s="516" t="s">
        <v>548</v>
      </c>
      <c r="T363" s="516"/>
      <c r="U363" s="516" t="s">
        <v>874</v>
      </c>
      <c r="V363" s="538" t="s">
        <v>199</v>
      </c>
      <c r="W363" s="541" t="s">
        <v>2493</v>
      </c>
      <c r="X363" s="516" t="s">
        <v>876</v>
      </c>
      <c r="Y363" s="542">
        <v>21150</v>
      </c>
      <c r="Z363" s="543">
        <f t="shared" ca="1" si="6"/>
        <v>68</v>
      </c>
      <c r="AA363" s="534" t="s">
        <v>2494</v>
      </c>
      <c r="AB363" s="516" t="s">
        <v>2495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2496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2497</v>
      </c>
      <c r="E364" s="516">
        <f t="shared" si="5"/>
        <v>324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220</v>
      </c>
      <c r="W364" s="541" t="s">
        <v>2498</v>
      </c>
      <c r="X364" s="516" t="s">
        <v>876</v>
      </c>
      <c r="Y364" s="542">
        <v>21259</v>
      </c>
      <c r="Z364" s="543">
        <f t="shared" ca="1" si="6"/>
        <v>67</v>
      </c>
      <c r="AA364" s="534" t="s">
        <v>2499</v>
      </c>
      <c r="AB364" s="516" t="s">
        <v>2500</v>
      </c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2501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2502</v>
      </c>
      <c r="E365" s="516">
        <f t="shared" si="5"/>
        <v>325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240</v>
      </c>
      <c r="W365" s="541" t="s">
        <v>2503</v>
      </c>
      <c r="X365" s="516" t="s">
        <v>876</v>
      </c>
      <c r="Y365" s="542">
        <v>21707</v>
      </c>
      <c r="Z365" s="543">
        <f t="shared" ca="1" si="6"/>
        <v>66</v>
      </c>
      <c r="AA365" s="534" t="s">
        <v>2504</v>
      </c>
      <c r="AB365" s="516" t="s">
        <v>2505</v>
      </c>
      <c r="AC365" s="516" t="s">
        <v>842</v>
      </c>
      <c r="AD365" s="516" t="s">
        <v>851</v>
      </c>
      <c r="AE365" s="534" t="s">
        <v>815</v>
      </c>
      <c r="AF365" s="566" t="s">
        <v>713</v>
      </c>
      <c r="AG365" s="534" t="s">
        <v>2506</v>
      </c>
      <c r="AH365" s="516"/>
      <c r="AI365" s="516"/>
      <c r="AJ365" s="516" t="s">
        <v>1852</v>
      </c>
      <c r="AK365" s="516"/>
      <c r="AL365" s="544"/>
      <c r="AM365" s="544"/>
    </row>
    <row r="366" spans="3:39" ht="18" customHeight="1">
      <c r="C366" s="516">
        <v>346</v>
      </c>
      <c r="D366" s="516" t="s">
        <v>2507</v>
      </c>
      <c r="E366" s="516">
        <f t="shared" si="5"/>
        <v>326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257</v>
      </c>
      <c r="W366" s="541" t="s">
        <v>2508</v>
      </c>
      <c r="X366" s="516" t="s">
        <v>876</v>
      </c>
      <c r="Y366" s="542">
        <v>26474</v>
      </c>
      <c r="Z366" s="543">
        <f t="shared" ca="1" si="6"/>
        <v>53</v>
      </c>
      <c r="AA366" s="534" t="s">
        <v>2509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2510</v>
      </c>
      <c r="AH366" s="516"/>
      <c r="AI366" s="516" t="s">
        <v>2511</v>
      </c>
      <c r="AJ366" s="516" t="s">
        <v>1852</v>
      </c>
      <c r="AK366" s="516"/>
      <c r="AL366" s="544"/>
      <c r="AM366" s="544"/>
    </row>
    <row r="367" spans="3:39" ht="18" customHeight="1">
      <c r="C367" s="516">
        <v>347</v>
      </c>
      <c r="D367" s="516" t="s">
        <v>2512</v>
      </c>
      <c r="E367" s="516">
        <f t="shared" si="5"/>
        <v>327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38" t="s">
        <v>828</v>
      </c>
      <c r="Q367" s="539" t="s">
        <v>308</v>
      </c>
      <c r="R367" s="516"/>
      <c r="S367" s="516"/>
      <c r="T367" s="516"/>
      <c r="U367" s="516" t="s">
        <v>874</v>
      </c>
      <c r="V367" s="538" t="s">
        <v>273</v>
      </c>
      <c r="W367" s="541" t="s">
        <v>2513</v>
      </c>
      <c r="X367" s="516" t="s">
        <v>876</v>
      </c>
      <c r="Y367" s="542">
        <v>30766</v>
      </c>
      <c r="Z367" s="543">
        <f t="shared" ca="1" si="6"/>
        <v>41</v>
      </c>
      <c r="AA367" s="534" t="s">
        <v>2514</v>
      </c>
      <c r="AB367" s="571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2515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348</v>
      </c>
      <c r="D368" s="516" t="s">
        <v>2516</v>
      </c>
      <c r="E368" s="516">
        <f t="shared" si="5"/>
        <v>328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2488</v>
      </c>
      <c r="L368" s="535" t="s">
        <v>2489</v>
      </c>
      <c r="M368" s="536"/>
      <c r="N368" s="537"/>
      <c r="O368" s="537"/>
      <c r="P368" s="559" t="s">
        <v>828</v>
      </c>
      <c r="Q368" s="539" t="s">
        <v>308</v>
      </c>
      <c r="R368" s="516"/>
      <c r="S368" s="516"/>
      <c r="T368" s="516"/>
      <c r="U368" s="516" t="s">
        <v>874</v>
      </c>
      <c r="V368" s="559" t="s">
        <v>284</v>
      </c>
      <c r="W368" s="541" t="s">
        <v>2517</v>
      </c>
      <c r="X368" s="516" t="s">
        <v>876</v>
      </c>
      <c r="Y368" s="542">
        <v>31673</v>
      </c>
      <c r="Z368" s="543">
        <f t="shared" ca="1" si="6"/>
        <v>39</v>
      </c>
      <c r="AA368" s="534" t="s">
        <v>2518</v>
      </c>
      <c r="AB368" s="516" t="s">
        <v>2519</v>
      </c>
      <c r="AC368" s="516" t="s">
        <v>842</v>
      </c>
      <c r="AD368" s="516" t="s">
        <v>851</v>
      </c>
      <c r="AE368" s="534" t="s">
        <v>815</v>
      </c>
      <c r="AF368" s="606" t="s">
        <v>815</v>
      </c>
      <c r="AG368" s="534" t="s">
        <v>2297</v>
      </c>
      <c r="AH368" s="516"/>
      <c r="AI368" s="516"/>
      <c r="AJ368" s="516" t="s">
        <v>1852</v>
      </c>
      <c r="AK368" s="516"/>
      <c r="AL368" s="544"/>
      <c r="AM368" s="544"/>
    </row>
    <row r="369" spans="1:39" ht="18" customHeight="1">
      <c r="C369" s="516">
        <v>349</v>
      </c>
      <c r="D369" s="516" t="s">
        <v>2520</v>
      </c>
      <c r="E369" s="516">
        <f t="shared" si="5"/>
        <v>329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 t="s">
        <v>49</v>
      </c>
      <c r="S369" s="516" t="s">
        <v>168</v>
      </c>
      <c r="T369" s="516"/>
      <c r="U369" s="516" t="s">
        <v>874</v>
      </c>
      <c r="V369" s="538" t="s">
        <v>180</v>
      </c>
      <c r="W369" s="541" t="s">
        <v>2522</v>
      </c>
      <c r="X369" s="516" t="s">
        <v>876</v>
      </c>
      <c r="Y369" s="542">
        <v>25699</v>
      </c>
      <c r="Z369" s="543">
        <f t="shared" ca="1" si="6"/>
        <v>55</v>
      </c>
      <c r="AA369" s="534" t="s">
        <v>2523</v>
      </c>
      <c r="AB369" s="516" t="s">
        <v>2524</v>
      </c>
      <c r="AC369" s="516" t="s">
        <v>802</v>
      </c>
      <c r="AD369" s="516" t="s">
        <v>794</v>
      </c>
      <c r="AE369" s="534" t="s">
        <v>815</v>
      </c>
      <c r="AF369" s="606" t="s">
        <v>815</v>
      </c>
      <c r="AG369" s="534" t="s">
        <v>2525</v>
      </c>
      <c r="AH369" s="516"/>
      <c r="AI369" s="516"/>
      <c r="AJ369" s="516" t="s">
        <v>903</v>
      </c>
      <c r="AK369" s="516"/>
      <c r="AL369" s="544"/>
      <c r="AM369" s="544"/>
    </row>
    <row r="370" spans="1:39" ht="18" customHeight="1">
      <c r="C370" s="516">
        <v>350</v>
      </c>
      <c r="D370" s="516" t="s">
        <v>2531</v>
      </c>
      <c r="E370" s="516">
        <f t="shared" si="5"/>
        <v>330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37"/>
      <c r="O370" s="537"/>
      <c r="P370" s="538" t="s">
        <v>938</v>
      </c>
      <c r="Q370" s="539" t="s">
        <v>308</v>
      </c>
      <c r="R370" s="516" t="s">
        <v>62</v>
      </c>
      <c r="S370" s="516" t="s">
        <v>548</v>
      </c>
      <c r="T370" s="516"/>
      <c r="U370" s="516" t="s">
        <v>898</v>
      </c>
      <c r="V370" s="538" t="s">
        <v>200</v>
      </c>
      <c r="W370" s="541" t="s">
        <v>2532</v>
      </c>
      <c r="X370" s="516" t="s">
        <v>876</v>
      </c>
      <c r="Y370" s="542">
        <v>19481</v>
      </c>
      <c r="Z370" s="543">
        <f t="shared" ca="1" si="6"/>
        <v>72</v>
      </c>
      <c r="AA370" s="534" t="s">
        <v>2533</v>
      </c>
      <c r="AB370" s="614" t="s">
        <v>2534</v>
      </c>
      <c r="AC370" s="516" t="s">
        <v>842</v>
      </c>
      <c r="AD370" s="516" t="s">
        <v>843</v>
      </c>
      <c r="AE370" s="534" t="s">
        <v>942</v>
      </c>
      <c r="AF370" s="534" t="s">
        <v>2535</v>
      </c>
      <c r="AG370" s="534" t="s">
        <v>2536</v>
      </c>
      <c r="AH370" s="516"/>
      <c r="AI370" s="516"/>
      <c r="AJ370" s="516" t="s">
        <v>1497</v>
      </c>
      <c r="AK370" s="516"/>
      <c r="AL370" s="544"/>
      <c r="AM370" s="544"/>
    </row>
    <row r="371" spans="1:39" ht="18" customHeight="1">
      <c r="A371" s="173"/>
      <c r="B371" s="173"/>
      <c r="C371" s="516">
        <v>352</v>
      </c>
      <c r="D371" s="516" t="s">
        <v>2521</v>
      </c>
      <c r="E371" s="516">
        <f>SUBTOTAL(103,$U$21:U371)</f>
        <v>331</v>
      </c>
      <c r="F371" s="603" t="s">
        <v>811</v>
      </c>
      <c r="G371" s="516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67"/>
      <c r="O371" s="567"/>
      <c r="P371" s="556" t="s">
        <v>938</v>
      </c>
      <c r="Q371" s="539" t="s">
        <v>308</v>
      </c>
      <c r="R371" s="516" t="s">
        <v>62</v>
      </c>
      <c r="S371" s="516" t="s">
        <v>548</v>
      </c>
      <c r="T371" s="554"/>
      <c r="U371" s="596" t="s">
        <v>874</v>
      </c>
      <c r="V371" s="556" t="s">
        <v>241</v>
      </c>
      <c r="W371" s="557" t="s">
        <v>2526</v>
      </c>
      <c r="X371" s="516" t="s">
        <v>876</v>
      </c>
      <c r="Y371" s="542">
        <v>23880</v>
      </c>
      <c r="Z371" s="543">
        <f t="shared" ca="1" si="6"/>
        <v>60</v>
      </c>
      <c r="AA371" s="516" t="s">
        <v>2527</v>
      </c>
      <c r="AB371" s="516" t="s">
        <v>2528</v>
      </c>
      <c r="AC371" s="516" t="s">
        <v>842</v>
      </c>
      <c r="AD371" s="516" t="s">
        <v>843</v>
      </c>
      <c r="AE371" s="516" t="s">
        <v>815</v>
      </c>
      <c r="AF371" s="516" t="s">
        <v>2529</v>
      </c>
      <c r="AG371" s="516" t="s">
        <v>2530</v>
      </c>
      <c r="AH371" s="554"/>
      <c r="AI371" s="554"/>
      <c r="AJ371" s="516" t="s">
        <v>1497</v>
      </c>
      <c r="AK371" s="554"/>
      <c r="AL371" s="554"/>
      <c r="AM371" s="554"/>
    </row>
    <row r="372" spans="1:39" ht="18" customHeight="1">
      <c r="C372" s="516">
        <v>351</v>
      </c>
      <c r="D372" s="516" t="s">
        <v>2537</v>
      </c>
      <c r="E372" s="516">
        <f t="shared" ref="E372:E374" si="7">SUBTOTAL(103,$U$21:U372)</f>
        <v>332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38" t="s">
        <v>938</v>
      </c>
      <c r="Q372" s="539" t="s">
        <v>308</v>
      </c>
      <c r="R372" s="516"/>
      <c r="S372" s="516"/>
      <c r="T372" s="516"/>
      <c r="U372" s="516" t="s">
        <v>898</v>
      </c>
      <c r="V372" s="538" t="s">
        <v>221</v>
      </c>
      <c r="W372" s="541" t="s">
        <v>2538</v>
      </c>
      <c r="X372" s="516" t="s">
        <v>876</v>
      </c>
      <c r="Y372" s="542">
        <v>19809</v>
      </c>
      <c r="Z372" s="543">
        <f t="shared" ca="1" si="6"/>
        <v>71</v>
      </c>
      <c r="AA372" s="534" t="s">
        <v>2539</v>
      </c>
      <c r="AB372" s="516" t="s">
        <v>2540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2496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353</v>
      </c>
      <c r="D373" s="516" t="s">
        <v>2541</v>
      </c>
      <c r="E373" s="516">
        <f t="shared" si="7"/>
        <v>333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2368</v>
      </c>
      <c r="K373" s="535" t="s">
        <v>2520</v>
      </c>
      <c r="L373" s="535" t="s">
        <v>2531</v>
      </c>
      <c r="M373" s="570" t="s">
        <v>2521</v>
      </c>
      <c r="N373" s="537"/>
      <c r="O373" s="537"/>
      <c r="P373" s="559" t="s">
        <v>938</v>
      </c>
      <c r="Q373" s="539" t="s">
        <v>308</v>
      </c>
      <c r="R373" s="516"/>
      <c r="S373" s="516"/>
      <c r="T373" s="516"/>
      <c r="U373" s="516" t="s">
        <v>874</v>
      </c>
      <c r="V373" s="559" t="s">
        <v>258</v>
      </c>
      <c r="W373" s="541" t="s">
        <v>2542</v>
      </c>
      <c r="X373" s="516" t="s">
        <v>876</v>
      </c>
      <c r="Y373" s="542">
        <v>26431</v>
      </c>
      <c r="Z373" s="543">
        <f t="shared" ca="1" si="6"/>
        <v>53</v>
      </c>
      <c r="AA373" s="534" t="s">
        <v>2543</v>
      </c>
      <c r="AB373" s="615" t="s">
        <v>2544</v>
      </c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2297</v>
      </c>
      <c r="AH373" s="516"/>
      <c r="AI373" s="516"/>
      <c r="AJ373" s="516" t="s">
        <v>1497</v>
      </c>
      <c r="AK373" s="516"/>
      <c r="AL373" s="544"/>
      <c r="AM373" s="544"/>
    </row>
    <row r="374" spans="1:39" ht="18" customHeight="1">
      <c r="C374" s="516">
        <v>354</v>
      </c>
      <c r="D374" s="516" t="s">
        <v>1258</v>
      </c>
      <c r="E374" s="516">
        <f t="shared" si="7"/>
        <v>333</v>
      </c>
      <c r="F374" s="534"/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37"/>
      <c r="O374" s="537"/>
      <c r="P374" s="548" t="s">
        <v>978</v>
      </c>
      <c r="Q374" s="539"/>
      <c r="R374" s="516" t="s">
        <v>49</v>
      </c>
      <c r="S374" s="516" t="s">
        <v>49</v>
      </c>
      <c r="T374" s="516"/>
      <c r="U374" s="516"/>
      <c r="V374" s="548" t="s">
        <v>166</v>
      </c>
      <c r="W374" s="541" t="s">
        <v>1261</v>
      </c>
      <c r="X374" s="516" t="s">
        <v>876</v>
      </c>
      <c r="Y374" s="542">
        <v>21384</v>
      </c>
      <c r="Z374" s="543">
        <f t="shared" ca="1" si="6"/>
        <v>67</v>
      </c>
      <c r="AA374" s="534" t="s">
        <v>1262</v>
      </c>
      <c r="AB374" s="516"/>
      <c r="AC374" s="516" t="s">
        <v>842</v>
      </c>
      <c r="AD374" s="516" t="s">
        <v>794</v>
      </c>
      <c r="AE374" s="534" t="s">
        <v>713</v>
      </c>
      <c r="AF374" s="534" t="s">
        <v>1163</v>
      </c>
      <c r="AG374" s="534" t="s">
        <v>1172</v>
      </c>
      <c r="AH374" s="516" t="s">
        <v>872</v>
      </c>
      <c r="AI374" s="516"/>
      <c r="AJ374" s="516"/>
      <c r="AK374" s="516"/>
      <c r="AL374" s="544"/>
      <c r="AM374" s="544"/>
    </row>
    <row r="375" spans="1:39" ht="18" customHeight="1">
      <c r="A375" s="173"/>
      <c r="B375" s="173"/>
      <c r="C375" s="516">
        <v>357</v>
      </c>
      <c r="D375" s="516" t="s">
        <v>2545</v>
      </c>
      <c r="E375" s="516">
        <f>SUBTOTAL(103,$U$21:U375)</f>
        <v>334</v>
      </c>
      <c r="F375" s="603" t="s">
        <v>811</v>
      </c>
      <c r="G375" s="516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67"/>
      <c r="O375" s="567"/>
      <c r="P375" s="556" t="s">
        <v>978</v>
      </c>
      <c r="Q375" s="539" t="s">
        <v>308</v>
      </c>
      <c r="R375" s="516" t="s">
        <v>62</v>
      </c>
      <c r="S375" s="516" t="s">
        <v>548</v>
      </c>
      <c r="T375" s="554"/>
      <c r="U375" s="596" t="s">
        <v>874</v>
      </c>
      <c r="V375" s="556" t="s">
        <v>242</v>
      </c>
      <c r="W375" s="557" t="s">
        <v>2547</v>
      </c>
      <c r="X375" s="516" t="s">
        <v>876</v>
      </c>
      <c r="Y375" s="542">
        <v>25424</v>
      </c>
      <c r="Z375" s="543">
        <f t="shared" ca="1" si="6"/>
        <v>56</v>
      </c>
      <c r="AA375" s="516" t="s">
        <v>2548</v>
      </c>
      <c r="AB375" s="516" t="s">
        <v>2549</v>
      </c>
      <c r="AC375" s="516" t="s">
        <v>842</v>
      </c>
      <c r="AD375" s="516" t="s">
        <v>843</v>
      </c>
      <c r="AE375" s="516" t="s">
        <v>815</v>
      </c>
      <c r="AF375" s="606" t="s">
        <v>815</v>
      </c>
      <c r="AG375" s="516" t="s">
        <v>1352</v>
      </c>
      <c r="AH375" s="554"/>
      <c r="AI375" s="554"/>
      <c r="AJ375" s="558" t="s">
        <v>1087</v>
      </c>
      <c r="AK375" s="554"/>
      <c r="AL375" s="554"/>
      <c r="AM375" s="554"/>
    </row>
    <row r="376" spans="1:39" ht="18" customHeight="1">
      <c r="C376" s="516">
        <v>360</v>
      </c>
      <c r="D376" s="516" t="s">
        <v>2546</v>
      </c>
      <c r="E376" s="516">
        <f t="shared" ref="E376:E630" si="8">SUBTOTAL(103,$U$21:U376)</f>
        <v>335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6"/>
        <v>54</v>
      </c>
      <c r="AA376" s="534" t="s">
        <v>2551</v>
      </c>
      <c r="AB376" s="516" t="s">
        <v>2552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355</v>
      </c>
      <c r="D377" s="516" t="s">
        <v>2553</v>
      </c>
      <c r="E377" s="516">
        <f t="shared" si="8"/>
        <v>336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201</v>
      </c>
      <c r="W377" s="541" t="s">
        <v>2554</v>
      </c>
      <c r="X377" s="516" t="s">
        <v>876</v>
      </c>
      <c r="Y377" s="542">
        <v>21961</v>
      </c>
      <c r="Z377" s="543">
        <f t="shared" ca="1" si="6"/>
        <v>65</v>
      </c>
      <c r="AA377" s="534" t="s">
        <v>1591</v>
      </c>
      <c r="AB377" s="516" t="s">
        <v>2555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1352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356</v>
      </c>
      <c r="D378" s="516" t="s">
        <v>2556</v>
      </c>
      <c r="E378" s="516">
        <f t="shared" si="8"/>
        <v>337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222</v>
      </c>
      <c r="W378" s="541" t="s">
        <v>2557</v>
      </c>
      <c r="X378" s="516" t="s">
        <v>876</v>
      </c>
      <c r="Y378" s="542">
        <v>22297</v>
      </c>
      <c r="Z378" s="543">
        <f t="shared" ca="1" si="6"/>
        <v>65</v>
      </c>
      <c r="AA378" s="534" t="s">
        <v>2558</v>
      </c>
      <c r="AB378" s="516" t="s">
        <v>2559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2560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2561</v>
      </c>
      <c r="E379" s="516">
        <f t="shared" si="8"/>
        <v>338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259</v>
      </c>
      <c r="W379" s="541" t="s">
        <v>2562</v>
      </c>
      <c r="X379" s="516" t="s">
        <v>876</v>
      </c>
      <c r="Y379" s="542">
        <v>25568</v>
      </c>
      <c r="Z379" s="543">
        <f t="shared" ca="1" si="6"/>
        <v>56</v>
      </c>
      <c r="AA379" s="534" t="s">
        <v>2563</v>
      </c>
      <c r="AB379" s="516" t="s">
        <v>2564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2565</v>
      </c>
      <c r="E380" s="516">
        <f t="shared" si="8"/>
        <v>339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274</v>
      </c>
      <c r="W380" s="541" t="s">
        <v>2566</v>
      </c>
      <c r="X380" s="516" t="s">
        <v>876</v>
      </c>
      <c r="Y380" s="542">
        <v>25925</v>
      </c>
      <c r="Z380" s="543">
        <f t="shared" ca="1" si="6"/>
        <v>55</v>
      </c>
      <c r="AA380" s="534" t="s">
        <v>2567</v>
      </c>
      <c r="AB380" s="516" t="s">
        <v>2568</v>
      </c>
      <c r="AC380" s="516" t="s">
        <v>842</v>
      </c>
      <c r="AD380" s="516" t="s">
        <v>843</v>
      </c>
      <c r="AE380" s="534" t="s">
        <v>815</v>
      </c>
      <c r="AF380" s="606" t="s">
        <v>815</v>
      </c>
      <c r="AG380" s="534" t="s">
        <v>2306</v>
      </c>
      <c r="AH380" s="516"/>
      <c r="AI380" s="516"/>
      <c r="AJ380" s="565" t="s">
        <v>1087</v>
      </c>
      <c r="AK380" s="516"/>
      <c r="AL380" s="544"/>
      <c r="AM380" s="544"/>
    </row>
    <row r="381" spans="1:39" ht="18" customHeight="1">
      <c r="C381" s="516">
        <v>361</v>
      </c>
      <c r="D381" s="516" t="s">
        <v>2569</v>
      </c>
      <c r="E381" s="516">
        <f t="shared" si="8"/>
        <v>340</v>
      </c>
      <c r="F381" s="534" t="s">
        <v>811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2570</v>
      </c>
      <c r="W381" s="541" t="s">
        <v>2571</v>
      </c>
      <c r="X381" s="516" t="s">
        <v>876</v>
      </c>
      <c r="Y381" s="542">
        <v>26507</v>
      </c>
      <c r="Z381" s="543">
        <f t="shared" ca="1" si="6"/>
        <v>53</v>
      </c>
      <c r="AA381" s="534" t="s">
        <v>2572</v>
      </c>
      <c r="AB381" s="571"/>
      <c r="AC381" s="516" t="s">
        <v>842</v>
      </c>
      <c r="AD381" s="516" t="s">
        <v>843</v>
      </c>
      <c r="AE381" s="534" t="s">
        <v>1289</v>
      </c>
      <c r="AF381" s="534" t="s">
        <v>1289</v>
      </c>
      <c r="AG381" s="534" t="s">
        <v>2573</v>
      </c>
      <c r="AH381" s="516"/>
      <c r="AI381" s="516" t="s">
        <v>1840</v>
      </c>
      <c r="AJ381" s="565" t="s">
        <v>1087</v>
      </c>
      <c r="AK381" s="516" t="s">
        <v>860</v>
      </c>
      <c r="AL381" s="544"/>
      <c r="AM381" s="544"/>
    </row>
    <row r="382" spans="1:39" ht="18" customHeight="1">
      <c r="C382" s="516">
        <v>362</v>
      </c>
      <c r="D382" s="516" t="s">
        <v>2574</v>
      </c>
      <c r="E382" s="516">
        <f t="shared" si="8"/>
        <v>341</v>
      </c>
      <c r="F382" s="534" t="s">
        <v>811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38" t="s">
        <v>978</v>
      </c>
      <c r="Q382" s="539" t="s">
        <v>308</v>
      </c>
      <c r="R382" s="516"/>
      <c r="S382" s="516"/>
      <c r="T382" s="516"/>
      <c r="U382" s="516" t="s">
        <v>874</v>
      </c>
      <c r="V382" s="538" t="s">
        <v>298</v>
      </c>
      <c r="W382" s="541" t="s">
        <v>2575</v>
      </c>
      <c r="X382" s="516" t="s">
        <v>876</v>
      </c>
      <c r="Y382" s="542">
        <v>29212</v>
      </c>
      <c r="Z382" s="543">
        <f t="shared" ca="1" si="6"/>
        <v>46</v>
      </c>
      <c r="AA382" s="534" t="s">
        <v>2576</v>
      </c>
      <c r="AB382" s="516" t="s">
        <v>2577</v>
      </c>
      <c r="AC382" s="516" t="s">
        <v>842</v>
      </c>
      <c r="AD382" s="516" t="s">
        <v>851</v>
      </c>
      <c r="AE382" s="534" t="s">
        <v>815</v>
      </c>
      <c r="AF382" s="534" t="s">
        <v>2578</v>
      </c>
      <c r="AG382" s="534" t="s">
        <v>2579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363</v>
      </c>
      <c r="D383" s="516" t="s">
        <v>2580</v>
      </c>
      <c r="E383" s="516">
        <f t="shared" si="8"/>
        <v>342</v>
      </c>
      <c r="F383" s="534" t="s">
        <v>811</v>
      </c>
      <c r="G383" s="534" t="s">
        <v>2369</v>
      </c>
      <c r="H383" s="535" t="s">
        <v>1144</v>
      </c>
      <c r="I383" s="535" t="s">
        <v>2370</v>
      </c>
      <c r="J383" s="535" t="s">
        <v>1106</v>
      </c>
      <c r="K383" s="535" t="s">
        <v>1258</v>
      </c>
      <c r="L383" s="661" t="s">
        <v>2545</v>
      </c>
      <c r="M383" s="570" t="s">
        <v>2546</v>
      </c>
      <c r="N383" s="537"/>
      <c r="O383" s="537"/>
      <c r="P383" s="559" t="s">
        <v>978</v>
      </c>
      <c r="Q383" s="539" t="s">
        <v>308</v>
      </c>
      <c r="R383" s="516"/>
      <c r="S383" s="516"/>
      <c r="T383" s="516"/>
      <c r="U383" s="516" t="s">
        <v>874</v>
      </c>
      <c r="V383" s="559" t="s">
        <v>302</v>
      </c>
      <c r="W383" s="541" t="s">
        <v>2581</v>
      </c>
      <c r="X383" s="516" t="s">
        <v>876</v>
      </c>
      <c r="Y383" s="542">
        <v>31483</v>
      </c>
      <c r="Z383" s="543">
        <f t="shared" ca="1" si="6"/>
        <v>39</v>
      </c>
      <c r="AA383" s="534" t="s">
        <v>2582</v>
      </c>
      <c r="AB383" s="516" t="s">
        <v>2583</v>
      </c>
      <c r="AC383" s="516" t="s">
        <v>842</v>
      </c>
      <c r="AD383" s="516" t="s">
        <v>851</v>
      </c>
      <c r="AE383" s="534" t="s">
        <v>815</v>
      </c>
      <c r="AF383" s="606" t="s">
        <v>815</v>
      </c>
      <c r="AG383" s="534" t="s">
        <v>2301</v>
      </c>
      <c r="AH383" s="516"/>
      <c r="AI383" s="516"/>
      <c r="AJ383" s="565" t="s">
        <v>1087</v>
      </c>
      <c r="AK383" s="516"/>
      <c r="AL383" s="544"/>
      <c r="AM383" s="544"/>
    </row>
    <row r="384" spans="1:39" ht="18" customHeight="1">
      <c r="C384" s="516">
        <v>364</v>
      </c>
      <c r="D384" s="516" t="s">
        <v>1144</v>
      </c>
      <c r="E384" s="516">
        <f t="shared" si="8"/>
        <v>342</v>
      </c>
      <c r="F384" s="534"/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 t="s">
        <v>786</v>
      </c>
      <c r="N384" s="537"/>
      <c r="O384" s="537"/>
      <c r="P384" s="548" t="s">
        <v>787</v>
      </c>
      <c r="Q384" s="539"/>
      <c r="R384" s="516" t="s">
        <v>163</v>
      </c>
      <c r="S384" s="516" t="s">
        <v>1145</v>
      </c>
      <c r="T384" s="516" t="s">
        <v>49</v>
      </c>
      <c r="U384" s="516"/>
      <c r="V384" s="548" t="s">
        <v>107</v>
      </c>
      <c r="W384" s="541" t="s">
        <v>1146</v>
      </c>
      <c r="X384" s="516" t="s">
        <v>876</v>
      </c>
      <c r="Y384" s="534"/>
      <c r="Z384" s="534"/>
      <c r="AA384" s="534"/>
      <c r="AB384" s="516"/>
      <c r="AC384" s="516"/>
      <c r="AD384" s="516"/>
      <c r="AE384" s="516"/>
      <c r="AF384" s="516"/>
      <c r="AG384" s="516"/>
      <c r="AH384" s="516" t="s">
        <v>872</v>
      </c>
      <c r="AI384" s="516"/>
      <c r="AJ384" s="516"/>
      <c r="AK384" s="516"/>
      <c r="AL384" s="544"/>
      <c r="AM384" s="544"/>
    </row>
    <row r="385" spans="3:39" ht="18" customHeight="1">
      <c r="C385" s="516">
        <v>365</v>
      </c>
      <c r="D385" s="516" t="s">
        <v>2585</v>
      </c>
      <c r="E385" s="516">
        <f t="shared" si="8"/>
        <v>343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2586</v>
      </c>
      <c r="W385" s="541" t="s">
        <v>2587</v>
      </c>
      <c r="X385" s="516" t="s">
        <v>876</v>
      </c>
      <c r="Y385" s="542">
        <v>35049</v>
      </c>
      <c r="Z385" s="543">
        <f t="shared" ref="Z385:Z575" ca="1" si="9">DATEDIF(Y385,TODAY(),"Y")</f>
        <v>30</v>
      </c>
      <c r="AA385" s="534"/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2317</v>
      </c>
      <c r="AH385" s="516"/>
      <c r="AI385" s="516" t="s">
        <v>2443</v>
      </c>
      <c r="AJ385" s="516"/>
      <c r="AK385" s="516"/>
      <c r="AL385" s="544"/>
      <c r="AM385" s="544"/>
    </row>
    <row r="386" spans="3:39" ht="18" customHeight="1">
      <c r="C386" s="516">
        <v>366</v>
      </c>
      <c r="D386" s="516" t="s">
        <v>2588</v>
      </c>
      <c r="E386" s="516">
        <f t="shared" si="8"/>
        <v>344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874</v>
      </c>
      <c r="V386" s="538" t="s">
        <v>2589</v>
      </c>
      <c r="W386" s="541" t="s">
        <v>2590</v>
      </c>
      <c r="X386" s="516" t="s">
        <v>876</v>
      </c>
      <c r="Y386" s="542">
        <v>29815</v>
      </c>
      <c r="Z386" s="543">
        <f t="shared" ca="1" si="9"/>
        <v>44</v>
      </c>
      <c r="AA386" s="534" t="s">
        <v>2591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2592</v>
      </c>
      <c r="AH386" s="516"/>
      <c r="AI386" s="516" t="s">
        <v>2593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2594</v>
      </c>
      <c r="E387" s="516">
        <f t="shared" si="8"/>
        <v>345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59" t="s">
        <v>787</v>
      </c>
      <c r="Q387" s="539"/>
      <c r="R387" s="516"/>
      <c r="S387" s="516"/>
      <c r="T387" s="516"/>
      <c r="U387" s="516" t="s">
        <v>788</v>
      </c>
      <c r="V387" s="559" t="s">
        <v>2595</v>
      </c>
      <c r="W387" s="541" t="s">
        <v>2596</v>
      </c>
      <c r="X387" s="516" t="s">
        <v>876</v>
      </c>
      <c r="Y387" s="542">
        <v>38225</v>
      </c>
      <c r="Z387" s="543">
        <f t="shared" ca="1" si="9"/>
        <v>21</v>
      </c>
      <c r="AA387" s="534" t="s">
        <v>2597</v>
      </c>
      <c r="AB387" s="516"/>
      <c r="AC387" s="516" t="s">
        <v>842</v>
      </c>
      <c r="AD387" s="516" t="s">
        <v>843</v>
      </c>
      <c r="AE387" s="534" t="s">
        <v>815</v>
      </c>
      <c r="AF387" s="534" t="s">
        <v>815</v>
      </c>
      <c r="AG387" s="534" t="s">
        <v>2598</v>
      </c>
      <c r="AH387" s="516"/>
      <c r="AI387" s="538"/>
      <c r="AJ387" s="516" t="s">
        <v>903</v>
      </c>
      <c r="AK387" s="516"/>
      <c r="AL387" s="544"/>
      <c r="AM387" s="544"/>
    </row>
    <row r="388" spans="3:39" ht="18" customHeight="1">
      <c r="C388" s="516">
        <v>368</v>
      </c>
      <c r="D388" s="516" t="s">
        <v>2599</v>
      </c>
      <c r="E388" s="516">
        <f t="shared" si="8"/>
        <v>346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48" t="s">
        <v>828</v>
      </c>
      <c r="Q388" s="539"/>
      <c r="R388" s="516" t="s">
        <v>49</v>
      </c>
      <c r="S388" s="516" t="s">
        <v>168</v>
      </c>
      <c r="T388" s="516"/>
      <c r="U388" s="516" t="s">
        <v>788</v>
      </c>
      <c r="V388" s="548" t="s">
        <v>327</v>
      </c>
      <c r="W388" s="541" t="s">
        <v>2602</v>
      </c>
      <c r="X388" s="516" t="s">
        <v>790</v>
      </c>
      <c r="Y388" s="542">
        <v>37769</v>
      </c>
      <c r="Z388" s="543">
        <f t="shared" ca="1" si="9"/>
        <v>22</v>
      </c>
      <c r="AA388" s="534" t="s">
        <v>2603</v>
      </c>
      <c r="AB388" s="516" t="s">
        <v>2604</v>
      </c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1352</v>
      </c>
      <c r="AH388" s="516"/>
      <c r="AI388" s="516"/>
      <c r="AJ388" s="516" t="s">
        <v>844</v>
      </c>
      <c r="AK388" s="516"/>
      <c r="AL388" s="544"/>
      <c r="AM388" s="544"/>
    </row>
    <row r="389" spans="3:39" ht="18" customHeight="1">
      <c r="C389" s="516">
        <v>369</v>
      </c>
      <c r="D389" s="516" t="s">
        <v>2600</v>
      </c>
      <c r="E389" s="516">
        <f t="shared" si="8"/>
        <v>347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341</v>
      </c>
      <c r="W389" s="541" t="s">
        <v>2605</v>
      </c>
      <c r="X389" s="516" t="s">
        <v>876</v>
      </c>
      <c r="Y389" s="542">
        <v>37727</v>
      </c>
      <c r="Z389" s="543">
        <f t="shared" ca="1" si="9"/>
        <v>22</v>
      </c>
      <c r="AA389" s="534" t="s">
        <v>2606</v>
      </c>
      <c r="AB389" s="516" t="s">
        <v>2607</v>
      </c>
      <c r="AC389" s="516" t="s">
        <v>793</v>
      </c>
      <c r="AD389" s="516" t="s">
        <v>794</v>
      </c>
      <c r="AE389" s="534" t="s">
        <v>815</v>
      </c>
      <c r="AF389" s="534" t="s">
        <v>815</v>
      </c>
      <c r="AG389" s="534" t="s">
        <v>2004</v>
      </c>
      <c r="AH389" s="516"/>
      <c r="AI389" s="516"/>
      <c r="AJ389" s="516" t="s">
        <v>867</v>
      </c>
      <c r="AK389" s="516"/>
      <c r="AL389" s="544"/>
      <c r="AM389" s="544"/>
    </row>
    <row r="390" spans="3:39" ht="18" customHeight="1">
      <c r="C390" s="516">
        <v>370</v>
      </c>
      <c r="D390" s="516" t="s">
        <v>2601</v>
      </c>
      <c r="E390" s="516">
        <f t="shared" si="8"/>
        <v>348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 t="s">
        <v>62</v>
      </c>
      <c r="S390" s="516" t="s">
        <v>548</v>
      </c>
      <c r="T390" s="516"/>
      <c r="U390" s="516" t="s">
        <v>788</v>
      </c>
      <c r="V390" s="538" t="s">
        <v>2608</v>
      </c>
      <c r="W390" s="541" t="s">
        <v>2609</v>
      </c>
      <c r="X390" s="516" t="s">
        <v>790</v>
      </c>
      <c r="Y390" s="542">
        <v>38733</v>
      </c>
      <c r="Z390" s="543">
        <f t="shared" ca="1" si="9"/>
        <v>20</v>
      </c>
      <c r="AA390" s="534" t="s">
        <v>2610</v>
      </c>
      <c r="AB390" s="516" t="s">
        <v>2611</v>
      </c>
      <c r="AC390" s="516" t="s">
        <v>842</v>
      </c>
      <c r="AD390" s="516" t="s">
        <v>794</v>
      </c>
      <c r="AE390" s="534" t="s">
        <v>815</v>
      </c>
      <c r="AF390" s="534" t="s">
        <v>1400</v>
      </c>
      <c r="AG390" s="534"/>
      <c r="AH390" s="516"/>
      <c r="AI390" s="516"/>
      <c r="AJ390" s="516" t="s">
        <v>903</v>
      </c>
      <c r="AK390" s="516"/>
      <c r="AL390" s="544"/>
      <c r="AM390" s="544"/>
    </row>
    <row r="391" spans="3:39" ht="18" customHeight="1">
      <c r="C391" s="516">
        <v>371</v>
      </c>
      <c r="D391" s="516" t="s">
        <v>2612</v>
      </c>
      <c r="E391" s="516">
        <f t="shared" si="8"/>
        <v>349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368</v>
      </c>
      <c r="W391" s="541" t="s">
        <v>2613</v>
      </c>
      <c r="X391" s="516" t="s">
        <v>790</v>
      </c>
      <c r="Y391" s="542">
        <v>36875</v>
      </c>
      <c r="Z391" s="543">
        <f t="shared" ca="1" si="9"/>
        <v>25</v>
      </c>
      <c r="AA391" s="594" t="s">
        <v>2614</v>
      </c>
      <c r="AB391" s="516" t="s">
        <v>2615</v>
      </c>
      <c r="AC391" s="516" t="s">
        <v>842</v>
      </c>
      <c r="AD391" s="516" t="s">
        <v>794</v>
      </c>
      <c r="AE391" s="534" t="s">
        <v>815</v>
      </c>
      <c r="AF391" s="534" t="s">
        <v>815</v>
      </c>
      <c r="AG391" s="534" t="s">
        <v>2317</v>
      </c>
      <c r="AH391" s="516"/>
      <c r="AI391" s="516"/>
      <c r="AJ391" s="516"/>
      <c r="AK391" s="516"/>
      <c r="AL391" s="544"/>
      <c r="AM391" s="544"/>
    </row>
    <row r="392" spans="3:39" ht="18" customHeight="1">
      <c r="C392" s="516">
        <v>372</v>
      </c>
      <c r="D392" s="516" t="s">
        <v>2616</v>
      </c>
      <c r="E392" s="516">
        <f t="shared" si="8"/>
        <v>350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381</v>
      </c>
      <c r="W392" s="541" t="s">
        <v>2617</v>
      </c>
      <c r="X392" s="516" t="s">
        <v>790</v>
      </c>
      <c r="Y392" s="542">
        <v>36083</v>
      </c>
      <c r="Z392" s="543">
        <f t="shared" ca="1" si="9"/>
        <v>27</v>
      </c>
      <c r="AA392" s="534" t="s">
        <v>2618</v>
      </c>
      <c r="AB392" s="516" t="s">
        <v>2619</v>
      </c>
      <c r="AC392" s="516" t="s">
        <v>793</v>
      </c>
      <c r="AD392" s="516" t="s">
        <v>794</v>
      </c>
      <c r="AE392" s="534" t="s">
        <v>815</v>
      </c>
      <c r="AF392" s="534" t="s">
        <v>1267</v>
      </c>
      <c r="AG392" s="534" t="s">
        <v>1268</v>
      </c>
      <c r="AH392" s="516"/>
      <c r="AI392" s="516"/>
      <c r="AJ392" s="516" t="s">
        <v>832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8"/>
        <v>351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9"/>
        <v>23</v>
      </c>
      <c r="AA393" s="534" t="s">
        <v>2622</v>
      </c>
      <c r="AB393" s="516" t="s">
        <v>2623</v>
      </c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8"/>
        <v>352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9"/>
        <v>22</v>
      </c>
      <c r="AA394" s="534" t="s">
        <v>2628</v>
      </c>
      <c r="AB394" s="516" t="s">
        <v>2629</v>
      </c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8"/>
        <v>353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9"/>
        <v>18</v>
      </c>
      <c r="AA395" s="534" t="s">
        <v>2634</v>
      </c>
      <c r="AB395" s="516" t="s">
        <v>2635</v>
      </c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8"/>
        <v>354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9"/>
        <v>22</v>
      </c>
      <c r="AA396" s="534" t="s">
        <v>2639</v>
      </c>
      <c r="AB396" s="516" t="s">
        <v>2640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8"/>
        <v>355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9"/>
        <v>23</v>
      </c>
      <c r="AA397" s="534" t="s">
        <v>2644</v>
      </c>
      <c r="AB397" s="516" t="s">
        <v>2645</v>
      </c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8"/>
        <v>356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9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8"/>
        <v>357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9"/>
        <v>19</v>
      </c>
      <c r="AA399" s="534" t="s">
        <v>2651</v>
      </c>
      <c r="AB399" s="516" t="s">
        <v>2652</v>
      </c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8"/>
        <v>358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9"/>
        <v>15</v>
      </c>
      <c r="AA400" s="534" t="s">
        <v>2655</v>
      </c>
      <c r="AB400" s="516" t="s">
        <v>2656</v>
      </c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8"/>
        <v>359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9"/>
        <v>26</v>
      </c>
      <c r="AA401" s="534" t="s">
        <v>2659</v>
      </c>
      <c r="AB401" s="516" t="s">
        <v>2660</v>
      </c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8"/>
        <v>360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9"/>
        <v>39</v>
      </c>
      <c r="AA402" s="534" t="s">
        <v>2665</v>
      </c>
      <c r="AB402" s="6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/>
      <c r="AI402" s="516" t="s">
        <v>2666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8"/>
        <v>361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9"/>
        <v>24</v>
      </c>
      <c r="AA403" s="534" t="s">
        <v>2670</v>
      </c>
      <c r="AB403" s="516" t="s">
        <v>2671</v>
      </c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/>
      <c r="AI403" s="516" t="s">
        <v>2672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8"/>
        <v>362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9"/>
        <v>23</v>
      </c>
      <c r="AA404" s="534" t="s">
        <v>2676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8"/>
        <v>363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9"/>
        <v>23</v>
      </c>
      <c r="AA405" s="534" t="s">
        <v>2681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16" t="s">
        <v>1805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8"/>
        <v>364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9"/>
        <v>22</v>
      </c>
      <c r="AA406" s="534" t="s">
        <v>2685</v>
      </c>
      <c r="AB406" s="571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/>
      <c r="AI406" s="516" t="s">
        <v>2443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8"/>
        <v>365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9"/>
        <v>22</v>
      </c>
      <c r="AA407" s="534" t="s">
        <v>2691</v>
      </c>
      <c r="AB407" s="516" t="s">
        <v>2692</v>
      </c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8"/>
        <v>366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9"/>
        <v>17</v>
      </c>
      <c r="AA408" s="534" t="s">
        <v>2696</v>
      </c>
      <c r="AB408" s="516" t="s">
        <v>2697</v>
      </c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8"/>
        <v>367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9"/>
        <v>22</v>
      </c>
      <c r="AA409" s="534" t="s">
        <v>2700</v>
      </c>
      <c r="AB409" s="516" t="s">
        <v>2701</v>
      </c>
      <c r="AC409" s="516" t="s">
        <v>842</v>
      </c>
      <c r="AD409" s="516" t="s">
        <v>851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2702</v>
      </c>
      <c r="E410" s="516">
        <f t="shared" si="8"/>
        <v>368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2703</v>
      </c>
      <c r="W410" s="541" t="s">
        <v>2704</v>
      </c>
      <c r="X410" s="516" t="s">
        <v>876</v>
      </c>
      <c r="Y410" s="542">
        <v>36932</v>
      </c>
      <c r="Z410" s="543">
        <f t="shared" ca="1" si="9"/>
        <v>24</v>
      </c>
      <c r="AA410" s="534"/>
      <c r="AB410" s="516" t="s">
        <v>2705</v>
      </c>
      <c r="AC410" s="516" t="s">
        <v>842</v>
      </c>
      <c r="AD410" s="516" t="s">
        <v>851</v>
      </c>
      <c r="AE410" s="534" t="s">
        <v>815</v>
      </c>
      <c r="AF410" s="534" t="s">
        <v>2706</v>
      </c>
      <c r="AG410" s="534" t="s">
        <v>2707</v>
      </c>
      <c r="AH410" s="516"/>
      <c r="AI410" s="516"/>
      <c r="AJ410" s="516" t="s">
        <v>832</v>
      </c>
      <c r="AK410" s="516"/>
      <c r="AL410" s="544"/>
      <c r="AM410" s="544"/>
    </row>
    <row r="411" spans="3:39" ht="18" customHeight="1">
      <c r="C411" s="516">
        <v>391</v>
      </c>
      <c r="D411" s="516" t="s">
        <v>2708</v>
      </c>
      <c r="E411" s="516">
        <f t="shared" si="8"/>
        <v>369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2709</v>
      </c>
      <c r="W411" s="541" t="s">
        <v>2710</v>
      </c>
      <c r="X411" s="516" t="s">
        <v>876</v>
      </c>
      <c r="Y411" s="542">
        <v>36693</v>
      </c>
      <c r="Z411" s="543">
        <f t="shared" ca="1" si="9"/>
        <v>25</v>
      </c>
      <c r="AA411" s="534" t="s">
        <v>2711</v>
      </c>
      <c r="AB411" s="516" t="s">
        <v>2712</v>
      </c>
      <c r="AC411" s="516" t="s">
        <v>842</v>
      </c>
      <c r="AD411" s="516" t="s">
        <v>843</v>
      </c>
      <c r="AE411" s="534" t="s">
        <v>815</v>
      </c>
      <c r="AF411" s="534" t="s">
        <v>1400</v>
      </c>
      <c r="AG411" s="534" t="s">
        <v>2713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2714</v>
      </c>
      <c r="E412" s="516">
        <f t="shared" si="8"/>
        <v>370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2715</v>
      </c>
      <c r="W412" s="541" t="s">
        <v>2716</v>
      </c>
      <c r="X412" s="516" t="s">
        <v>876</v>
      </c>
      <c r="Y412" s="542">
        <v>37525</v>
      </c>
      <c r="Z412" s="543">
        <f t="shared" ca="1" si="9"/>
        <v>23</v>
      </c>
      <c r="AA412" s="534" t="s">
        <v>2717</v>
      </c>
      <c r="AB412" s="516" t="s">
        <v>2718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2719</v>
      </c>
      <c r="E413" s="516">
        <f t="shared" si="8"/>
        <v>371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2720</v>
      </c>
      <c r="W413" s="541" t="s">
        <v>2721</v>
      </c>
      <c r="X413" s="516" t="s">
        <v>876</v>
      </c>
      <c r="Y413" s="542">
        <v>37583</v>
      </c>
      <c r="Z413" s="543">
        <f t="shared" ca="1" si="9"/>
        <v>23</v>
      </c>
      <c r="AA413" s="534" t="s">
        <v>2722</v>
      </c>
      <c r="AB413" s="516" t="s">
        <v>2723</v>
      </c>
      <c r="AC413" s="516" t="s">
        <v>842</v>
      </c>
      <c r="AD413" s="516" t="s">
        <v>851</v>
      </c>
      <c r="AE413" s="534" t="s">
        <v>815</v>
      </c>
      <c r="AF413" s="534" t="s">
        <v>815</v>
      </c>
      <c r="AG413" s="534" t="s">
        <v>1282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2724</v>
      </c>
      <c r="E414" s="516">
        <f t="shared" si="8"/>
        <v>372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2725</v>
      </c>
      <c r="W414" s="541" t="s">
        <v>2726</v>
      </c>
      <c r="X414" s="516" t="s">
        <v>876</v>
      </c>
      <c r="Y414" s="542">
        <v>38675</v>
      </c>
      <c r="Z414" s="543">
        <f t="shared" ca="1" si="9"/>
        <v>20</v>
      </c>
      <c r="AA414" s="534" t="s">
        <v>2727</v>
      </c>
      <c r="AB414" s="516" t="s">
        <v>2728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2525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2729</v>
      </c>
      <c r="E415" s="516">
        <f t="shared" si="8"/>
        <v>373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2730</v>
      </c>
      <c r="W415" s="541" t="s">
        <v>2731</v>
      </c>
      <c r="X415" s="516" t="s">
        <v>876</v>
      </c>
      <c r="Y415" s="542">
        <v>37348</v>
      </c>
      <c r="Z415" s="543">
        <f t="shared" ca="1" si="9"/>
        <v>23</v>
      </c>
      <c r="AA415" s="534" t="s">
        <v>2732</v>
      </c>
      <c r="AB415" s="516" t="s">
        <v>2733</v>
      </c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2734</v>
      </c>
      <c r="AH415" s="516"/>
      <c r="AI415" s="516"/>
      <c r="AJ415" s="516" t="s">
        <v>903</v>
      </c>
      <c r="AK415" s="516"/>
      <c r="AL415" s="544"/>
      <c r="AM415" s="544"/>
    </row>
    <row r="416" spans="3:39" ht="18" customHeight="1">
      <c r="C416" s="516">
        <v>396</v>
      </c>
      <c r="D416" s="516" t="s">
        <v>2735</v>
      </c>
      <c r="E416" s="516">
        <f t="shared" si="8"/>
        <v>374</v>
      </c>
      <c r="F416" s="534" t="s">
        <v>811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788</v>
      </c>
      <c r="V416" s="538" t="s">
        <v>421</v>
      </c>
      <c r="W416" s="541" t="s">
        <v>2736</v>
      </c>
      <c r="X416" s="516" t="s">
        <v>876</v>
      </c>
      <c r="Y416" s="542">
        <v>37194</v>
      </c>
      <c r="Z416" s="543">
        <f t="shared" ca="1" si="9"/>
        <v>24</v>
      </c>
      <c r="AA416" s="534" t="s">
        <v>2737</v>
      </c>
      <c r="AB416" s="516" t="s">
        <v>2738</v>
      </c>
      <c r="AC416" s="516" t="s">
        <v>842</v>
      </c>
      <c r="AD416" s="516" t="s">
        <v>851</v>
      </c>
      <c r="AE416" s="534" t="s">
        <v>815</v>
      </c>
      <c r="AF416" s="606" t="s">
        <v>815</v>
      </c>
      <c r="AG416" s="534" t="s">
        <v>2598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2739</v>
      </c>
      <c r="E417" s="516">
        <f t="shared" si="8"/>
        <v>375</v>
      </c>
      <c r="F417" s="534" t="s">
        <v>1310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 t="s">
        <v>308</v>
      </c>
      <c r="R417" s="516"/>
      <c r="S417" s="516"/>
      <c r="T417" s="516"/>
      <c r="U417" s="516" t="s">
        <v>1886</v>
      </c>
      <c r="V417" s="538" t="s">
        <v>429</v>
      </c>
      <c r="W417" s="541" t="s">
        <v>2740</v>
      </c>
      <c r="X417" s="516" t="s">
        <v>876</v>
      </c>
      <c r="Y417" s="542">
        <v>39601</v>
      </c>
      <c r="Z417" s="543">
        <f t="shared" ca="1" si="9"/>
        <v>17</v>
      </c>
      <c r="AA417" s="534" t="s">
        <v>2741</v>
      </c>
      <c r="AB417" s="516" t="s">
        <v>2742</v>
      </c>
      <c r="AC417" s="516" t="s">
        <v>842</v>
      </c>
      <c r="AD417" s="516" t="s">
        <v>843</v>
      </c>
      <c r="AE417" s="534" t="s">
        <v>815</v>
      </c>
      <c r="AF417" s="534" t="s">
        <v>815</v>
      </c>
      <c r="AG417" s="534" t="s">
        <v>2743</v>
      </c>
      <c r="AH417" s="516"/>
      <c r="AI417" s="516"/>
      <c r="AJ417" s="516" t="s">
        <v>1497</v>
      </c>
      <c r="AK417" s="516"/>
      <c r="AL417" s="544"/>
      <c r="AM417" s="544"/>
    </row>
    <row r="418" spans="3:39" ht="18" customHeight="1">
      <c r="C418" s="516">
        <v>398</v>
      </c>
      <c r="D418" s="516" t="s">
        <v>2744</v>
      </c>
      <c r="E418" s="516">
        <f t="shared" si="8"/>
        <v>376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2745</v>
      </c>
      <c r="W418" s="541" t="s">
        <v>2746</v>
      </c>
      <c r="X418" s="516" t="s">
        <v>876</v>
      </c>
      <c r="Y418" s="542">
        <v>37308</v>
      </c>
      <c r="Z418" s="543">
        <f t="shared" ca="1" si="9"/>
        <v>23</v>
      </c>
      <c r="AA418" s="534" t="s">
        <v>2747</v>
      </c>
      <c r="AB418" s="516" t="s">
        <v>2748</v>
      </c>
      <c r="AC418" s="516" t="s">
        <v>842</v>
      </c>
      <c r="AD418" s="516" t="s">
        <v>843</v>
      </c>
      <c r="AE418" s="534" t="s">
        <v>815</v>
      </c>
      <c r="AF418" s="534" t="s">
        <v>1552</v>
      </c>
      <c r="AG418" s="534" t="s">
        <v>2749</v>
      </c>
      <c r="AH418" s="516"/>
      <c r="AI418" s="516" t="s">
        <v>2750</v>
      </c>
      <c r="AJ418" s="516" t="s">
        <v>903</v>
      </c>
      <c r="AK418" s="516" t="s">
        <v>860</v>
      </c>
      <c r="AL418" s="544"/>
      <c r="AM418" s="544"/>
    </row>
    <row r="419" spans="3:39" ht="18" customHeight="1">
      <c r="C419" s="516">
        <v>399</v>
      </c>
      <c r="D419" s="516" t="s">
        <v>2751</v>
      </c>
      <c r="E419" s="516">
        <f t="shared" si="8"/>
        <v>377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2752</v>
      </c>
      <c r="W419" s="541" t="s">
        <v>2753</v>
      </c>
      <c r="X419" s="516" t="s">
        <v>876</v>
      </c>
      <c r="Y419" s="542">
        <v>37265</v>
      </c>
      <c r="Z419" s="543">
        <f t="shared" ca="1" si="9"/>
        <v>24</v>
      </c>
      <c r="AA419" s="534" t="s">
        <v>2754</v>
      </c>
      <c r="AB419" s="516" t="s">
        <v>2755</v>
      </c>
      <c r="AC419" s="516" t="s">
        <v>842</v>
      </c>
      <c r="AD419" s="516" t="s">
        <v>843</v>
      </c>
      <c r="AE419" s="534" t="s">
        <v>815</v>
      </c>
      <c r="AF419" s="534" t="s">
        <v>2756</v>
      </c>
      <c r="AG419" s="534" t="s">
        <v>2756</v>
      </c>
      <c r="AH419" s="516"/>
      <c r="AI419" s="516" t="s">
        <v>2443</v>
      </c>
      <c r="AJ419" s="516" t="s">
        <v>903</v>
      </c>
      <c r="AK419" s="516"/>
      <c r="AL419" s="544"/>
      <c r="AM419" s="544"/>
    </row>
    <row r="420" spans="3:39" ht="18" customHeight="1">
      <c r="C420" s="516">
        <v>400</v>
      </c>
      <c r="D420" s="516" t="s">
        <v>2757</v>
      </c>
      <c r="E420" s="516">
        <f t="shared" si="8"/>
        <v>378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2758</v>
      </c>
      <c r="W420" s="541" t="s">
        <v>2759</v>
      </c>
      <c r="X420" s="516" t="s">
        <v>876</v>
      </c>
      <c r="Y420" s="542">
        <v>38907</v>
      </c>
      <c r="Z420" s="543">
        <f t="shared" ca="1" si="9"/>
        <v>19</v>
      </c>
      <c r="AA420" s="534" t="s">
        <v>2760</v>
      </c>
      <c r="AB420" s="516" t="s">
        <v>2761</v>
      </c>
      <c r="AC420" s="516" t="s">
        <v>842</v>
      </c>
      <c r="AD420" s="516" t="s">
        <v>843</v>
      </c>
      <c r="AE420" s="534" t="s">
        <v>815</v>
      </c>
      <c r="AF420" s="534" t="s">
        <v>815</v>
      </c>
      <c r="AG420" s="534" t="s">
        <v>2762</v>
      </c>
      <c r="AH420" s="516"/>
      <c r="AI420" s="516" t="s">
        <v>1936</v>
      </c>
      <c r="AJ420" s="516" t="s">
        <v>903</v>
      </c>
      <c r="AK420" s="516"/>
      <c r="AL420" s="544"/>
      <c r="AM420" s="544"/>
    </row>
    <row r="421" spans="3:39" ht="18" customHeight="1">
      <c r="C421" s="516">
        <v>401</v>
      </c>
      <c r="D421" s="516" t="s">
        <v>2763</v>
      </c>
      <c r="E421" s="516">
        <f t="shared" si="8"/>
        <v>379</v>
      </c>
      <c r="F421" s="534" t="s">
        <v>981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2686</v>
      </c>
      <c r="L421" s="535" t="s">
        <v>2687</v>
      </c>
      <c r="M421" s="536" t="s">
        <v>2688</v>
      </c>
      <c r="N421" s="537"/>
      <c r="O421" s="537"/>
      <c r="P421" s="538" t="s">
        <v>938</v>
      </c>
      <c r="Q421" s="539"/>
      <c r="R421" s="516"/>
      <c r="S421" s="516"/>
      <c r="T421" s="516"/>
      <c r="U421" s="516" t="s">
        <v>788</v>
      </c>
      <c r="V421" s="538" t="s">
        <v>437</v>
      </c>
      <c r="W421" s="541" t="s">
        <v>2764</v>
      </c>
      <c r="X421" s="516" t="s">
        <v>876</v>
      </c>
      <c r="Y421" s="542" t="s">
        <v>2765</v>
      </c>
      <c r="Z421" s="543">
        <f t="shared" ca="1" si="9"/>
        <v>24</v>
      </c>
      <c r="AA421" s="534" t="s">
        <v>2766</v>
      </c>
      <c r="AB421" s="516" t="s">
        <v>2767</v>
      </c>
      <c r="AC421" s="516" t="s">
        <v>842</v>
      </c>
      <c r="AD421" s="516" t="s">
        <v>843</v>
      </c>
      <c r="AE421" s="534" t="s">
        <v>1256</v>
      </c>
      <c r="AF421" s="534" t="s">
        <v>1256</v>
      </c>
      <c r="AG421" s="534" t="s">
        <v>2768</v>
      </c>
      <c r="AH421" s="516"/>
      <c r="AI421" s="516" t="s">
        <v>2672</v>
      </c>
      <c r="AJ421" s="516" t="s">
        <v>976</v>
      </c>
      <c r="AK421" s="516"/>
      <c r="AL421" s="544"/>
      <c r="AM421" s="544"/>
    </row>
    <row r="422" spans="3:39" ht="18" customHeight="1">
      <c r="C422" s="516">
        <v>402</v>
      </c>
      <c r="D422" s="617" t="s">
        <v>2769</v>
      </c>
      <c r="E422" s="516">
        <f t="shared" si="8"/>
        <v>380</v>
      </c>
      <c r="F422" s="618" t="s">
        <v>981</v>
      </c>
      <c r="G422" s="618" t="s">
        <v>2584</v>
      </c>
      <c r="H422" s="619" t="s">
        <v>1144</v>
      </c>
      <c r="I422" s="619" t="s">
        <v>107</v>
      </c>
      <c r="J422" s="619" t="s">
        <v>1144</v>
      </c>
      <c r="K422" s="619" t="s">
        <v>2686</v>
      </c>
      <c r="L422" s="619" t="s">
        <v>2687</v>
      </c>
      <c r="M422" s="620" t="s">
        <v>2688</v>
      </c>
      <c r="N422" s="621"/>
      <c r="O422" s="621"/>
      <c r="P422" s="622" t="s">
        <v>938</v>
      </c>
      <c r="Q422" s="623"/>
      <c r="R422" s="617"/>
      <c r="S422" s="617"/>
      <c r="T422" s="617"/>
      <c r="U422" s="617" t="s">
        <v>874</v>
      </c>
      <c r="V422" s="622" t="s">
        <v>2770</v>
      </c>
      <c r="W422" s="624" t="s">
        <v>2771</v>
      </c>
      <c r="X422" s="617" t="s">
        <v>876</v>
      </c>
      <c r="Y422" s="625">
        <v>37308</v>
      </c>
      <c r="Z422" s="626">
        <f t="shared" ca="1" si="9"/>
        <v>23</v>
      </c>
      <c r="AA422" s="618" t="s">
        <v>2747</v>
      </c>
      <c r="AB422" s="627"/>
      <c r="AC422" s="617" t="s">
        <v>842</v>
      </c>
      <c r="AD422" s="617" t="s">
        <v>843</v>
      </c>
      <c r="AE422" s="618" t="s">
        <v>815</v>
      </c>
      <c r="AF422" s="618" t="s">
        <v>1552</v>
      </c>
      <c r="AG422" s="618" t="s">
        <v>2749</v>
      </c>
      <c r="AH422" s="617"/>
      <c r="AI422" s="617" t="s">
        <v>1827</v>
      </c>
      <c r="AJ422" s="617" t="s">
        <v>903</v>
      </c>
      <c r="AK422" s="572" t="s">
        <v>1284</v>
      </c>
      <c r="AL422" s="617"/>
      <c r="AM422" s="617"/>
    </row>
    <row r="423" spans="3:39" ht="18" customHeight="1">
      <c r="C423" s="516">
        <v>403</v>
      </c>
      <c r="D423" s="516" t="s">
        <v>2772</v>
      </c>
      <c r="E423" s="516">
        <f t="shared" si="8"/>
        <v>381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48" t="s">
        <v>978</v>
      </c>
      <c r="Q423" s="539"/>
      <c r="R423" s="516" t="s">
        <v>49</v>
      </c>
      <c r="S423" s="516" t="s">
        <v>168</v>
      </c>
      <c r="T423" s="516"/>
      <c r="U423" s="516" t="s">
        <v>874</v>
      </c>
      <c r="V423" s="548" t="s">
        <v>328</v>
      </c>
      <c r="W423" s="541" t="s">
        <v>2774</v>
      </c>
      <c r="X423" s="516" t="s">
        <v>876</v>
      </c>
      <c r="Y423" s="542">
        <v>36536</v>
      </c>
      <c r="Z423" s="543">
        <f t="shared" ca="1" si="9"/>
        <v>26</v>
      </c>
      <c r="AA423" s="534" t="s">
        <v>2775</v>
      </c>
      <c r="AB423" s="516" t="s">
        <v>2776</v>
      </c>
      <c r="AC423" s="516" t="s">
        <v>842</v>
      </c>
      <c r="AD423" s="516" t="s">
        <v>843</v>
      </c>
      <c r="AE423" s="534" t="s">
        <v>815</v>
      </c>
      <c r="AF423" s="534" t="s">
        <v>1267</v>
      </c>
      <c r="AG423" s="534" t="s">
        <v>1268</v>
      </c>
      <c r="AH423" s="516"/>
      <c r="AI423" s="516"/>
      <c r="AJ423" s="516" t="s">
        <v>832</v>
      </c>
      <c r="AK423" s="516"/>
      <c r="AL423" s="544"/>
      <c r="AM423" s="544"/>
    </row>
    <row r="424" spans="3:39" ht="18" customHeight="1">
      <c r="C424" s="516">
        <v>404</v>
      </c>
      <c r="D424" s="516" t="s">
        <v>2773</v>
      </c>
      <c r="E424" s="516">
        <f t="shared" si="8"/>
        <v>382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 t="s">
        <v>62</v>
      </c>
      <c r="S424" s="516" t="s">
        <v>548</v>
      </c>
      <c r="T424" s="516"/>
      <c r="U424" s="516" t="s">
        <v>874</v>
      </c>
      <c r="V424" s="538" t="s">
        <v>342</v>
      </c>
      <c r="W424" s="541" t="s">
        <v>2777</v>
      </c>
      <c r="X424" s="516" t="s">
        <v>876</v>
      </c>
      <c r="Y424" s="542">
        <v>35989</v>
      </c>
      <c r="Z424" s="543">
        <f t="shared" ca="1" si="9"/>
        <v>27</v>
      </c>
      <c r="AA424" s="534" t="s">
        <v>2778</v>
      </c>
      <c r="AB424" s="516" t="s">
        <v>2779</v>
      </c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2780</v>
      </c>
      <c r="E425" s="516">
        <f t="shared" si="8"/>
        <v>383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2781</v>
      </c>
      <c r="W425" s="541" t="s">
        <v>2782</v>
      </c>
      <c r="X425" s="516" t="s">
        <v>876</v>
      </c>
      <c r="Y425" s="542">
        <v>31694</v>
      </c>
      <c r="Z425" s="543">
        <f t="shared" ca="1" si="9"/>
        <v>39</v>
      </c>
      <c r="AA425" s="534" t="s">
        <v>2783</v>
      </c>
      <c r="AB425" s="516" t="s">
        <v>2784</v>
      </c>
      <c r="AC425" s="516" t="s">
        <v>842</v>
      </c>
      <c r="AD425" s="516" t="s">
        <v>851</v>
      </c>
      <c r="AE425" s="534" t="s">
        <v>815</v>
      </c>
      <c r="AF425" s="534" t="s">
        <v>2785</v>
      </c>
      <c r="AG425" s="534"/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2786</v>
      </c>
      <c r="E426" s="516">
        <f t="shared" si="8"/>
        <v>384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369</v>
      </c>
      <c r="W426" s="541" t="s">
        <v>2787</v>
      </c>
      <c r="X426" s="516" t="s">
        <v>876</v>
      </c>
      <c r="Y426" s="542">
        <v>33359</v>
      </c>
      <c r="Z426" s="543">
        <f t="shared" ca="1" si="9"/>
        <v>34</v>
      </c>
      <c r="AA426" s="534" t="s">
        <v>2788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2789</v>
      </c>
      <c r="E427" s="516">
        <f t="shared" si="8"/>
        <v>385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874</v>
      </c>
      <c r="V427" s="538" t="s">
        <v>382</v>
      </c>
      <c r="W427" s="541" t="s">
        <v>2790</v>
      </c>
      <c r="X427" s="516" t="s">
        <v>876</v>
      </c>
      <c r="Y427" s="542">
        <v>34616</v>
      </c>
      <c r="Z427" s="543">
        <f t="shared" ca="1" si="9"/>
        <v>31</v>
      </c>
      <c r="AA427" s="534" t="s">
        <v>2791</v>
      </c>
      <c r="AB427" s="516" t="s">
        <v>2792</v>
      </c>
      <c r="AC427" s="516" t="s">
        <v>842</v>
      </c>
      <c r="AD427" s="516" t="s">
        <v>851</v>
      </c>
      <c r="AE427" s="534" t="s">
        <v>815</v>
      </c>
      <c r="AF427" s="606" t="s">
        <v>815</v>
      </c>
      <c r="AG427" s="534" t="s">
        <v>2525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2793</v>
      </c>
      <c r="E428" s="516">
        <f t="shared" si="8"/>
        <v>386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394</v>
      </c>
      <c r="W428" s="541" t="s">
        <v>2794</v>
      </c>
      <c r="X428" s="516" t="s">
        <v>876</v>
      </c>
      <c r="Y428" s="542">
        <v>35621</v>
      </c>
      <c r="Z428" s="543">
        <f t="shared" ca="1" si="9"/>
        <v>28</v>
      </c>
      <c r="AA428" s="534" t="s">
        <v>2795</v>
      </c>
      <c r="AB428" s="516" t="s">
        <v>2796</v>
      </c>
      <c r="AC428" s="516" t="s">
        <v>842</v>
      </c>
      <c r="AD428" s="516" t="s">
        <v>851</v>
      </c>
      <c r="AE428" s="534" t="s">
        <v>815</v>
      </c>
      <c r="AF428" s="534" t="s">
        <v>2797</v>
      </c>
      <c r="AG428" s="534"/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2798</v>
      </c>
      <c r="E429" s="516">
        <f t="shared" si="8"/>
        <v>387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406</v>
      </c>
      <c r="W429" s="541" t="s">
        <v>2799</v>
      </c>
      <c r="X429" s="516" t="s">
        <v>876</v>
      </c>
      <c r="Y429" s="542" t="s">
        <v>2800</v>
      </c>
      <c r="Z429" s="543">
        <f t="shared" ca="1" si="9"/>
        <v>24</v>
      </c>
      <c r="AA429" s="534" t="s">
        <v>2801</v>
      </c>
      <c r="AB429" s="516" t="s">
        <v>2802</v>
      </c>
      <c r="AC429" s="516" t="s">
        <v>842</v>
      </c>
      <c r="AD429" s="516" t="s">
        <v>851</v>
      </c>
      <c r="AE429" s="534" t="s">
        <v>815</v>
      </c>
      <c r="AF429" s="606" t="s">
        <v>815</v>
      </c>
      <c r="AG429" s="534" t="s">
        <v>2803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410</v>
      </c>
      <c r="D430" s="516" t="s">
        <v>2804</v>
      </c>
      <c r="E430" s="516">
        <f t="shared" si="8"/>
        <v>388</v>
      </c>
      <c r="F430" s="534" t="s">
        <v>1310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38" t="s">
        <v>978</v>
      </c>
      <c r="Q430" s="539"/>
      <c r="R430" s="516"/>
      <c r="S430" s="516"/>
      <c r="T430" s="516"/>
      <c r="U430" s="516" t="s">
        <v>788</v>
      </c>
      <c r="V430" s="538" t="s">
        <v>414</v>
      </c>
      <c r="W430" s="541" t="s">
        <v>2805</v>
      </c>
      <c r="X430" s="516" t="s">
        <v>876</v>
      </c>
      <c r="Y430" s="542" t="s">
        <v>2806</v>
      </c>
      <c r="Z430" s="543">
        <f t="shared" ca="1" si="9"/>
        <v>19</v>
      </c>
      <c r="AA430" s="534" t="s">
        <v>2807</v>
      </c>
      <c r="AB430" s="516" t="s">
        <v>2808</v>
      </c>
      <c r="AC430" s="516" t="s">
        <v>842</v>
      </c>
      <c r="AD430" s="516" t="s">
        <v>843</v>
      </c>
      <c r="AE430" s="534" t="s">
        <v>815</v>
      </c>
      <c r="AF430" s="534" t="s">
        <v>815</v>
      </c>
      <c r="AG430" s="534" t="s">
        <v>2809</v>
      </c>
      <c r="AH430" s="516"/>
      <c r="AI430" s="516"/>
      <c r="AJ430" s="516" t="s">
        <v>976</v>
      </c>
      <c r="AK430" s="516"/>
      <c r="AL430" s="544"/>
      <c r="AM430" s="544"/>
    </row>
    <row r="431" spans="3:39" ht="18" customHeight="1">
      <c r="C431" s="516">
        <v>411</v>
      </c>
      <c r="D431" s="516" t="s">
        <v>2810</v>
      </c>
      <c r="E431" s="516">
        <f t="shared" si="8"/>
        <v>389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2772</v>
      </c>
      <c r="L431" s="535" t="s">
        <v>2773</v>
      </c>
      <c r="M431" s="536"/>
      <c r="N431" s="537"/>
      <c r="O431" s="537"/>
      <c r="P431" s="559" t="s">
        <v>978</v>
      </c>
      <c r="Q431" s="539" t="s">
        <v>308</v>
      </c>
      <c r="R431" s="516"/>
      <c r="S431" s="516"/>
      <c r="T431" s="516"/>
      <c r="U431" s="516" t="s">
        <v>874</v>
      </c>
      <c r="V431" s="540" t="s">
        <v>2811</v>
      </c>
      <c r="W431" s="541" t="s">
        <v>2812</v>
      </c>
      <c r="X431" s="516" t="s">
        <v>876</v>
      </c>
      <c r="Y431" s="542">
        <v>35825</v>
      </c>
      <c r="Z431" s="543">
        <f t="shared" ca="1" si="9"/>
        <v>27</v>
      </c>
      <c r="AA431" s="534" t="s">
        <v>2813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1352</v>
      </c>
      <c r="AH431" s="516"/>
      <c r="AI431" s="516"/>
      <c r="AJ431" s="516" t="s">
        <v>971</v>
      </c>
      <c r="AK431" s="516"/>
      <c r="AL431" s="544"/>
      <c r="AM431" s="544"/>
    </row>
    <row r="432" spans="3:39" ht="18" customHeight="1">
      <c r="C432" s="516">
        <v>412</v>
      </c>
      <c r="D432" s="516" t="s">
        <v>2814</v>
      </c>
      <c r="E432" s="516">
        <f t="shared" si="8"/>
        <v>390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48" t="s">
        <v>2817</v>
      </c>
      <c r="Q432" s="539"/>
      <c r="R432" s="516" t="s">
        <v>49</v>
      </c>
      <c r="S432" s="516" t="s">
        <v>168</v>
      </c>
      <c r="T432" s="516"/>
      <c r="U432" s="562" t="s">
        <v>788</v>
      </c>
      <c r="V432" s="548" t="s">
        <v>330</v>
      </c>
      <c r="W432" s="560" t="s">
        <v>2818</v>
      </c>
      <c r="X432" s="516" t="s">
        <v>876</v>
      </c>
      <c r="Y432" s="542">
        <v>32520</v>
      </c>
      <c r="Z432" s="543">
        <f t="shared" ca="1" si="9"/>
        <v>37</v>
      </c>
      <c r="AA432" s="534" t="s">
        <v>2819</v>
      </c>
      <c r="AB432" s="516" t="s">
        <v>2820</v>
      </c>
      <c r="AC432" s="516" t="s">
        <v>793</v>
      </c>
      <c r="AD432" s="516" t="s">
        <v>794</v>
      </c>
      <c r="AE432" s="534" t="s">
        <v>815</v>
      </c>
      <c r="AF432" s="534" t="s">
        <v>2785</v>
      </c>
      <c r="AG432" s="534" t="s">
        <v>2821</v>
      </c>
      <c r="AH432" s="516"/>
      <c r="AI432" s="516"/>
      <c r="AJ432" s="516" t="s">
        <v>1535</v>
      </c>
      <c r="AK432" s="516"/>
      <c r="AL432" s="544"/>
      <c r="AM432" s="544"/>
    </row>
    <row r="433" spans="3:39" ht="18" customHeight="1">
      <c r="C433" s="516">
        <v>413</v>
      </c>
      <c r="D433" s="516" t="s">
        <v>2815</v>
      </c>
      <c r="E433" s="516">
        <f t="shared" si="8"/>
        <v>391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874</v>
      </c>
      <c r="V433" s="538" t="s">
        <v>343</v>
      </c>
      <c r="W433" s="560" t="s">
        <v>2822</v>
      </c>
      <c r="X433" s="516" t="s">
        <v>876</v>
      </c>
      <c r="Y433" s="542">
        <v>35366</v>
      </c>
      <c r="Z433" s="543">
        <f t="shared" ca="1" si="9"/>
        <v>29</v>
      </c>
      <c r="AA433" s="534" t="s">
        <v>2823</v>
      </c>
      <c r="AB433" s="516" t="s">
        <v>2824</v>
      </c>
      <c r="AC433" s="516" t="s">
        <v>842</v>
      </c>
      <c r="AD433" s="516" t="s">
        <v>851</v>
      </c>
      <c r="AE433" s="534" t="s">
        <v>815</v>
      </c>
      <c r="AF433" s="606" t="s">
        <v>815</v>
      </c>
      <c r="AG433" s="534" t="s">
        <v>2825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2816</v>
      </c>
      <c r="E434" s="516">
        <f t="shared" si="8"/>
        <v>392</v>
      </c>
      <c r="F434" s="534" t="s">
        <v>1310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 t="s">
        <v>62</v>
      </c>
      <c r="S434" s="516" t="s">
        <v>548</v>
      </c>
      <c r="T434" s="516"/>
      <c r="U434" s="562" t="s">
        <v>788</v>
      </c>
      <c r="V434" s="549" t="s">
        <v>423</v>
      </c>
      <c r="W434" s="560" t="s">
        <v>2826</v>
      </c>
      <c r="X434" s="516" t="s">
        <v>876</v>
      </c>
      <c r="Y434" s="542">
        <v>38451</v>
      </c>
      <c r="Z434" s="543">
        <f t="shared" ca="1" si="9"/>
        <v>20</v>
      </c>
      <c r="AA434" s="534" t="s">
        <v>2827</v>
      </c>
      <c r="AB434" s="516" t="s">
        <v>2828</v>
      </c>
      <c r="AC434" s="516" t="s">
        <v>842</v>
      </c>
      <c r="AD434" s="516" t="s">
        <v>851</v>
      </c>
      <c r="AE434" s="534" t="s">
        <v>815</v>
      </c>
      <c r="AF434" s="534" t="s">
        <v>1400</v>
      </c>
      <c r="AG434" s="534" t="s">
        <v>2829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2830</v>
      </c>
      <c r="E435" s="516">
        <f t="shared" si="8"/>
        <v>393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50" t="s">
        <v>357</v>
      </c>
      <c r="W435" s="560" t="s">
        <v>2831</v>
      </c>
      <c r="X435" s="516" t="s">
        <v>876</v>
      </c>
      <c r="Y435" s="542">
        <v>33267</v>
      </c>
      <c r="Z435" s="543">
        <f t="shared" ca="1" si="9"/>
        <v>34</v>
      </c>
      <c r="AA435" s="534" t="s">
        <v>2832</v>
      </c>
      <c r="AB435" s="516" t="s">
        <v>2833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2834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2835</v>
      </c>
      <c r="E436" s="516">
        <f t="shared" si="8"/>
        <v>394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370</v>
      </c>
      <c r="W436" s="560" t="s">
        <v>2836</v>
      </c>
      <c r="X436" s="516" t="s">
        <v>876</v>
      </c>
      <c r="Y436" s="542">
        <v>33415</v>
      </c>
      <c r="Z436" s="543">
        <f t="shared" ca="1" si="9"/>
        <v>34</v>
      </c>
      <c r="AA436" s="534" t="s">
        <v>2837</v>
      </c>
      <c r="AB436" s="516" t="s">
        <v>2838</v>
      </c>
      <c r="AC436" s="516" t="s">
        <v>842</v>
      </c>
      <c r="AD436" s="516" t="s">
        <v>851</v>
      </c>
      <c r="AE436" s="534" t="s">
        <v>815</v>
      </c>
      <c r="AF436" s="606" t="s">
        <v>815</v>
      </c>
      <c r="AG436" s="534" t="s">
        <v>2839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2841</v>
      </c>
      <c r="E437" s="516">
        <f t="shared" si="8"/>
        <v>395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383</v>
      </c>
      <c r="W437" s="560" t="s">
        <v>2842</v>
      </c>
      <c r="X437" s="516" t="s">
        <v>876</v>
      </c>
      <c r="Y437" s="542">
        <v>35523</v>
      </c>
      <c r="Z437" s="543">
        <f t="shared" ca="1" si="9"/>
        <v>28</v>
      </c>
      <c r="AA437" s="534" t="s">
        <v>2843</v>
      </c>
      <c r="AB437" s="516" t="s">
        <v>2844</v>
      </c>
      <c r="AC437" s="516" t="s">
        <v>842</v>
      </c>
      <c r="AD437" s="516" t="s">
        <v>851</v>
      </c>
      <c r="AE437" s="534" t="s">
        <v>815</v>
      </c>
      <c r="AF437" s="534" t="s">
        <v>2845</v>
      </c>
      <c r="AG437" s="534" t="s">
        <v>2846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2847</v>
      </c>
      <c r="E438" s="516">
        <f t="shared" si="8"/>
        <v>396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395</v>
      </c>
      <c r="W438" s="560" t="s">
        <v>2848</v>
      </c>
      <c r="X438" s="516" t="s">
        <v>876</v>
      </c>
      <c r="Y438" s="542">
        <v>35944</v>
      </c>
      <c r="Z438" s="543">
        <f t="shared" ca="1" si="9"/>
        <v>27</v>
      </c>
      <c r="AA438" s="534" t="s">
        <v>2849</v>
      </c>
      <c r="AB438" s="516" t="s">
        <v>2850</v>
      </c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2851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2852</v>
      </c>
      <c r="E439" s="516">
        <f t="shared" si="8"/>
        <v>397</v>
      </c>
      <c r="F439" s="534" t="s">
        <v>811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874</v>
      </c>
      <c r="V439" s="538" t="s">
        <v>407</v>
      </c>
      <c r="W439" s="560" t="s">
        <v>2854</v>
      </c>
      <c r="X439" s="516" t="s">
        <v>876</v>
      </c>
      <c r="Y439" s="542">
        <v>36800</v>
      </c>
      <c r="Z439" s="543">
        <f t="shared" ca="1" si="9"/>
        <v>25</v>
      </c>
      <c r="AA439" s="534" t="s">
        <v>2855</v>
      </c>
      <c r="AB439" s="516" t="s">
        <v>2856</v>
      </c>
      <c r="AC439" s="516" t="s">
        <v>842</v>
      </c>
      <c r="AD439" s="516" t="s">
        <v>851</v>
      </c>
      <c r="AE439" s="534" t="s">
        <v>815</v>
      </c>
      <c r="AF439" s="534" t="s">
        <v>1552</v>
      </c>
      <c r="AG439" s="534" t="s">
        <v>2857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420</v>
      </c>
      <c r="D440" s="516" t="s">
        <v>2858</v>
      </c>
      <c r="E440" s="516">
        <f t="shared" si="8"/>
        <v>398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2815</v>
      </c>
      <c r="M440" s="629" t="s">
        <v>2816</v>
      </c>
      <c r="N440" s="537"/>
      <c r="O440" s="537"/>
      <c r="P440" s="538" t="s">
        <v>2817</v>
      </c>
      <c r="Q440" s="539"/>
      <c r="R440" s="516"/>
      <c r="S440" s="516"/>
      <c r="T440" s="516"/>
      <c r="U440" s="562" t="s">
        <v>788</v>
      </c>
      <c r="V440" s="559" t="s">
        <v>415</v>
      </c>
      <c r="W440" s="560" t="s">
        <v>2859</v>
      </c>
      <c r="X440" s="516" t="s">
        <v>876</v>
      </c>
      <c r="Y440" s="542">
        <v>37404</v>
      </c>
      <c r="Z440" s="543">
        <f t="shared" ca="1" si="9"/>
        <v>23</v>
      </c>
      <c r="AA440" s="534" t="s">
        <v>2860</v>
      </c>
      <c r="AB440" s="516" t="s">
        <v>2861</v>
      </c>
      <c r="AC440" s="516" t="s">
        <v>842</v>
      </c>
      <c r="AD440" s="516" t="s">
        <v>851</v>
      </c>
      <c r="AE440" s="534" t="s">
        <v>815</v>
      </c>
      <c r="AF440" s="534" t="s">
        <v>1400</v>
      </c>
      <c r="AG440" s="534" t="s">
        <v>2862</v>
      </c>
      <c r="AH440" s="516"/>
      <c r="AI440" s="516"/>
      <c r="AJ440" s="516" t="s">
        <v>1852</v>
      </c>
      <c r="AK440" s="516"/>
      <c r="AL440" s="544"/>
      <c r="AM440" s="544"/>
    </row>
    <row r="441" spans="3:39" ht="18" customHeight="1">
      <c r="C441" s="516">
        <v>421</v>
      </c>
      <c r="D441" s="516" t="s">
        <v>2814</v>
      </c>
      <c r="E441" s="516">
        <f t="shared" si="8"/>
        <v>398</v>
      </c>
      <c r="F441" s="534"/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48" t="s">
        <v>2864</v>
      </c>
      <c r="Q441" s="539"/>
      <c r="R441" s="516" t="s">
        <v>49</v>
      </c>
      <c r="S441" s="516" t="s">
        <v>168</v>
      </c>
      <c r="T441" s="516"/>
      <c r="U441" s="516"/>
      <c r="V441" s="550" t="s">
        <v>330</v>
      </c>
      <c r="W441" s="541" t="s">
        <v>2818</v>
      </c>
      <c r="X441" s="516" t="s">
        <v>876</v>
      </c>
      <c r="Y441" s="542">
        <v>32520</v>
      </c>
      <c r="Z441" s="543">
        <f t="shared" ca="1" si="9"/>
        <v>37</v>
      </c>
      <c r="AA441" s="534"/>
      <c r="AB441" s="516"/>
      <c r="AC441" s="516" t="s">
        <v>793</v>
      </c>
      <c r="AD441" s="516" t="s">
        <v>794</v>
      </c>
      <c r="AE441" s="534" t="s">
        <v>815</v>
      </c>
      <c r="AF441" s="534" t="s">
        <v>2785</v>
      </c>
      <c r="AG441" s="534" t="s">
        <v>2821</v>
      </c>
      <c r="AH441" s="516" t="s">
        <v>872</v>
      </c>
      <c r="AI441" s="516"/>
      <c r="AJ441" s="516"/>
      <c r="AK441" s="516"/>
      <c r="AL441" s="544"/>
      <c r="AM441" s="544"/>
    </row>
    <row r="442" spans="3:39" ht="18" customHeight="1">
      <c r="C442" s="516">
        <v>422</v>
      </c>
      <c r="D442" s="516" t="s">
        <v>2863</v>
      </c>
      <c r="E442" s="516">
        <f t="shared" si="8"/>
        <v>399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 t="s">
        <v>62</v>
      </c>
      <c r="S442" s="516" t="s">
        <v>548</v>
      </c>
      <c r="T442" s="516"/>
      <c r="U442" s="516" t="s">
        <v>874</v>
      </c>
      <c r="V442" s="538" t="s">
        <v>344</v>
      </c>
      <c r="W442" s="541" t="s">
        <v>2865</v>
      </c>
      <c r="X442" s="516" t="s">
        <v>876</v>
      </c>
      <c r="Y442" s="542">
        <v>33996</v>
      </c>
      <c r="Z442" s="543">
        <f t="shared" ca="1" si="9"/>
        <v>33</v>
      </c>
      <c r="AA442" s="534" t="s">
        <v>2866</v>
      </c>
      <c r="AB442" s="516" t="s">
        <v>2867</v>
      </c>
      <c r="AC442" s="516" t="s">
        <v>842</v>
      </c>
      <c r="AD442" s="516" t="s">
        <v>851</v>
      </c>
      <c r="AE442" s="534" t="s">
        <v>815</v>
      </c>
      <c r="AF442" s="606" t="s">
        <v>815</v>
      </c>
      <c r="AG442" s="534" t="s">
        <v>2868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2869</v>
      </c>
      <c r="E443" s="516">
        <f t="shared" si="8"/>
        <v>400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408</v>
      </c>
      <c r="W443" s="541" t="s">
        <v>2870</v>
      </c>
      <c r="X443" s="516" t="s">
        <v>876</v>
      </c>
      <c r="Y443" s="542">
        <v>36875</v>
      </c>
      <c r="Z443" s="543">
        <f t="shared" ca="1" si="9"/>
        <v>25</v>
      </c>
      <c r="AA443" s="534" t="s">
        <v>2591</v>
      </c>
      <c r="AB443" s="516" t="s">
        <v>2871</v>
      </c>
      <c r="AC443" s="516" t="s">
        <v>842</v>
      </c>
      <c r="AD443" s="516" t="s">
        <v>794</v>
      </c>
      <c r="AE443" s="534" t="s">
        <v>815</v>
      </c>
      <c r="AF443" s="534" t="s">
        <v>2872</v>
      </c>
      <c r="AG443" s="534" t="s">
        <v>2873</v>
      </c>
      <c r="AH443" s="516"/>
      <c r="AI443" s="516"/>
      <c r="AJ443" s="516"/>
      <c r="AK443" s="516"/>
      <c r="AL443" s="544"/>
      <c r="AM443" s="544"/>
    </row>
    <row r="444" spans="3:39" ht="18" customHeight="1">
      <c r="C444" s="516">
        <v>424</v>
      </c>
      <c r="D444" s="516" t="s">
        <v>2874</v>
      </c>
      <c r="E444" s="516">
        <f t="shared" si="8"/>
        <v>401</v>
      </c>
      <c r="F444" s="534" t="s">
        <v>981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/>
      <c r="R444" s="516"/>
      <c r="S444" s="516"/>
      <c r="T444" s="516"/>
      <c r="U444" s="516" t="s">
        <v>788</v>
      </c>
      <c r="V444" s="538" t="s">
        <v>2875</v>
      </c>
      <c r="W444" s="541" t="s">
        <v>2876</v>
      </c>
      <c r="X444" s="516" t="s">
        <v>876</v>
      </c>
      <c r="Y444" s="542">
        <v>35773</v>
      </c>
      <c r="Z444" s="543">
        <f t="shared" ca="1" si="9"/>
        <v>28</v>
      </c>
      <c r="AA444" s="534"/>
      <c r="AB444" s="516" t="s">
        <v>2877</v>
      </c>
      <c r="AC444" s="516" t="s">
        <v>842</v>
      </c>
      <c r="AD444" s="516" t="s">
        <v>851</v>
      </c>
      <c r="AE444" s="534" t="s">
        <v>815</v>
      </c>
      <c r="AF444" s="534" t="s">
        <v>815</v>
      </c>
      <c r="AG444" s="534" t="s">
        <v>2878</v>
      </c>
      <c r="AH444" s="516"/>
      <c r="AI444" s="516"/>
      <c r="AJ444" s="516" t="s">
        <v>1535</v>
      </c>
      <c r="AK444" s="516"/>
      <c r="AL444" s="544"/>
      <c r="AM444" s="544"/>
    </row>
    <row r="445" spans="3:39" ht="18" customHeight="1">
      <c r="C445" s="516">
        <v>425</v>
      </c>
      <c r="D445" s="516" t="s">
        <v>2879</v>
      </c>
      <c r="E445" s="516">
        <f t="shared" si="8"/>
        <v>402</v>
      </c>
      <c r="F445" s="534" t="s">
        <v>811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358</v>
      </c>
      <c r="W445" s="541" t="s">
        <v>2880</v>
      </c>
      <c r="X445" s="516" t="s">
        <v>876</v>
      </c>
      <c r="Y445" s="542">
        <v>35880</v>
      </c>
      <c r="Z445" s="543">
        <f t="shared" ca="1" si="9"/>
        <v>27</v>
      </c>
      <c r="AA445" s="534" t="s">
        <v>2881</v>
      </c>
      <c r="AB445" s="516" t="s">
        <v>2882</v>
      </c>
      <c r="AC445" s="516" t="s">
        <v>842</v>
      </c>
      <c r="AD445" s="516" t="s">
        <v>843</v>
      </c>
      <c r="AE445" s="534" t="s">
        <v>809</v>
      </c>
      <c r="AF445" s="534" t="s">
        <v>1400</v>
      </c>
      <c r="AG445" s="534" t="s">
        <v>2883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426</v>
      </c>
      <c r="D446" s="516" t="s">
        <v>2884</v>
      </c>
      <c r="E446" s="516">
        <f t="shared" si="8"/>
        <v>403</v>
      </c>
      <c r="F446" s="534" t="s">
        <v>811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371</v>
      </c>
      <c r="W446" s="541" t="s">
        <v>2885</v>
      </c>
      <c r="X446" s="516" t="s">
        <v>876</v>
      </c>
      <c r="Y446" s="542">
        <v>36847</v>
      </c>
      <c r="Z446" s="543">
        <f t="shared" ca="1" si="9"/>
        <v>25</v>
      </c>
      <c r="AA446" s="534" t="s">
        <v>2886</v>
      </c>
      <c r="AB446" s="516" t="s">
        <v>2887</v>
      </c>
      <c r="AC446" s="516" t="s">
        <v>842</v>
      </c>
      <c r="AD446" s="516" t="s">
        <v>843</v>
      </c>
      <c r="AE446" s="534" t="s">
        <v>815</v>
      </c>
      <c r="AF446" s="534" t="s">
        <v>1400</v>
      </c>
      <c r="AG446" s="534" t="s">
        <v>2888</v>
      </c>
      <c r="AH446" s="516"/>
      <c r="AI446" s="516"/>
      <c r="AJ446" s="516" t="s">
        <v>1497</v>
      </c>
      <c r="AK446" s="516"/>
      <c r="AL446" s="544"/>
      <c r="AM446" s="544"/>
    </row>
    <row r="447" spans="3:39" ht="18" customHeight="1">
      <c r="C447" s="516">
        <v>427</v>
      </c>
      <c r="D447" s="516" t="s">
        <v>2889</v>
      </c>
      <c r="E447" s="516">
        <f t="shared" si="8"/>
        <v>404</v>
      </c>
      <c r="F447" s="534" t="s">
        <v>811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38" t="s">
        <v>2864</v>
      </c>
      <c r="Q447" s="539" t="s">
        <v>308</v>
      </c>
      <c r="R447" s="516"/>
      <c r="S447" s="516"/>
      <c r="T447" s="516"/>
      <c r="U447" s="516" t="s">
        <v>788</v>
      </c>
      <c r="V447" s="538" t="s">
        <v>384</v>
      </c>
      <c r="W447" s="541" t="s">
        <v>2890</v>
      </c>
      <c r="X447" s="516" t="s">
        <v>876</v>
      </c>
      <c r="Y447" s="542">
        <v>36970</v>
      </c>
      <c r="Z447" s="543">
        <f t="shared" ca="1" si="9"/>
        <v>24</v>
      </c>
      <c r="AA447" s="534" t="s">
        <v>2891</v>
      </c>
      <c r="AB447" s="516" t="s">
        <v>2892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1273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428</v>
      </c>
      <c r="D448" s="516" t="s">
        <v>2893</v>
      </c>
      <c r="E448" s="516">
        <f t="shared" si="8"/>
        <v>405</v>
      </c>
      <c r="F448" s="534" t="s">
        <v>811</v>
      </c>
      <c r="G448" s="534" t="s">
        <v>2584</v>
      </c>
      <c r="H448" s="535" t="s">
        <v>1144</v>
      </c>
      <c r="I448" s="535" t="s">
        <v>107</v>
      </c>
      <c r="J448" s="535" t="s">
        <v>1144</v>
      </c>
      <c r="K448" s="535" t="s">
        <v>2814</v>
      </c>
      <c r="L448" s="535" t="s">
        <v>2863</v>
      </c>
      <c r="M448" s="536"/>
      <c r="N448" s="537"/>
      <c r="O448" s="537"/>
      <c r="P448" s="559" t="s">
        <v>2864</v>
      </c>
      <c r="Q448" s="539" t="s">
        <v>308</v>
      </c>
      <c r="R448" s="516"/>
      <c r="S448" s="516"/>
      <c r="T448" s="516"/>
      <c r="U448" s="516" t="s">
        <v>788</v>
      </c>
      <c r="V448" s="559" t="s">
        <v>396</v>
      </c>
      <c r="W448" s="541" t="s">
        <v>2894</v>
      </c>
      <c r="X448" s="516" t="s">
        <v>876</v>
      </c>
      <c r="Y448" s="542">
        <v>37663</v>
      </c>
      <c r="Z448" s="543">
        <f t="shared" ca="1" si="9"/>
        <v>22</v>
      </c>
      <c r="AA448" s="534" t="s">
        <v>2895</v>
      </c>
      <c r="AB448" s="516" t="s">
        <v>2896</v>
      </c>
      <c r="AC448" s="516" t="s">
        <v>842</v>
      </c>
      <c r="AD448" s="516" t="s">
        <v>843</v>
      </c>
      <c r="AE448" s="534" t="s">
        <v>815</v>
      </c>
      <c r="AF448" s="534" t="s">
        <v>815</v>
      </c>
      <c r="AG448" s="534" t="s">
        <v>2897</v>
      </c>
      <c r="AH448" s="516"/>
      <c r="AI448" s="516"/>
      <c r="AJ448" s="569" t="s">
        <v>1224</v>
      </c>
      <c r="AK448" s="516"/>
      <c r="AL448" s="544"/>
      <c r="AM448" s="544"/>
    </row>
    <row r="449" spans="3:39" ht="18" customHeight="1">
      <c r="C449" s="516">
        <v>429</v>
      </c>
      <c r="D449" s="516" t="s">
        <v>2898</v>
      </c>
      <c r="E449" s="516">
        <f t="shared" si="8"/>
        <v>406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48" t="s">
        <v>787</v>
      </c>
      <c r="Q449" s="539"/>
      <c r="R449" s="516" t="s">
        <v>982</v>
      </c>
      <c r="S449" s="516" t="s">
        <v>163</v>
      </c>
      <c r="T449" s="516"/>
      <c r="U449" s="516" t="s">
        <v>874</v>
      </c>
      <c r="V449" s="548" t="s">
        <v>456</v>
      </c>
      <c r="W449" s="541" t="s">
        <v>2899</v>
      </c>
      <c r="X449" s="516" t="s">
        <v>876</v>
      </c>
      <c r="Y449" s="542">
        <v>25002</v>
      </c>
      <c r="Z449" s="543">
        <f t="shared" ca="1" si="9"/>
        <v>57</v>
      </c>
      <c r="AA449" s="534" t="s">
        <v>2900</v>
      </c>
      <c r="AB449" s="516" t="s">
        <v>2901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2902</v>
      </c>
      <c r="E450" s="516">
        <f t="shared" si="8"/>
        <v>407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463</v>
      </c>
      <c r="W450" s="541" t="s">
        <v>2903</v>
      </c>
      <c r="X450" s="516" t="s">
        <v>876</v>
      </c>
      <c r="Y450" s="542">
        <v>19177</v>
      </c>
      <c r="Z450" s="543">
        <f t="shared" ca="1" si="9"/>
        <v>73</v>
      </c>
      <c r="AA450" s="534" t="s">
        <v>2904</v>
      </c>
      <c r="AB450" s="516" t="s">
        <v>2905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2906</v>
      </c>
      <c r="E451" s="516">
        <f t="shared" si="8"/>
        <v>408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168</v>
      </c>
      <c r="T451" s="516"/>
      <c r="U451" s="516" t="s">
        <v>898</v>
      </c>
      <c r="V451" s="538" t="s">
        <v>470</v>
      </c>
      <c r="W451" s="541" t="s">
        <v>2907</v>
      </c>
      <c r="X451" s="516" t="s">
        <v>876</v>
      </c>
      <c r="Y451" s="542">
        <v>18523</v>
      </c>
      <c r="Z451" s="543">
        <f t="shared" ca="1" si="9"/>
        <v>75</v>
      </c>
      <c r="AA451" s="534" t="s">
        <v>2908</v>
      </c>
      <c r="AB451" s="516" t="s">
        <v>2909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2910</v>
      </c>
      <c r="E452" s="516">
        <f t="shared" si="8"/>
        <v>409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49</v>
      </c>
      <c r="T452" s="516"/>
      <c r="U452" s="516" t="s">
        <v>874</v>
      </c>
      <c r="V452" s="538" t="s">
        <v>473</v>
      </c>
      <c r="W452" s="541" t="s">
        <v>2911</v>
      </c>
      <c r="X452" s="516" t="s">
        <v>876</v>
      </c>
      <c r="Y452" s="542">
        <v>22938</v>
      </c>
      <c r="Z452" s="543">
        <f t="shared" ca="1" si="9"/>
        <v>63</v>
      </c>
      <c r="AA452" s="534" t="s">
        <v>2912</v>
      </c>
      <c r="AB452" s="516" t="s">
        <v>2913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2914</v>
      </c>
      <c r="E453" s="516">
        <f t="shared" si="8"/>
        <v>410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38" t="s">
        <v>787</v>
      </c>
      <c r="Q453" s="539"/>
      <c r="R453" s="516" t="s">
        <v>49</v>
      </c>
      <c r="S453" s="516" t="s">
        <v>168</v>
      </c>
      <c r="T453" s="516"/>
      <c r="U453" s="516" t="s">
        <v>874</v>
      </c>
      <c r="V453" s="538" t="s">
        <v>478</v>
      </c>
      <c r="W453" s="541" t="s">
        <v>2915</v>
      </c>
      <c r="X453" s="516" t="s">
        <v>876</v>
      </c>
      <c r="Y453" s="542">
        <v>23418</v>
      </c>
      <c r="Z453" s="543">
        <f t="shared" ca="1" si="9"/>
        <v>61</v>
      </c>
      <c r="AA453" s="534" t="s">
        <v>2916</v>
      </c>
      <c r="AB453" s="516" t="s">
        <v>2917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2918</v>
      </c>
      <c r="E454" s="516">
        <f t="shared" si="8"/>
        <v>411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2898</v>
      </c>
      <c r="L454" s="535" t="s">
        <v>786</v>
      </c>
      <c r="M454" s="536"/>
      <c r="N454" s="537"/>
      <c r="O454" s="537"/>
      <c r="P454" s="559" t="s">
        <v>787</v>
      </c>
      <c r="Q454" s="539"/>
      <c r="R454" s="516" t="s">
        <v>163</v>
      </c>
      <c r="S454" s="516" t="s">
        <v>500</v>
      </c>
      <c r="T454" s="516"/>
      <c r="U454" s="516" t="s">
        <v>874</v>
      </c>
      <c r="V454" s="559" t="s">
        <v>498</v>
      </c>
      <c r="W454" s="541" t="s">
        <v>2919</v>
      </c>
      <c r="X454" s="516" t="s">
        <v>876</v>
      </c>
      <c r="Y454" s="542">
        <v>22147</v>
      </c>
      <c r="Z454" s="543">
        <f t="shared" ca="1" si="9"/>
        <v>65</v>
      </c>
      <c r="AA454" s="534" t="s">
        <v>2920</v>
      </c>
      <c r="AB454" s="516" t="s">
        <v>2921</v>
      </c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987</v>
      </c>
      <c r="E455" s="516">
        <f t="shared" si="8"/>
        <v>411</v>
      </c>
      <c r="F455" s="534"/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48" t="s">
        <v>828</v>
      </c>
      <c r="Q455" s="539"/>
      <c r="R455" s="516" t="s">
        <v>49</v>
      </c>
      <c r="S455" s="516" t="s">
        <v>49</v>
      </c>
      <c r="T455" s="516"/>
      <c r="U455" s="516"/>
      <c r="V455" s="548" t="s">
        <v>75</v>
      </c>
      <c r="W455" s="541" t="s">
        <v>988</v>
      </c>
      <c r="X455" s="516" t="s">
        <v>790</v>
      </c>
      <c r="Y455" s="542">
        <v>19202</v>
      </c>
      <c r="Z455" s="543">
        <f t="shared" ca="1" si="9"/>
        <v>73</v>
      </c>
      <c r="AA455" s="534" t="s">
        <v>989</v>
      </c>
      <c r="AB455" s="516" t="s">
        <v>2924</v>
      </c>
      <c r="AC455" s="516" t="s">
        <v>802</v>
      </c>
      <c r="AD455" s="516" t="s">
        <v>794</v>
      </c>
      <c r="AE455" s="534" t="s">
        <v>809</v>
      </c>
      <c r="AF455" s="534" t="s">
        <v>795</v>
      </c>
      <c r="AG455" s="534" t="s">
        <v>804</v>
      </c>
      <c r="AH455" s="516" t="s">
        <v>872</v>
      </c>
      <c r="AI455" s="516"/>
      <c r="AJ455" s="516"/>
      <c r="AK455" s="516"/>
      <c r="AL455" s="544"/>
      <c r="AM455" s="544"/>
    </row>
    <row r="456" spans="3:39" ht="18" customHeight="1">
      <c r="C456" s="516">
        <v>436</v>
      </c>
      <c r="D456" s="516" t="s">
        <v>2922</v>
      </c>
      <c r="E456" s="516">
        <f t="shared" si="8"/>
        <v>412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464</v>
      </c>
      <c r="W456" s="541" t="s">
        <v>2925</v>
      </c>
      <c r="X456" s="516" t="s">
        <v>790</v>
      </c>
      <c r="Y456" s="542">
        <v>19613</v>
      </c>
      <c r="Z456" s="543">
        <f t="shared" ca="1" si="9"/>
        <v>72</v>
      </c>
      <c r="AA456" s="534" t="s">
        <v>2926</v>
      </c>
      <c r="AB456" s="516" t="s">
        <v>2927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34" t="s">
        <v>865</v>
      </c>
      <c r="AH456" s="516"/>
      <c r="AI456" s="516"/>
      <c r="AJ456" s="516"/>
      <c r="AK456" s="516"/>
      <c r="AL456" s="544"/>
      <c r="AM456" s="544"/>
    </row>
    <row r="457" spans="3:39" ht="18" customHeight="1">
      <c r="C457" s="516">
        <v>437</v>
      </c>
      <c r="D457" s="516" t="s">
        <v>2923</v>
      </c>
      <c r="E457" s="516">
        <f t="shared" si="8"/>
        <v>413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 t="s">
        <v>62</v>
      </c>
      <c r="S457" s="516" t="s">
        <v>62</v>
      </c>
      <c r="T457" s="516"/>
      <c r="U457" s="516" t="s">
        <v>898</v>
      </c>
      <c r="V457" s="538" t="s">
        <v>2928</v>
      </c>
      <c r="W457" s="541" t="s">
        <v>2929</v>
      </c>
      <c r="X457" s="516" t="s">
        <v>790</v>
      </c>
      <c r="Y457" s="542">
        <v>19281</v>
      </c>
      <c r="Z457" s="543">
        <f t="shared" ca="1" si="9"/>
        <v>73</v>
      </c>
      <c r="AA457" s="534" t="s">
        <v>2930</v>
      </c>
      <c r="AB457" s="516" t="s">
        <v>2931</v>
      </c>
      <c r="AC457" s="516" t="s">
        <v>802</v>
      </c>
      <c r="AD457" s="516" t="s">
        <v>794</v>
      </c>
      <c r="AE457" s="534" t="s">
        <v>236</v>
      </c>
      <c r="AF457" s="534" t="s">
        <v>236</v>
      </c>
      <c r="AG457" s="574" t="s">
        <v>743</v>
      </c>
      <c r="AH457" s="516"/>
      <c r="AI457" s="516"/>
      <c r="AJ457" s="516" t="s">
        <v>844</v>
      </c>
      <c r="AK457" s="516"/>
      <c r="AL457" s="544"/>
      <c r="AM457" s="544"/>
    </row>
    <row r="458" spans="3:39" ht="18" customHeight="1">
      <c r="C458" s="516">
        <v>438</v>
      </c>
      <c r="D458" s="516" t="s">
        <v>2932</v>
      </c>
      <c r="E458" s="516">
        <f t="shared" si="8"/>
        <v>414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474</v>
      </c>
      <c r="W458" s="541" t="s">
        <v>2933</v>
      </c>
      <c r="X458" s="516" t="s">
        <v>790</v>
      </c>
      <c r="Y458" s="542">
        <v>30981</v>
      </c>
      <c r="Z458" s="543">
        <f t="shared" ca="1" si="9"/>
        <v>41</v>
      </c>
      <c r="AA458" s="594" t="s">
        <v>2934</v>
      </c>
      <c r="AB458" s="516" t="s">
        <v>2935</v>
      </c>
      <c r="AC458" s="516" t="s">
        <v>2936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/>
      <c r="AK458" s="516"/>
      <c r="AL458" s="544"/>
      <c r="AM458" s="544"/>
    </row>
    <row r="459" spans="3:39" ht="18" customHeight="1">
      <c r="C459" s="516">
        <v>439</v>
      </c>
      <c r="D459" s="516" t="s">
        <v>2937</v>
      </c>
      <c r="E459" s="516">
        <f t="shared" si="8"/>
        <v>415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2938</v>
      </c>
      <c r="W459" s="541" t="s">
        <v>2939</v>
      </c>
      <c r="X459" s="516" t="s">
        <v>790</v>
      </c>
      <c r="Y459" s="542">
        <v>26339</v>
      </c>
      <c r="Z459" s="543">
        <f t="shared" ca="1" si="9"/>
        <v>53</v>
      </c>
      <c r="AA459" s="534" t="s">
        <v>2940</v>
      </c>
      <c r="AB459" s="516" t="s">
        <v>2941</v>
      </c>
      <c r="AC459" s="516" t="s">
        <v>802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/>
      <c r="AI459" s="516"/>
      <c r="AJ459" s="516" t="s">
        <v>832</v>
      </c>
      <c r="AK459" s="516"/>
      <c r="AL459" s="544"/>
      <c r="AM459" s="544"/>
    </row>
    <row r="460" spans="3:39" ht="18" customHeight="1">
      <c r="C460" s="516">
        <v>440</v>
      </c>
      <c r="D460" s="516" t="s">
        <v>2942</v>
      </c>
      <c r="E460" s="516">
        <f t="shared" si="8"/>
        <v>416</v>
      </c>
      <c r="F460" s="534" t="s">
        <v>1822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2943</v>
      </c>
      <c r="W460" s="541" t="s">
        <v>2944</v>
      </c>
      <c r="X460" s="516" t="s">
        <v>790</v>
      </c>
      <c r="Y460" s="542">
        <v>22088</v>
      </c>
      <c r="Z460" s="543">
        <f t="shared" ca="1" si="9"/>
        <v>65</v>
      </c>
      <c r="AA460" s="534" t="s">
        <v>2945</v>
      </c>
      <c r="AB460" s="516" t="s">
        <v>2946</v>
      </c>
      <c r="AC460" s="516" t="s">
        <v>842</v>
      </c>
      <c r="AD460" s="516" t="s">
        <v>851</v>
      </c>
      <c r="AE460" s="534" t="s">
        <v>809</v>
      </c>
      <c r="AF460" s="534" t="s">
        <v>809</v>
      </c>
      <c r="AG460" s="534" t="s">
        <v>2085</v>
      </c>
      <c r="AH460" s="516"/>
      <c r="AI460" s="516"/>
      <c r="AJ460" s="516" t="s">
        <v>844</v>
      </c>
      <c r="AK460" s="516" t="s">
        <v>1863</v>
      </c>
      <c r="AL460" s="544"/>
      <c r="AM460" s="544"/>
    </row>
    <row r="461" spans="3:39" ht="18" customHeight="1">
      <c r="C461" s="516">
        <v>441</v>
      </c>
      <c r="D461" s="516" t="s">
        <v>2947</v>
      </c>
      <c r="E461" s="516">
        <f t="shared" si="8"/>
        <v>417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2948</v>
      </c>
      <c r="W461" s="541" t="s">
        <v>2949</v>
      </c>
      <c r="X461" s="516" t="s">
        <v>790</v>
      </c>
      <c r="Y461" s="542">
        <v>31482</v>
      </c>
      <c r="Z461" s="543">
        <f t="shared" ca="1" si="9"/>
        <v>39</v>
      </c>
      <c r="AA461" s="594" t="s">
        <v>2950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236</v>
      </c>
      <c r="AG461" s="534" t="s">
        <v>865</v>
      </c>
      <c r="AH461" s="516"/>
      <c r="AI461" s="516" t="s">
        <v>2951</v>
      </c>
      <c r="AJ461" s="516"/>
      <c r="AK461" s="516" t="s">
        <v>860</v>
      </c>
      <c r="AL461" s="544"/>
      <c r="AM461" s="544"/>
    </row>
    <row r="462" spans="3:39" ht="18" customHeight="1">
      <c r="C462" s="516">
        <v>442</v>
      </c>
      <c r="D462" s="516" t="s">
        <v>2952</v>
      </c>
      <c r="E462" s="516">
        <f t="shared" si="8"/>
        <v>418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2953</v>
      </c>
      <c r="W462" s="541" t="s">
        <v>2954</v>
      </c>
      <c r="X462" s="516" t="s">
        <v>790</v>
      </c>
      <c r="Y462" s="542">
        <v>32188</v>
      </c>
      <c r="Z462" s="543">
        <f t="shared" ca="1" si="9"/>
        <v>37</v>
      </c>
      <c r="AA462" s="534" t="s">
        <v>2955</v>
      </c>
      <c r="AB462" s="516"/>
      <c r="AC462" s="516" t="s">
        <v>842</v>
      </c>
      <c r="AD462" s="516" t="s">
        <v>843</v>
      </c>
      <c r="AE462" s="534" t="s">
        <v>236</v>
      </c>
      <c r="AF462" s="534" t="s">
        <v>2529</v>
      </c>
      <c r="AG462" s="534" t="s">
        <v>1289</v>
      </c>
      <c r="AH462" s="516"/>
      <c r="AI462" s="516" t="s">
        <v>2951</v>
      </c>
      <c r="AJ462" s="516" t="s">
        <v>844</v>
      </c>
      <c r="AK462" s="516" t="s">
        <v>860</v>
      </c>
      <c r="AL462" s="544"/>
      <c r="AM462" s="544"/>
    </row>
    <row r="463" spans="3:39" ht="18" customHeight="1">
      <c r="C463" s="516">
        <v>443</v>
      </c>
      <c r="D463" s="516" t="s">
        <v>2956</v>
      </c>
      <c r="E463" s="516">
        <f t="shared" si="8"/>
        <v>419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38" t="s">
        <v>828</v>
      </c>
      <c r="Q463" s="539"/>
      <c r="R463" s="516"/>
      <c r="S463" s="516"/>
      <c r="T463" s="516"/>
      <c r="U463" s="516" t="s">
        <v>799</v>
      </c>
      <c r="V463" s="538" t="s">
        <v>2957</v>
      </c>
      <c r="W463" s="541" t="s">
        <v>2958</v>
      </c>
      <c r="X463" s="516" t="s">
        <v>790</v>
      </c>
      <c r="Y463" s="542">
        <v>26922</v>
      </c>
      <c r="Z463" s="543">
        <f t="shared" ca="1" si="9"/>
        <v>52</v>
      </c>
      <c r="AA463" s="534" t="s">
        <v>2959</v>
      </c>
      <c r="AB463" s="516" t="s">
        <v>2960</v>
      </c>
      <c r="AC463" s="516" t="s">
        <v>842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444</v>
      </c>
      <c r="D464" s="516" t="s">
        <v>2961</v>
      </c>
      <c r="E464" s="516">
        <f t="shared" si="8"/>
        <v>420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987</v>
      </c>
      <c r="L464" s="535" t="s">
        <v>2922</v>
      </c>
      <c r="M464" s="536" t="s">
        <v>2923</v>
      </c>
      <c r="N464" s="537"/>
      <c r="O464" s="537"/>
      <c r="P464" s="559" t="s">
        <v>828</v>
      </c>
      <c r="Q464" s="539"/>
      <c r="R464" s="516"/>
      <c r="S464" s="516"/>
      <c r="T464" s="516"/>
      <c r="U464" s="516" t="s">
        <v>799</v>
      </c>
      <c r="V464" s="559" t="s">
        <v>2962</v>
      </c>
      <c r="W464" s="541" t="s">
        <v>2963</v>
      </c>
      <c r="X464" s="516" t="s">
        <v>790</v>
      </c>
      <c r="Y464" s="542">
        <v>27828</v>
      </c>
      <c r="Z464" s="543">
        <f t="shared" ca="1" si="9"/>
        <v>49</v>
      </c>
      <c r="AA464" s="534" t="s">
        <v>2964</v>
      </c>
      <c r="AB464" s="516"/>
      <c r="AC464" s="516" t="s">
        <v>842</v>
      </c>
      <c r="AD464" s="516" t="s">
        <v>851</v>
      </c>
      <c r="AE464" s="534" t="s">
        <v>236</v>
      </c>
      <c r="AF464" s="534" t="s">
        <v>236</v>
      </c>
      <c r="AG464" s="534" t="s">
        <v>865</v>
      </c>
      <c r="AH464" s="516"/>
      <c r="AI464" s="516" t="s">
        <v>2951</v>
      </c>
      <c r="AJ464" s="516"/>
      <c r="AK464" s="516" t="s">
        <v>860</v>
      </c>
      <c r="AL464" s="544"/>
      <c r="AM464" s="544"/>
    </row>
    <row r="465" spans="3:39" ht="18" customHeight="1">
      <c r="C465" s="516">
        <v>445</v>
      </c>
      <c r="D465" s="516" t="s">
        <v>2965</v>
      </c>
      <c r="E465" s="516">
        <f t="shared" si="8"/>
        <v>421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48" t="s">
        <v>938</v>
      </c>
      <c r="Q465" s="539"/>
      <c r="R465" s="516" t="s">
        <v>49</v>
      </c>
      <c r="S465" s="516" t="s">
        <v>49</v>
      </c>
      <c r="T465" s="516"/>
      <c r="U465" s="516" t="s">
        <v>898</v>
      </c>
      <c r="V465" s="548" t="s">
        <v>457</v>
      </c>
      <c r="W465" s="541" t="s">
        <v>2968</v>
      </c>
      <c r="X465" s="516" t="s">
        <v>876</v>
      </c>
      <c r="Y465" s="542">
        <v>17838</v>
      </c>
      <c r="Z465" s="543">
        <f t="shared" ca="1" si="9"/>
        <v>77</v>
      </c>
      <c r="AA465" s="534" t="s">
        <v>2969</v>
      </c>
      <c r="AB465" s="516" t="s">
        <v>2970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2966</v>
      </c>
      <c r="E466" s="516">
        <f t="shared" si="8"/>
        <v>422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 t="s">
        <v>898</v>
      </c>
      <c r="V466" s="538" t="s">
        <v>465</v>
      </c>
      <c r="W466" s="541" t="s">
        <v>2971</v>
      </c>
      <c r="X466" s="516" t="s">
        <v>876</v>
      </c>
      <c r="Y466" s="542">
        <v>19108</v>
      </c>
      <c r="Z466" s="543">
        <f t="shared" ca="1" si="9"/>
        <v>73</v>
      </c>
      <c r="AA466" s="534" t="s">
        <v>2972</v>
      </c>
      <c r="AB466" s="516" t="s">
        <v>2973</v>
      </c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990</v>
      </c>
      <c r="E467" s="516">
        <f t="shared" si="8"/>
        <v>422</v>
      </c>
      <c r="F467" s="534"/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/>
      <c r="V467" s="538" t="s">
        <v>87</v>
      </c>
      <c r="W467" s="541" t="s">
        <v>991</v>
      </c>
      <c r="X467" s="516" t="s">
        <v>876</v>
      </c>
      <c r="Y467" s="542">
        <v>19466</v>
      </c>
      <c r="Z467" s="543">
        <f t="shared" ca="1" si="9"/>
        <v>72</v>
      </c>
      <c r="AA467" s="534" t="s">
        <v>992</v>
      </c>
      <c r="AB467" s="516" t="s">
        <v>993</v>
      </c>
      <c r="AC467" s="516" t="s">
        <v>802</v>
      </c>
      <c r="AD467" s="516" t="s">
        <v>794</v>
      </c>
      <c r="AE467" s="534" t="s">
        <v>809</v>
      </c>
      <c r="AF467" s="534" t="s">
        <v>795</v>
      </c>
      <c r="AG467" s="534" t="s">
        <v>804</v>
      </c>
      <c r="AH467" s="516" t="s">
        <v>872</v>
      </c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2967</v>
      </c>
      <c r="E468" s="516">
        <f t="shared" si="8"/>
        <v>423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 t="s">
        <v>62</v>
      </c>
      <c r="S468" s="516" t="s">
        <v>62</v>
      </c>
      <c r="T468" s="516"/>
      <c r="U468" s="516" t="s">
        <v>874</v>
      </c>
      <c r="V468" s="538" t="s">
        <v>475</v>
      </c>
      <c r="W468" s="541" t="s">
        <v>2974</v>
      </c>
      <c r="X468" s="516" t="s">
        <v>876</v>
      </c>
      <c r="Y468" s="542">
        <v>22921</v>
      </c>
      <c r="Z468" s="543">
        <f t="shared" ca="1" si="9"/>
        <v>63</v>
      </c>
      <c r="AA468" s="534" t="s">
        <v>2975</v>
      </c>
      <c r="AB468" s="516" t="s">
        <v>2976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2977</v>
      </c>
      <c r="E469" s="516">
        <f t="shared" si="8"/>
        <v>424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479</v>
      </c>
      <c r="W469" s="541" t="s">
        <v>2978</v>
      </c>
      <c r="X469" s="516" t="s">
        <v>876</v>
      </c>
      <c r="Y469" s="542">
        <v>18123</v>
      </c>
      <c r="Z469" s="543">
        <f t="shared" ca="1" si="9"/>
        <v>76</v>
      </c>
      <c r="AA469" s="534" t="s">
        <v>2979</v>
      </c>
      <c r="AB469" s="516" t="s">
        <v>2980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2981</v>
      </c>
      <c r="E470" s="516">
        <f t="shared" si="8"/>
        <v>425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898</v>
      </c>
      <c r="V470" s="538" t="s">
        <v>485</v>
      </c>
      <c r="W470" s="541" t="s">
        <v>2982</v>
      </c>
      <c r="X470" s="516" t="s">
        <v>876</v>
      </c>
      <c r="Y470" s="542">
        <v>20191</v>
      </c>
      <c r="Z470" s="543">
        <f t="shared" ca="1" si="9"/>
        <v>70</v>
      </c>
      <c r="AA470" s="534">
        <v>77774810054</v>
      </c>
      <c r="AB470" s="516" t="s">
        <v>2983</v>
      </c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2984</v>
      </c>
      <c r="E471" s="516">
        <f t="shared" si="8"/>
        <v>426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486</v>
      </c>
      <c r="W471" s="541" t="s">
        <v>2985</v>
      </c>
      <c r="X471" s="516" t="s">
        <v>876</v>
      </c>
      <c r="Y471" s="542">
        <v>20487</v>
      </c>
      <c r="Z471" s="543">
        <f t="shared" ca="1" si="9"/>
        <v>69</v>
      </c>
      <c r="AA471" s="534" t="s">
        <v>2986</v>
      </c>
      <c r="AB471" s="628"/>
      <c r="AC471" s="516" t="s">
        <v>842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/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2989</v>
      </c>
      <c r="E472" s="516">
        <f t="shared" si="8"/>
        <v>427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2990</v>
      </c>
      <c r="W472" s="541" t="s">
        <v>2991</v>
      </c>
      <c r="X472" s="516" t="s">
        <v>876</v>
      </c>
      <c r="Y472" s="542">
        <v>26857</v>
      </c>
      <c r="Z472" s="543">
        <f t="shared" ca="1" si="9"/>
        <v>52</v>
      </c>
      <c r="AA472" s="534" t="s">
        <v>2992</v>
      </c>
      <c r="AB472" s="571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2951</v>
      </c>
      <c r="AJ472" s="516"/>
      <c r="AK472" s="516" t="s">
        <v>860</v>
      </c>
      <c r="AL472" s="544"/>
      <c r="AM472" s="544"/>
    </row>
    <row r="473" spans="3:39" ht="18" customHeight="1">
      <c r="C473" s="516">
        <v>453</v>
      </c>
      <c r="D473" s="516" t="s">
        <v>2993</v>
      </c>
      <c r="E473" s="516">
        <f t="shared" si="8"/>
        <v>428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38" t="s">
        <v>938</v>
      </c>
      <c r="Q473" s="539"/>
      <c r="R473" s="516"/>
      <c r="S473" s="516"/>
      <c r="T473" s="516"/>
      <c r="U473" s="516" t="s">
        <v>874</v>
      </c>
      <c r="V473" s="538" t="s">
        <v>2994</v>
      </c>
      <c r="W473" s="541" t="s">
        <v>2995</v>
      </c>
      <c r="X473" s="516" t="s">
        <v>876</v>
      </c>
      <c r="Y473" s="542">
        <v>27734</v>
      </c>
      <c r="Z473" s="543">
        <f t="shared" ca="1" si="9"/>
        <v>50</v>
      </c>
      <c r="AA473" s="534" t="s">
        <v>2996</v>
      </c>
      <c r="AB473" s="516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 t="s">
        <v>1571</v>
      </c>
      <c r="AI473" s="516" t="s">
        <v>4259</v>
      </c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2998</v>
      </c>
      <c r="E474" s="516">
        <f t="shared" si="8"/>
        <v>429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2965</v>
      </c>
      <c r="L474" s="535" t="s">
        <v>2966</v>
      </c>
      <c r="M474" s="536" t="s">
        <v>990</v>
      </c>
      <c r="N474" s="537" t="s">
        <v>2967</v>
      </c>
      <c r="O474" s="537"/>
      <c r="P474" s="559" t="s">
        <v>938</v>
      </c>
      <c r="Q474" s="539"/>
      <c r="R474" s="516"/>
      <c r="S474" s="516"/>
      <c r="T474" s="516"/>
      <c r="U474" s="516" t="s">
        <v>788</v>
      </c>
      <c r="V474" s="559" t="s">
        <v>2999</v>
      </c>
      <c r="W474" s="541" t="s">
        <v>3000</v>
      </c>
      <c r="X474" s="516" t="s">
        <v>876</v>
      </c>
      <c r="Y474" s="542">
        <v>36934</v>
      </c>
      <c r="Z474" s="543">
        <f t="shared" ca="1" si="9"/>
        <v>24</v>
      </c>
      <c r="AA474" s="534" t="s">
        <v>3001</v>
      </c>
      <c r="AB474" s="571"/>
      <c r="AC474" s="516" t="s">
        <v>842</v>
      </c>
      <c r="AD474" s="516" t="s">
        <v>851</v>
      </c>
      <c r="AE474" s="534" t="s">
        <v>236</v>
      </c>
      <c r="AF474" s="534" t="s">
        <v>236</v>
      </c>
      <c r="AG474" s="534" t="s">
        <v>865</v>
      </c>
      <c r="AH474" s="516"/>
      <c r="AI474" s="516" t="s">
        <v>2951</v>
      </c>
      <c r="AJ474" s="516"/>
      <c r="AK474" s="516" t="s">
        <v>860</v>
      </c>
      <c r="AL474" s="544"/>
      <c r="AM474" s="544"/>
    </row>
    <row r="475" spans="3:39" ht="18" customHeight="1">
      <c r="C475" s="516">
        <v>455</v>
      </c>
      <c r="D475" s="516" t="s">
        <v>2902</v>
      </c>
      <c r="E475" s="516">
        <f t="shared" si="8"/>
        <v>429</v>
      </c>
      <c r="F475" s="534"/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48" t="s">
        <v>978</v>
      </c>
      <c r="Q475" s="539"/>
      <c r="R475" s="516" t="s">
        <v>49</v>
      </c>
      <c r="S475" s="516" t="s">
        <v>168</v>
      </c>
      <c r="T475" s="516"/>
      <c r="U475" s="516"/>
      <c r="V475" s="548" t="s">
        <v>463</v>
      </c>
      <c r="W475" s="541" t="s">
        <v>2903</v>
      </c>
      <c r="X475" s="516" t="s">
        <v>876</v>
      </c>
      <c r="Y475" s="542">
        <v>19031</v>
      </c>
      <c r="Z475" s="543">
        <f t="shared" ca="1" si="9"/>
        <v>73</v>
      </c>
      <c r="AA475" s="534" t="s">
        <v>2904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 t="s">
        <v>872</v>
      </c>
      <c r="AI475" s="516"/>
      <c r="AJ475" s="516"/>
      <c r="AK475" s="516"/>
      <c r="AL475" s="544"/>
      <c r="AM475" s="544"/>
    </row>
    <row r="476" spans="3:39" ht="18" customHeight="1">
      <c r="C476" s="516">
        <v>456</v>
      </c>
      <c r="D476" s="516" t="s">
        <v>3002</v>
      </c>
      <c r="E476" s="516">
        <f t="shared" si="8"/>
        <v>430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 t="s">
        <v>62</v>
      </c>
      <c r="S476" s="516" t="s">
        <v>62</v>
      </c>
      <c r="T476" s="516"/>
      <c r="U476" s="516" t="s">
        <v>874</v>
      </c>
      <c r="V476" s="538" t="s">
        <v>3003</v>
      </c>
      <c r="W476" s="541" t="s">
        <v>3004</v>
      </c>
      <c r="X476" s="516" t="s">
        <v>876</v>
      </c>
      <c r="Y476" s="542">
        <v>20886</v>
      </c>
      <c r="Z476" s="543">
        <f t="shared" ca="1" si="9"/>
        <v>68</v>
      </c>
      <c r="AA476" s="594" t="s">
        <v>3005</v>
      </c>
      <c r="AB476" s="516" t="s">
        <v>3006</v>
      </c>
      <c r="AC476" s="516" t="s">
        <v>842</v>
      </c>
      <c r="AD476" s="516" t="s">
        <v>851</v>
      </c>
      <c r="AE476" s="534" t="s">
        <v>236</v>
      </c>
      <c r="AF476" s="534" t="s">
        <v>236</v>
      </c>
      <c r="AG476" s="574" t="s">
        <v>743</v>
      </c>
      <c r="AH476" s="516"/>
      <c r="AI476" s="516"/>
      <c r="AJ476" s="516" t="s">
        <v>1535</v>
      </c>
      <c r="AK476" s="516"/>
      <c r="AL476" s="544"/>
      <c r="AM476" s="544"/>
    </row>
    <row r="477" spans="3:39" ht="18" customHeight="1">
      <c r="C477" s="516">
        <v>457</v>
      </c>
      <c r="D477" s="516" t="s">
        <v>3007</v>
      </c>
      <c r="E477" s="516">
        <f t="shared" si="8"/>
        <v>431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898</v>
      </c>
      <c r="V477" s="538" t="s">
        <v>3008</v>
      </c>
      <c r="W477" s="541" t="s">
        <v>3009</v>
      </c>
      <c r="X477" s="516" t="s">
        <v>876</v>
      </c>
      <c r="Y477" s="542">
        <v>19423</v>
      </c>
      <c r="Z477" s="543">
        <f t="shared" ca="1" si="9"/>
        <v>72</v>
      </c>
      <c r="AA477" s="534" t="s">
        <v>3010</v>
      </c>
      <c r="AB477" s="516" t="s">
        <v>3011</v>
      </c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832</v>
      </c>
      <c r="AK477" s="516"/>
      <c r="AL477" s="544"/>
      <c r="AM477" s="544"/>
    </row>
    <row r="478" spans="3:39" ht="18" customHeight="1">
      <c r="C478" s="516">
        <v>458</v>
      </c>
      <c r="D478" s="516" t="s">
        <v>3012</v>
      </c>
      <c r="E478" s="516">
        <f t="shared" si="8"/>
        <v>432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476</v>
      </c>
      <c r="W478" s="541" t="s">
        <v>3013</v>
      </c>
      <c r="X478" s="516" t="s">
        <v>876</v>
      </c>
      <c r="Y478" s="542">
        <v>20639</v>
      </c>
      <c r="Z478" s="543">
        <f t="shared" ca="1" si="9"/>
        <v>69</v>
      </c>
      <c r="AA478" s="534" t="s">
        <v>3014</v>
      </c>
      <c r="AB478" s="516" t="s">
        <v>3015</v>
      </c>
      <c r="AC478" s="516" t="s">
        <v>842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/>
      <c r="AL478" s="544"/>
      <c r="AM478" s="544"/>
    </row>
    <row r="479" spans="3:39" ht="18" customHeight="1">
      <c r="C479" s="516">
        <v>459</v>
      </c>
      <c r="D479" s="516" t="s">
        <v>3016</v>
      </c>
      <c r="E479" s="516">
        <f t="shared" si="8"/>
        <v>433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898</v>
      </c>
      <c r="V479" s="538" t="s">
        <v>3017</v>
      </c>
      <c r="W479" s="541" t="s">
        <v>3018</v>
      </c>
      <c r="X479" s="516" t="s">
        <v>876</v>
      </c>
      <c r="Y479" s="542">
        <v>20280</v>
      </c>
      <c r="Z479" s="543">
        <f t="shared" ca="1" si="9"/>
        <v>70</v>
      </c>
      <c r="AA479" s="534" t="s">
        <v>3019</v>
      </c>
      <c r="AB479" s="516" t="s">
        <v>3020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/>
      <c r="AK479" s="516" t="s">
        <v>1863</v>
      </c>
      <c r="AL479" s="544"/>
      <c r="AM479" s="544"/>
    </row>
    <row r="480" spans="3:39" ht="18" customHeight="1">
      <c r="C480" s="516">
        <v>460</v>
      </c>
      <c r="D480" s="516" t="s">
        <v>3021</v>
      </c>
      <c r="E480" s="516">
        <f t="shared" si="8"/>
        <v>434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3022</v>
      </c>
      <c r="W480" s="541" t="s">
        <v>3023</v>
      </c>
      <c r="X480" s="516" t="s">
        <v>876</v>
      </c>
      <c r="Y480" s="542">
        <v>22315</v>
      </c>
      <c r="Z480" s="543">
        <f t="shared" ca="1" si="9"/>
        <v>64</v>
      </c>
      <c r="AA480" s="534" t="s">
        <v>3024</v>
      </c>
      <c r="AB480" s="516" t="s">
        <v>3025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/>
      <c r="AH480" s="516"/>
      <c r="AI480" s="516"/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3026</v>
      </c>
      <c r="E481" s="516">
        <f t="shared" si="8"/>
        <v>435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3027</v>
      </c>
      <c r="W481" s="541" t="s">
        <v>3028</v>
      </c>
      <c r="X481" s="516" t="s">
        <v>876</v>
      </c>
      <c r="Y481" s="542">
        <v>28525</v>
      </c>
      <c r="Z481" s="543">
        <f t="shared" ca="1" si="9"/>
        <v>47</v>
      </c>
      <c r="AA481" s="534" t="s">
        <v>3029</v>
      </c>
      <c r="AB481" s="516" t="s">
        <v>3030</v>
      </c>
      <c r="AC481" s="516" t="s">
        <v>802</v>
      </c>
      <c r="AD481" s="516" t="s">
        <v>794</v>
      </c>
      <c r="AE481" s="534" t="s">
        <v>236</v>
      </c>
      <c r="AF481" s="534" t="s">
        <v>236</v>
      </c>
      <c r="AG481" s="534" t="s">
        <v>865</v>
      </c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462</v>
      </c>
      <c r="D482" s="516" t="s">
        <v>3031</v>
      </c>
      <c r="E482" s="516">
        <f t="shared" si="8"/>
        <v>436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3032</v>
      </c>
      <c r="W482" s="541" t="s">
        <v>3033</v>
      </c>
      <c r="X482" s="516" t="s">
        <v>876</v>
      </c>
      <c r="Y482" s="542">
        <v>32231</v>
      </c>
      <c r="Z482" s="543">
        <f t="shared" ca="1" si="9"/>
        <v>37</v>
      </c>
      <c r="AA482" s="534" t="s">
        <v>3034</v>
      </c>
      <c r="AB482" s="516" t="s">
        <v>3035</v>
      </c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/>
      <c r="AH482" s="516"/>
      <c r="AI482" s="516"/>
      <c r="AJ482" s="516" t="s">
        <v>844</v>
      </c>
      <c r="AK482" s="516"/>
      <c r="AL482" s="544"/>
      <c r="AM482" s="544"/>
    </row>
    <row r="483" spans="3:39" ht="18" customHeight="1">
      <c r="C483" s="516">
        <v>463</v>
      </c>
      <c r="D483" s="516" t="s">
        <v>3036</v>
      </c>
      <c r="E483" s="516">
        <f t="shared" si="8"/>
        <v>437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489</v>
      </c>
      <c r="W483" s="541" t="s">
        <v>3037</v>
      </c>
      <c r="X483" s="516" t="s">
        <v>876</v>
      </c>
      <c r="Y483" s="542">
        <v>24589</v>
      </c>
      <c r="Z483" s="543">
        <f t="shared" ca="1" si="9"/>
        <v>58</v>
      </c>
      <c r="AA483" s="594" t="s">
        <v>3038</v>
      </c>
      <c r="AB483" s="628"/>
      <c r="AC483" s="516" t="s">
        <v>842</v>
      </c>
      <c r="AD483" s="516" t="s">
        <v>851</v>
      </c>
      <c r="AE483" s="534" t="s">
        <v>236</v>
      </c>
      <c r="AF483" s="534" t="s">
        <v>236</v>
      </c>
      <c r="AG483" s="534" t="s">
        <v>865</v>
      </c>
      <c r="AH483" s="516"/>
      <c r="AI483" s="516"/>
      <c r="AJ483" s="516" t="s">
        <v>1535</v>
      </c>
      <c r="AK483" s="516"/>
      <c r="AL483" s="544"/>
      <c r="AM483" s="544"/>
    </row>
    <row r="484" spans="3:39" ht="18" customHeight="1">
      <c r="C484" s="516">
        <v>464</v>
      </c>
      <c r="D484" s="516" t="s">
        <v>3039</v>
      </c>
      <c r="E484" s="516">
        <f t="shared" si="8"/>
        <v>438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3040</v>
      </c>
      <c r="W484" s="541" t="s">
        <v>3041</v>
      </c>
      <c r="X484" s="516" t="s">
        <v>876</v>
      </c>
      <c r="Y484" s="542">
        <v>25240</v>
      </c>
      <c r="Z484" s="543">
        <f t="shared" ca="1" si="9"/>
        <v>56</v>
      </c>
      <c r="AA484" s="534" t="s">
        <v>3042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3043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465</v>
      </c>
      <c r="D485" s="516" t="s">
        <v>3044</v>
      </c>
      <c r="E485" s="516">
        <f t="shared" si="8"/>
        <v>439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38" t="s">
        <v>978</v>
      </c>
      <c r="Q485" s="539"/>
      <c r="R485" s="516"/>
      <c r="S485" s="516"/>
      <c r="T485" s="516"/>
      <c r="U485" s="516" t="s">
        <v>874</v>
      </c>
      <c r="V485" s="538" t="s">
        <v>3045</v>
      </c>
      <c r="W485" s="541" t="s">
        <v>3046</v>
      </c>
      <c r="X485" s="516" t="s">
        <v>876</v>
      </c>
      <c r="Y485" s="542">
        <v>26317</v>
      </c>
      <c r="Z485" s="543">
        <f t="shared" ca="1" si="9"/>
        <v>54</v>
      </c>
      <c r="AA485" s="534" t="s">
        <v>3047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 t="s">
        <v>865</v>
      </c>
      <c r="AH485" s="516"/>
      <c r="AI485" s="516" t="s">
        <v>3048</v>
      </c>
      <c r="AJ485" s="516" t="s">
        <v>832</v>
      </c>
      <c r="AK485" s="516" t="s">
        <v>860</v>
      </c>
      <c r="AL485" s="544"/>
      <c r="AM485" s="544"/>
    </row>
    <row r="486" spans="3:39" ht="18" customHeight="1">
      <c r="C486" s="516">
        <v>466</v>
      </c>
      <c r="D486" s="516" t="s">
        <v>3049</v>
      </c>
      <c r="E486" s="516">
        <f t="shared" si="8"/>
        <v>440</v>
      </c>
      <c r="F486" s="534" t="s">
        <v>1001</v>
      </c>
      <c r="G486" s="534" t="s">
        <v>236</v>
      </c>
      <c r="H486" s="535" t="s">
        <v>2898</v>
      </c>
      <c r="I486" s="535" t="s">
        <v>456</v>
      </c>
      <c r="J486" s="535" t="s">
        <v>2898</v>
      </c>
      <c r="K486" s="535" t="s">
        <v>2902</v>
      </c>
      <c r="L486" s="535" t="s">
        <v>3002</v>
      </c>
      <c r="M486" s="536"/>
      <c r="N486" s="537"/>
      <c r="O486" s="537"/>
      <c r="P486" s="559" t="s">
        <v>978</v>
      </c>
      <c r="Q486" s="539"/>
      <c r="R486" s="516"/>
      <c r="S486" s="516"/>
      <c r="T486" s="516"/>
      <c r="U486" s="516" t="s">
        <v>874</v>
      </c>
      <c r="V486" s="559" t="s">
        <v>3050</v>
      </c>
      <c r="W486" s="541" t="s">
        <v>3051</v>
      </c>
      <c r="X486" s="516" t="s">
        <v>876</v>
      </c>
      <c r="Y486" s="542">
        <v>22333</v>
      </c>
      <c r="Z486" s="543">
        <f t="shared" ca="1" si="9"/>
        <v>64</v>
      </c>
      <c r="AA486" s="534" t="s">
        <v>3052</v>
      </c>
      <c r="AB486" s="571"/>
      <c r="AC486" s="516" t="s">
        <v>842</v>
      </c>
      <c r="AD486" s="516" t="s">
        <v>843</v>
      </c>
      <c r="AE486" s="534" t="s">
        <v>236</v>
      </c>
      <c r="AF486" s="534" t="s">
        <v>236</v>
      </c>
      <c r="AG486" s="534"/>
      <c r="AH486" s="516"/>
      <c r="AI486" s="516" t="s">
        <v>3053</v>
      </c>
      <c r="AJ486" s="516" t="s">
        <v>844</v>
      </c>
      <c r="AK486" s="572" t="s">
        <v>1284</v>
      </c>
      <c r="AL486" s="544"/>
      <c r="AM486" s="544"/>
    </row>
    <row r="487" spans="3:39" ht="18" customHeight="1">
      <c r="C487" s="516">
        <v>467</v>
      </c>
      <c r="D487" s="516" t="s">
        <v>2906</v>
      </c>
      <c r="E487" s="516">
        <f t="shared" si="8"/>
        <v>440</v>
      </c>
      <c r="F487" s="534"/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48" t="s">
        <v>2372</v>
      </c>
      <c r="Q487" s="539"/>
      <c r="R487" s="516" t="s">
        <v>49</v>
      </c>
      <c r="S487" s="516" t="s">
        <v>168</v>
      </c>
      <c r="T487" s="516"/>
      <c r="U487" s="516"/>
      <c r="V487" s="548" t="s">
        <v>470</v>
      </c>
      <c r="W487" s="541" t="s">
        <v>2907</v>
      </c>
      <c r="X487" s="516" t="s">
        <v>876</v>
      </c>
      <c r="Y487" s="542">
        <v>18523</v>
      </c>
      <c r="Z487" s="543">
        <f t="shared" ca="1" si="9"/>
        <v>75</v>
      </c>
      <c r="AA487" s="534" t="s">
        <v>2908</v>
      </c>
      <c r="AB487" s="516" t="s">
        <v>2909</v>
      </c>
      <c r="AC487" s="516" t="s">
        <v>802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 t="s">
        <v>872</v>
      </c>
      <c r="AI487" s="516"/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3055</v>
      </c>
      <c r="E488" s="516">
        <f t="shared" si="8"/>
        <v>441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 t="s">
        <v>62</v>
      </c>
      <c r="S488" s="516" t="s">
        <v>548</v>
      </c>
      <c r="T488" s="516"/>
      <c r="U488" s="516" t="s">
        <v>898</v>
      </c>
      <c r="V488" s="538" t="s">
        <v>501</v>
      </c>
      <c r="W488" s="541" t="s">
        <v>3056</v>
      </c>
      <c r="X488" s="516" t="s">
        <v>876</v>
      </c>
      <c r="Y488" s="542">
        <v>19573</v>
      </c>
      <c r="Z488" s="543">
        <f t="shared" ca="1" si="9"/>
        <v>72</v>
      </c>
      <c r="AA488" s="534" t="s">
        <v>3057</v>
      </c>
      <c r="AB488" s="516" t="s">
        <v>3058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3059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3060</v>
      </c>
      <c r="E489" s="516">
        <f t="shared" si="8"/>
        <v>442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509</v>
      </c>
      <c r="W489" s="541" t="s">
        <v>3061</v>
      </c>
      <c r="X489" s="516" t="s">
        <v>876</v>
      </c>
      <c r="Y489" s="542">
        <v>19429</v>
      </c>
      <c r="Z489" s="543">
        <f t="shared" ca="1" si="9"/>
        <v>72</v>
      </c>
      <c r="AA489" s="534" t="s">
        <v>3062</v>
      </c>
      <c r="AB489" s="516" t="s">
        <v>3063</v>
      </c>
      <c r="AC489" s="516" t="s">
        <v>842</v>
      </c>
      <c r="AD489" s="516" t="s">
        <v>794</v>
      </c>
      <c r="AE489" s="534" t="s">
        <v>236</v>
      </c>
      <c r="AF489" s="534" t="s">
        <v>236</v>
      </c>
      <c r="AG489" s="534" t="s">
        <v>3064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3065</v>
      </c>
      <c r="E490" s="516">
        <f t="shared" si="8"/>
        <v>443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517</v>
      </c>
      <c r="W490" s="541" t="s">
        <v>3066</v>
      </c>
      <c r="X490" s="516" t="s">
        <v>876</v>
      </c>
      <c r="Y490" s="542">
        <v>19754</v>
      </c>
      <c r="Z490" s="543">
        <f t="shared" ca="1" si="9"/>
        <v>71</v>
      </c>
      <c r="AA490" s="534" t="s">
        <v>3067</v>
      </c>
      <c r="AB490" s="516" t="s">
        <v>3068</v>
      </c>
      <c r="AC490" s="516" t="s">
        <v>802</v>
      </c>
      <c r="AD490" s="516" t="s">
        <v>794</v>
      </c>
      <c r="AE490" s="534" t="s">
        <v>236</v>
      </c>
      <c r="AF490" s="534" t="s">
        <v>236</v>
      </c>
      <c r="AG490" s="534" t="s">
        <v>3069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3070</v>
      </c>
      <c r="E491" s="516">
        <f t="shared" si="8"/>
        <v>444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525</v>
      </c>
      <c r="W491" s="541" t="s">
        <v>3071</v>
      </c>
      <c r="X491" s="516" t="s">
        <v>876</v>
      </c>
      <c r="Y491" s="542">
        <v>27624</v>
      </c>
      <c r="Z491" s="543">
        <f t="shared" ca="1" si="9"/>
        <v>50</v>
      </c>
      <c r="AA491" s="534" t="s">
        <v>3072</v>
      </c>
      <c r="AB491" s="516" t="s">
        <v>3073</v>
      </c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865</v>
      </c>
      <c r="AH491" s="516"/>
      <c r="AI491" s="516" t="s">
        <v>3074</v>
      </c>
      <c r="AJ491" s="516"/>
      <c r="AK491" s="516"/>
      <c r="AL491" s="544"/>
      <c r="AM491" s="544"/>
    </row>
    <row r="492" spans="3:39" ht="18" customHeight="1">
      <c r="C492" s="516">
        <v>472</v>
      </c>
      <c r="D492" s="516" t="s">
        <v>3075</v>
      </c>
      <c r="E492" s="516">
        <f t="shared" si="8"/>
        <v>445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3076</v>
      </c>
      <c r="W492" s="541" t="s">
        <v>3077</v>
      </c>
      <c r="X492" s="516" t="s">
        <v>876</v>
      </c>
      <c r="Y492" s="542">
        <v>31364</v>
      </c>
      <c r="Z492" s="543">
        <f t="shared" ca="1" si="9"/>
        <v>40</v>
      </c>
      <c r="AA492" s="534" t="s">
        <v>3078</v>
      </c>
      <c r="AB492" s="516" t="s">
        <v>3079</v>
      </c>
      <c r="AC492" s="516" t="s">
        <v>842</v>
      </c>
      <c r="AD492" s="516" t="s">
        <v>843</v>
      </c>
      <c r="AE492" s="534" t="s">
        <v>236</v>
      </c>
      <c r="AF492" s="534" t="s">
        <v>2529</v>
      </c>
      <c r="AG492" s="534" t="s">
        <v>1289</v>
      </c>
      <c r="AH492" s="516"/>
      <c r="AI492" s="516"/>
      <c r="AJ492" s="516" t="s">
        <v>844</v>
      </c>
      <c r="AK492" s="516"/>
      <c r="AL492" s="544"/>
      <c r="AM492" s="544"/>
    </row>
    <row r="493" spans="3:39" ht="18" customHeight="1">
      <c r="C493" s="516">
        <v>473</v>
      </c>
      <c r="D493" s="516" t="s">
        <v>3080</v>
      </c>
      <c r="E493" s="516">
        <f t="shared" si="8"/>
        <v>446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3081</v>
      </c>
      <c r="W493" s="541" t="s">
        <v>3082</v>
      </c>
      <c r="X493" s="516" t="s">
        <v>876</v>
      </c>
      <c r="Y493" s="542">
        <v>21555</v>
      </c>
      <c r="Z493" s="543">
        <f t="shared" ca="1" si="9"/>
        <v>67</v>
      </c>
      <c r="AA493" s="534" t="s">
        <v>3083</v>
      </c>
      <c r="AB493" s="516" t="s">
        <v>3084</v>
      </c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3085</v>
      </c>
      <c r="E494" s="516">
        <f t="shared" si="8"/>
        <v>447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874</v>
      </c>
      <c r="V494" s="538" t="s">
        <v>544</v>
      </c>
      <c r="W494" s="541" t="s">
        <v>3086</v>
      </c>
      <c r="X494" s="516" t="s">
        <v>876</v>
      </c>
      <c r="Y494" s="542">
        <v>21988</v>
      </c>
      <c r="Z494" s="543">
        <f t="shared" ca="1" si="9"/>
        <v>65</v>
      </c>
      <c r="AA494" s="534" t="s">
        <v>3087</v>
      </c>
      <c r="AB494" s="516" t="s">
        <v>3088</v>
      </c>
      <c r="AC494" s="516" t="s">
        <v>842</v>
      </c>
      <c r="AD494" s="516" t="s">
        <v>843</v>
      </c>
      <c r="AE494" s="534" t="s">
        <v>236</v>
      </c>
      <c r="AF494" s="534" t="s">
        <v>236</v>
      </c>
      <c r="AG494" s="534" t="s">
        <v>865</v>
      </c>
      <c r="AH494" s="516"/>
      <c r="AI494" s="516"/>
      <c r="AJ494" s="516" t="s">
        <v>867</v>
      </c>
      <c r="AK494" s="516"/>
      <c r="AL494" s="544"/>
      <c r="AM494" s="544"/>
    </row>
    <row r="495" spans="3:39" ht="18" customHeight="1">
      <c r="C495" s="516">
        <v>475</v>
      </c>
      <c r="D495" s="516" t="s">
        <v>3089</v>
      </c>
      <c r="E495" s="516">
        <f t="shared" si="8"/>
        <v>448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3090</v>
      </c>
      <c r="W495" s="541" t="s">
        <v>3091</v>
      </c>
      <c r="X495" s="516" t="s">
        <v>876</v>
      </c>
      <c r="Y495" s="542">
        <v>18799</v>
      </c>
      <c r="Z495" s="543">
        <f t="shared" ca="1" si="9"/>
        <v>74</v>
      </c>
      <c r="AA495" s="534" t="s">
        <v>3092</v>
      </c>
      <c r="AB495" s="516" t="s">
        <v>3093</v>
      </c>
      <c r="AC495" s="516" t="s">
        <v>842</v>
      </c>
      <c r="AD495" s="516" t="s">
        <v>794</v>
      </c>
      <c r="AE495" s="534" t="s">
        <v>236</v>
      </c>
      <c r="AF495" s="534" t="s">
        <v>236</v>
      </c>
      <c r="AG495" s="534" t="s">
        <v>3064</v>
      </c>
      <c r="AH495" s="516"/>
      <c r="AI495" s="516" t="s">
        <v>3094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476</v>
      </c>
      <c r="D496" s="516" t="s">
        <v>3095</v>
      </c>
      <c r="E496" s="516">
        <f t="shared" si="8"/>
        <v>449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38" t="s">
        <v>2372</v>
      </c>
      <c r="Q496" s="539"/>
      <c r="R496" s="516"/>
      <c r="S496" s="516"/>
      <c r="T496" s="516"/>
      <c r="U496" s="516" t="s">
        <v>898</v>
      </c>
      <c r="V496" s="538" t="s">
        <v>3096</v>
      </c>
      <c r="W496" s="541" t="s">
        <v>3097</v>
      </c>
      <c r="X496" s="516" t="s">
        <v>876</v>
      </c>
      <c r="Y496" s="542">
        <v>19719</v>
      </c>
      <c r="Z496" s="543">
        <f t="shared" ca="1" si="9"/>
        <v>72</v>
      </c>
      <c r="AA496" s="534" t="s">
        <v>3098</v>
      </c>
      <c r="AB496" s="516" t="s">
        <v>3099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3069</v>
      </c>
      <c r="AH496" s="516"/>
      <c r="AI496" s="516" t="s">
        <v>3100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477</v>
      </c>
      <c r="D497" s="516" t="s">
        <v>3101</v>
      </c>
      <c r="E497" s="516">
        <f t="shared" si="8"/>
        <v>450</v>
      </c>
      <c r="F497" s="534" t="s">
        <v>1001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3055</v>
      </c>
      <c r="M497" s="536"/>
      <c r="N497" s="537"/>
      <c r="O497" s="537"/>
      <c r="P497" s="559" t="s">
        <v>2372</v>
      </c>
      <c r="Q497" s="539"/>
      <c r="R497" s="516"/>
      <c r="S497" s="516"/>
      <c r="T497" s="516"/>
      <c r="U497" s="516" t="s">
        <v>874</v>
      </c>
      <c r="V497" s="559" t="s">
        <v>559</v>
      </c>
      <c r="W497" s="541" t="s">
        <v>3102</v>
      </c>
      <c r="X497" s="516" t="s">
        <v>876</v>
      </c>
      <c r="Y497" s="542">
        <v>23913</v>
      </c>
      <c r="Z497" s="543">
        <f t="shared" ca="1" si="9"/>
        <v>60</v>
      </c>
      <c r="AA497" s="534" t="s">
        <v>3103</v>
      </c>
      <c r="AB497" s="516" t="s">
        <v>3104</v>
      </c>
      <c r="AC497" s="516" t="s">
        <v>842</v>
      </c>
      <c r="AD497" s="516" t="s">
        <v>843</v>
      </c>
      <c r="AE497" s="534" t="s">
        <v>236</v>
      </c>
      <c r="AF497" s="534" t="s">
        <v>236</v>
      </c>
      <c r="AG497" s="534" t="s">
        <v>865</v>
      </c>
      <c r="AH497" s="516"/>
      <c r="AI497" s="516" t="s">
        <v>3105</v>
      </c>
      <c r="AJ497" s="516" t="s">
        <v>867</v>
      </c>
      <c r="AK497" s="516" t="s">
        <v>860</v>
      </c>
      <c r="AL497" s="544"/>
      <c r="AM497" s="544"/>
    </row>
    <row r="498" spans="3:39" ht="18" customHeight="1">
      <c r="C498" s="516">
        <v>478</v>
      </c>
      <c r="D498" s="516" t="s">
        <v>2906</v>
      </c>
      <c r="E498" s="516">
        <f t="shared" si="8"/>
        <v>450</v>
      </c>
      <c r="F498" s="534"/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48" t="s">
        <v>2425</v>
      </c>
      <c r="Q498" s="539"/>
      <c r="R498" s="516" t="s">
        <v>49</v>
      </c>
      <c r="S498" s="516" t="s">
        <v>168</v>
      </c>
      <c r="T498" s="516"/>
      <c r="U498" s="516"/>
      <c r="V498" s="548" t="s">
        <v>470</v>
      </c>
      <c r="W498" s="541" t="s">
        <v>2907</v>
      </c>
      <c r="X498" s="516" t="s">
        <v>876</v>
      </c>
      <c r="Y498" s="542">
        <v>18523</v>
      </c>
      <c r="Z498" s="543">
        <f t="shared" ca="1" si="9"/>
        <v>75</v>
      </c>
      <c r="AA498" s="534" t="s">
        <v>2908</v>
      </c>
      <c r="AB498" s="516"/>
      <c r="AC498" s="516" t="s">
        <v>802</v>
      </c>
      <c r="AD498" s="516" t="s">
        <v>794</v>
      </c>
      <c r="AE498" s="534" t="s">
        <v>236</v>
      </c>
      <c r="AF498" s="534" t="s">
        <v>236</v>
      </c>
      <c r="AG498" s="534" t="s">
        <v>865</v>
      </c>
      <c r="AH498" s="516" t="s">
        <v>872</v>
      </c>
      <c r="AI498" s="516"/>
      <c r="AJ498" s="516"/>
      <c r="AK498" s="516"/>
      <c r="AL498" s="544"/>
      <c r="AM498" s="544"/>
    </row>
    <row r="499" spans="3:39" ht="18" customHeight="1">
      <c r="C499" s="516">
        <v>479</v>
      </c>
      <c r="D499" s="516" t="s">
        <v>3106</v>
      </c>
      <c r="E499" s="516">
        <f t="shared" si="8"/>
        <v>451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898</v>
      </c>
      <c r="V499" s="538" t="s">
        <v>502</v>
      </c>
      <c r="W499" s="541" t="s">
        <v>3107</v>
      </c>
      <c r="X499" s="516" t="s">
        <v>876</v>
      </c>
      <c r="Y499" s="542">
        <v>19948</v>
      </c>
      <c r="Z499" s="543">
        <f t="shared" ca="1" si="9"/>
        <v>71</v>
      </c>
      <c r="AA499" s="534" t="s">
        <v>3108</v>
      </c>
      <c r="AB499" s="516" t="s">
        <v>3109</v>
      </c>
      <c r="AC499" s="516" t="s">
        <v>842</v>
      </c>
      <c r="AD499" s="516" t="s">
        <v>851</v>
      </c>
      <c r="AE499" s="534" t="s">
        <v>236</v>
      </c>
      <c r="AF499" s="552" t="s">
        <v>236</v>
      </c>
      <c r="AG499" s="552" t="s">
        <v>865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3110</v>
      </c>
      <c r="E500" s="516">
        <f t="shared" si="8"/>
        <v>452</v>
      </c>
      <c r="F500" s="534" t="s">
        <v>811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510</v>
      </c>
      <c r="W500" s="541" t="s">
        <v>3111</v>
      </c>
      <c r="X500" s="516" t="s">
        <v>876</v>
      </c>
      <c r="Y500" s="542">
        <v>20806</v>
      </c>
      <c r="Z500" s="543">
        <f t="shared" ca="1" si="9"/>
        <v>69</v>
      </c>
      <c r="AA500" s="534" t="s">
        <v>3112</v>
      </c>
      <c r="AB500" s="516" t="s">
        <v>3113</v>
      </c>
      <c r="AC500" s="516" t="s">
        <v>842</v>
      </c>
      <c r="AD500" s="516" t="s">
        <v>843</v>
      </c>
      <c r="AE500" s="534" t="s">
        <v>713</v>
      </c>
      <c r="AF500" s="534" t="s">
        <v>713</v>
      </c>
      <c r="AG500" s="534" t="s">
        <v>3114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481</v>
      </c>
      <c r="D501" s="516" t="s">
        <v>3115</v>
      </c>
      <c r="E501" s="516">
        <f t="shared" si="8"/>
        <v>453</v>
      </c>
      <c r="F501" s="534" t="s">
        <v>811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518</v>
      </c>
      <c r="W501" s="541" t="s">
        <v>3116</v>
      </c>
      <c r="X501" s="516" t="s">
        <v>876</v>
      </c>
      <c r="Y501" s="542">
        <v>21342</v>
      </c>
      <c r="Z501" s="543">
        <f t="shared" ca="1" si="9"/>
        <v>67</v>
      </c>
      <c r="AA501" s="534" t="s">
        <v>3117</v>
      </c>
      <c r="AB501" s="516" t="s">
        <v>3118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482</v>
      </c>
      <c r="D502" s="516" t="s">
        <v>3119</v>
      </c>
      <c r="E502" s="516">
        <f t="shared" si="8"/>
        <v>454</v>
      </c>
      <c r="F502" s="534" t="s">
        <v>811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38" t="s">
        <v>2425</v>
      </c>
      <c r="Q502" s="539" t="s">
        <v>308</v>
      </c>
      <c r="R502" s="516"/>
      <c r="S502" s="516"/>
      <c r="T502" s="516"/>
      <c r="U502" s="516" t="s">
        <v>874</v>
      </c>
      <c r="V502" s="538" t="s">
        <v>526</v>
      </c>
      <c r="W502" s="541" t="s">
        <v>3120</v>
      </c>
      <c r="X502" s="516" t="s">
        <v>876</v>
      </c>
      <c r="Y502" s="542">
        <v>22495</v>
      </c>
      <c r="Z502" s="543">
        <f t="shared" ca="1" si="9"/>
        <v>64</v>
      </c>
      <c r="AA502" s="534" t="s">
        <v>3121</v>
      </c>
      <c r="AB502" s="516" t="s">
        <v>3122</v>
      </c>
      <c r="AC502" s="516" t="s">
        <v>842</v>
      </c>
      <c r="AD502" s="516" t="s">
        <v>851</v>
      </c>
      <c r="AE502" s="534" t="s">
        <v>236</v>
      </c>
      <c r="AF502" s="552" t="s">
        <v>236</v>
      </c>
      <c r="AG502" s="552" t="s">
        <v>865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483</v>
      </c>
      <c r="D503" s="516" t="s">
        <v>3123</v>
      </c>
      <c r="E503" s="516">
        <f t="shared" si="8"/>
        <v>455</v>
      </c>
      <c r="F503" s="534" t="s">
        <v>811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2906</v>
      </c>
      <c r="L503" s="535" t="s">
        <v>786</v>
      </c>
      <c r="M503" s="536"/>
      <c r="N503" s="537"/>
      <c r="O503" s="537"/>
      <c r="P503" s="559" t="s">
        <v>2425</v>
      </c>
      <c r="Q503" s="539" t="s">
        <v>308</v>
      </c>
      <c r="R503" s="516"/>
      <c r="S503" s="516"/>
      <c r="T503" s="516"/>
      <c r="U503" s="516" t="s">
        <v>874</v>
      </c>
      <c r="V503" s="559" t="s">
        <v>533</v>
      </c>
      <c r="W503" s="541" t="s">
        <v>3124</v>
      </c>
      <c r="X503" s="516" t="s">
        <v>876</v>
      </c>
      <c r="Y503" s="542">
        <v>23608</v>
      </c>
      <c r="Z503" s="543">
        <f t="shared" ca="1" si="9"/>
        <v>61</v>
      </c>
      <c r="AA503" s="534" t="s">
        <v>3125</v>
      </c>
      <c r="AB503" s="516" t="s">
        <v>3126</v>
      </c>
      <c r="AC503" s="516" t="s">
        <v>842</v>
      </c>
      <c r="AD503" s="516" t="s">
        <v>843</v>
      </c>
      <c r="AE503" s="534" t="s">
        <v>236</v>
      </c>
      <c r="AF503" s="552" t="s">
        <v>236</v>
      </c>
      <c r="AG503" s="534" t="s">
        <v>3127</v>
      </c>
      <c r="AH503" s="516"/>
      <c r="AI503" s="516"/>
      <c r="AJ503" s="516" t="s">
        <v>1497</v>
      </c>
      <c r="AK503" s="516"/>
      <c r="AL503" s="544"/>
      <c r="AM503" s="544"/>
    </row>
    <row r="504" spans="3:39" ht="18" customHeight="1">
      <c r="C504" s="516">
        <v>484</v>
      </c>
      <c r="D504" s="516" t="s">
        <v>2914</v>
      </c>
      <c r="E504" s="516">
        <f t="shared" si="8"/>
        <v>455</v>
      </c>
      <c r="F504" s="534"/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48" t="s">
        <v>3129</v>
      </c>
      <c r="Q504" s="539"/>
      <c r="R504" s="516" t="s">
        <v>49</v>
      </c>
      <c r="S504" s="516" t="s">
        <v>168</v>
      </c>
      <c r="T504" s="516"/>
      <c r="U504" s="516"/>
      <c r="V504" s="548" t="s">
        <v>478</v>
      </c>
      <c r="W504" s="541" t="s">
        <v>2915</v>
      </c>
      <c r="X504" s="516" t="s">
        <v>876</v>
      </c>
      <c r="Y504" s="542">
        <v>23418</v>
      </c>
      <c r="Z504" s="543">
        <f t="shared" ca="1" si="9"/>
        <v>61</v>
      </c>
      <c r="AA504" s="534" t="s">
        <v>2916</v>
      </c>
      <c r="AB504" s="516"/>
      <c r="AC504" s="516" t="s">
        <v>842</v>
      </c>
      <c r="AD504" s="516" t="s">
        <v>794</v>
      </c>
      <c r="AE504" s="534" t="s">
        <v>236</v>
      </c>
      <c r="AF504" s="534" t="s">
        <v>236</v>
      </c>
      <c r="AG504" s="534" t="s">
        <v>865</v>
      </c>
      <c r="AH504" s="516" t="s">
        <v>872</v>
      </c>
      <c r="AI504" s="516"/>
      <c r="AJ504" s="516"/>
      <c r="AK504" s="516"/>
      <c r="AL504" s="544"/>
      <c r="AM504" s="544"/>
    </row>
    <row r="505" spans="3:39" ht="18" customHeight="1">
      <c r="C505" s="516">
        <v>485</v>
      </c>
      <c r="D505" s="516" t="s">
        <v>3128</v>
      </c>
      <c r="E505" s="516">
        <f t="shared" si="8"/>
        <v>456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 t="s">
        <v>62</v>
      </c>
      <c r="S505" s="516" t="s">
        <v>548</v>
      </c>
      <c r="T505" s="516"/>
      <c r="U505" s="516" t="s">
        <v>874</v>
      </c>
      <c r="V505" s="538" t="s">
        <v>503</v>
      </c>
      <c r="W505" s="541" t="s">
        <v>3130</v>
      </c>
      <c r="X505" s="516" t="s">
        <v>876</v>
      </c>
      <c r="Y505" s="542">
        <v>29204</v>
      </c>
      <c r="Z505" s="543">
        <f t="shared" ca="1" si="9"/>
        <v>46</v>
      </c>
      <c r="AA505" s="534" t="s">
        <v>3131</v>
      </c>
      <c r="AB505" s="516" t="s">
        <v>3132</v>
      </c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3133</v>
      </c>
      <c r="E506" s="516">
        <f t="shared" si="8"/>
        <v>457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511</v>
      </c>
      <c r="W506" s="541" t="s">
        <v>3134</v>
      </c>
      <c r="X506" s="516" t="s">
        <v>876</v>
      </c>
      <c r="Y506" s="542">
        <v>33409</v>
      </c>
      <c r="Z506" s="543">
        <f t="shared" ca="1" si="9"/>
        <v>34</v>
      </c>
      <c r="AA506" s="534" t="s">
        <v>3135</v>
      </c>
      <c r="AB506" s="516" t="s">
        <v>3136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487</v>
      </c>
      <c r="D507" s="516" t="s">
        <v>3137</v>
      </c>
      <c r="E507" s="516">
        <f t="shared" si="8"/>
        <v>458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519</v>
      </c>
      <c r="W507" s="541" t="s">
        <v>3138</v>
      </c>
      <c r="X507" s="516" t="s">
        <v>876</v>
      </c>
      <c r="Y507" s="542">
        <v>31186</v>
      </c>
      <c r="Z507" s="543">
        <f t="shared" ca="1" si="9"/>
        <v>40</v>
      </c>
      <c r="AA507" s="534" t="s">
        <v>3139</v>
      </c>
      <c r="AB507" s="516" t="s">
        <v>3140</v>
      </c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865</v>
      </c>
      <c r="AH507" s="516"/>
      <c r="AI507" s="516"/>
      <c r="AJ507" s="516"/>
      <c r="AK507" s="516"/>
      <c r="AL507" s="544"/>
      <c r="AM507" s="544"/>
    </row>
    <row r="508" spans="3:39" ht="18" customHeight="1">
      <c r="C508" s="516">
        <v>488</v>
      </c>
      <c r="D508" s="516" t="s">
        <v>3141</v>
      </c>
      <c r="E508" s="516">
        <f t="shared" si="8"/>
        <v>459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527</v>
      </c>
      <c r="W508" s="541" t="s">
        <v>3142</v>
      </c>
      <c r="X508" s="516" t="s">
        <v>876</v>
      </c>
      <c r="Y508" s="542">
        <v>27491</v>
      </c>
      <c r="Z508" s="543">
        <f t="shared" ca="1" si="9"/>
        <v>50</v>
      </c>
      <c r="AA508" s="534" t="s">
        <v>3143</v>
      </c>
      <c r="AB508" s="516" t="s">
        <v>3144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3145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3146</v>
      </c>
      <c r="E509" s="516">
        <f t="shared" si="8"/>
        <v>460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534</v>
      </c>
      <c r="W509" s="541" t="s">
        <v>3147</v>
      </c>
      <c r="X509" s="516" t="s">
        <v>876</v>
      </c>
      <c r="Y509" s="542">
        <v>28459</v>
      </c>
      <c r="Z509" s="543">
        <f t="shared" ca="1" si="9"/>
        <v>48</v>
      </c>
      <c r="AA509" s="534" t="s">
        <v>3148</v>
      </c>
      <c r="AB509" s="516" t="s">
        <v>3149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3150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3151</v>
      </c>
      <c r="E510" s="516">
        <f t="shared" si="8"/>
        <v>461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540</v>
      </c>
      <c r="W510" s="541" t="s">
        <v>3152</v>
      </c>
      <c r="X510" s="516" t="s">
        <v>876</v>
      </c>
      <c r="Y510" s="542">
        <v>29948</v>
      </c>
      <c r="Z510" s="543">
        <f t="shared" ca="1" si="9"/>
        <v>44</v>
      </c>
      <c r="AA510" s="534" t="s">
        <v>3153</v>
      </c>
      <c r="AB510" s="516" t="s">
        <v>3154</v>
      </c>
      <c r="AC510" s="516" t="s">
        <v>842</v>
      </c>
      <c r="AD510" s="516" t="s">
        <v>851</v>
      </c>
      <c r="AE510" s="534" t="s">
        <v>236</v>
      </c>
      <c r="AF510" s="534" t="s">
        <v>236</v>
      </c>
      <c r="AG510" s="534" t="s">
        <v>865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3155</v>
      </c>
      <c r="E511" s="516">
        <f t="shared" si="8"/>
        <v>462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545</v>
      </c>
      <c r="W511" s="541" t="s">
        <v>3156</v>
      </c>
      <c r="X511" s="516" t="s">
        <v>876</v>
      </c>
      <c r="Y511" s="542">
        <v>30545</v>
      </c>
      <c r="Z511" s="543">
        <f t="shared" ca="1" si="9"/>
        <v>42</v>
      </c>
      <c r="AA511" s="534" t="s">
        <v>3157</v>
      </c>
      <c r="AB511" s="516" t="s">
        <v>3158</v>
      </c>
      <c r="AC511" s="516" t="s">
        <v>802</v>
      </c>
      <c r="AD511" s="516" t="s">
        <v>794</v>
      </c>
      <c r="AE511" s="534" t="s">
        <v>236</v>
      </c>
      <c r="AF511" s="534" t="s">
        <v>236</v>
      </c>
      <c r="AG511" s="534" t="s">
        <v>3159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3160</v>
      </c>
      <c r="E512" s="516">
        <f t="shared" si="8"/>
        <v>463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551</v>
      </c>
      <c r="W512" s="541" t="s">
        <v>3161</v>
      </c>
      <c r="X512" s="516" t="s">
        <v>876</v>
      </c>
      <c r="Y512" s="542">
        <v>34130</v>
      </c>
      <c r="Z512" s="543">
        <f t="shared" ca="1" si="9"/>
        <v>32</v>
      </c>
      <c r="AA512" s="534" t="s">
        <v>3162</v>
      </c>
      <c r="AB512" s="628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3163</v>
      </c>
      <c r="AH512" s="516"/>
      <c r="AI512" s="516"/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3164</v>
      </c>
      <c r="E513" s="516">
        <f t="shared" si="8"/>
        <v>464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3165</v>
      </c>
      <c r="W513" s="541" t="s">
        <v>3166</v>
      </c>
      <c r="X513" s="516" t="s">
        <v>876</v>
      </c>
      <c r="Y513" s="542">
        <v>29575</v>
      </c>
      <c r="Z513" s="543">
        <f t="shared" ca="1" si="9"/>
        <v>45</v>
      </c>
      <c r="AA513" s="534" t="s">
        <v>3167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3100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494</v>
      </c>
      <c r="D514" s="516" t="s">
        <v>3168</v>
      </c>
      <c r="E514" s="516">
        <f t="shared" si="8"/>
        <v>465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3169</v>
      </c>
      <c r="W514" s="541" t="s">
        <v>3170</v>
      </c>
      <c r="X514" s="516" t="s">
        <v>876</v>
      </c>
      <c r="Y514" s="542">
        <v>22440</v>
      </c>
      <c r="Z514" s="543">
        <f t="shared" ca="1" si="9"/>
        <v>64</v>
      </c>
      <c r="AA514" s="534" t="s">
        <v>3171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495</v>
      </c>
      <c r="D515" s="516" t="s">
        <v>3173</v>
      </c>
      <c r="E515" s="516">
        <f t="shared" si="8"/>
        <v>466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38" t="s">
        <v>3129</v>
      </c>
      <c r="Q515" s="539"/>
      <c r="R515" s="516"/>
      <c r="S515" s="516"/>
      <c r="T515" s="516"/>
      <c r="U515" s="516" t="s">
        <v>874</v>
      </c>
      <c r="V515" s="538" t="s">
        <v>3174</v>
      </c>
      <c r="W515" s="541" t="s">
        <v>3175</v>
      </c>
      <c r="X515" s="516" t="s">
        <v>876</v>
      </c>
      <c r="Y515" s="542">
        <v>26500</v>
      </c>
      <c r="Z515" s="543">
        <f t="shared" ca="1" si="9"/>
        <v>53</v>
      </c>
      <c r="AA515" s="534" t="s">
        <v>3176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3172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496</v>
      </c>
      <c r="D516" s="516" t="s">
        <v>3177</v>
      </c>
      <c r="E516" s="516">
        <f t="shared" si="8"/>
        <v>467</v>
      </c>
      <c r="F516" s="534" t="s">
        <v>1001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3128</v>
      </c>
      <c r="M516" s="536"/>
      <c r="N516" s="537"/>
      <c r="O516" s="537"/>
      <c r="P516" s="559" t="s">
        <v>3129</v>
      </c>
      <c r="Q516" s="539"/>
      <c r="R516" s="516"/>
      <c r="S516" s="516"/>
      <c r="T516" s="516"/>
      <c r="U516" s="516" t="s">
        <v>874</v>
      </c>
      <c r="V516" s="559" t="s">
        <v>3178</v>
      </c>
      <c r="W516" s="541" t="s">
        <v>3179</v>
      </c>
      <c r="X516" s="516" t="s">
        <v>876</v>
      </c>
      <c r="Y516" s="542">
        <v>33645</v>
      </c>
      <c r="Z516" s="543">
        <f t="shared" ca="1" si="9"/>
        <v>33</v>
      </c>
      <c r="AA516" s="534" t="s">
        <v>3180</v>
      </c>
      <c r="AB516" s="571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34" t="s">
        <v>865</v>
      </c>
      <c r="AH516" s="516"/>
      <c r="AI516" s="516" t="s">
        <v>3181</v>
      </c>
      <c r="AJ516" s="516" t="s">
        <v>867</v>
      </c>
      <c r="AK516" s="516" t="s">
        <v>860</v>
      </c>
      <c r="AL516" s="544"/>
      <c r="AM516" s="544"/>
    </row>
    <row r="517" spans="3:39" ht="18" customHeight="1">
      <c r="C517" s="516">
        <v>497</v>
      </c>
      <c r="D517" s="516" t="s">
        <v>2914</v>
      </c>
      <c r="E517" s="516">
        <f t="shared" si="8"/>
        <v>467</v>
      </c>
      <c r="F517" s="534"/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48" t="s">
        <v>3183</v>
      </c>
      <c r="Q517" s="539"/>
      <c r="R517" s="516" t="s">
        <v>49</v>
      </c>
      <c r="S517" s="516" t="s">
        <v>168</v>
      </c>
      <c r="T517" s="516"/>
      <c r="U517" s="516"/>
      <c r="V517" s="548" t="s">
        <v>478</v>
      </c>
      <c r="W517" s="541" t="s">
        <v>2915</v>
      </c>
      <c r="X517" s="516" t="s">
        <v>876</v>
      </c>
      <c r="Y517" s="542">
        <v>23418</v>
      </c>
      <c r="Z517" s="543">
        <f t="shared" ca="1" si="9"/>
        <v>61</v>
      </c>
      <c r="AA517" s="534" t="s">
        <v>2916</v>
      </c>
      <c r="AB517" s="516" t="s">
        <v>2917</v>
      </c>
      <c r="AC517" s="516" t="s">
        <v>842</v>
      </c>
      <c r="AD517" s="516" t="s">
        <v>794</v>
      </c>
      <c r="AE517" s="534" t="s">
        <v>236</v>
      </c>
      <c r="AF517" s="534" t="s">
        <v>236</v>
      </c>
      <c r="AG517" s="534" t="s">
        <v>865</v>
      </c>
      <c r="AH517" s="516" t="s">
        <v>872</v>
      </c>
      <c r="AI517" s="516"/>
      <c r="AJ517" s="516"/>
      <c r="AK517" s="516"/>
      <c r="AL517" s="544"/>
      <c r="AM517" s="544"/>
    </row>
    <row r="518" spans="3:39" ht="18" customHeight="1">
      <c r="C518" s="516">
        <v>498</v>
      </c>
      <c r="D518" s="516" t="s">
        <v>3182</v>
      </c>
      <c r="E518" s="516">
        <f t="shared" si="8"/>
        <v>468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504</v>
      </c>
      <c r="W518" s="541" t="s">
        <v>3184</v>
      </c>
      <c r="X518" s="516" t="s">
        <v>876</v>
      </c>
      <c r="Y518" s="542">
        <v>22251</v>
      </c>
      <c r="Z518" s="543">
        <f t="shared" ca="1" si="9"/>
        <v>65</v>
      </c>
      <c r="AA518" s="534" t="s">
        <v>3185</v>
      </c>
      <c r="AB518" s="516" t="s">
        <v>3186</v>
      </c>
      <c r="AC518" s="516" t="s">
        <v>842</v>
      </c>
      <c r="AD518" s="516" t="s">
        <v>851</v>
      </c>
      <c r="AE518" s="534" t="s">
        <v>942</v>
      </c>
      <c r="AF518" s="534" t="s">
        <v>942</v>
      </c>
      <c r="AG518" s="534" t="s">
        <v>2179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3187</v>
      </c>
      <c r="E519" s="516">
        <f t="shared" si="8"/>
        <v>469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512</v>
      </c>
      <c r="W519" s="541" t="s">
        <v>3188</v>
      </c>
      <c r="X519" s="516" t="s">
        <v>876</v>
      </c>
      <c r="Y519" s="542">
        <v>23509</v>
      </c>
      <c r="Z519" s="543">
        <f t="shared" ca="1" si="9"/>
        <v>61</v>
      </c>
      <c r="AA519" s="534" t="s">
        <v>3189</v>
      </c>
      <c r="AB519" s="516" t="s">
        <v>3190</v>
      </c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1846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3191</v>
      </c>
      <c r="E520" s="516">
        <f t="shared" si="8"/>
        <v>470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520</v>
      </c>
      <c r="W520" s="541" t="s">
        <v>3192</v>
      </c>
      <c r="X520" s="516" t="s">
        <v>876</v>
      </c>
      <c r="Y520" s="542">
        <v>24081</v>
      </c>
      <c r="Z520" s="543">
        <f t="shared" ca="1" si="9"/>
        <v>60</v>
      </c>
      <c r="AA520" s="534" t="s">
        <v>3193</v>
      </c>
      <c r="AB520" s="516" t="s">
        <v>3194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74" t="s">
        <v>744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3195</v>
      </c>
      <c r="E521" s="516">
        <f t="shared" si="8"/>
        <v>471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528</v>
      </c>
      <c r="W521" s="541" t="s">
        <v>3196</v>
      </c>
      <c r="X521" s="516" t="s">
        <v>876</v>
      </c>
      <c r="Y521" s="542">
        <v>25716</v>
      </c>
      <c r="Z521" s="543">
        <f t="shared" ca="1" si="9"/>
        <v>55</v>
      </c>
      <c r="AA521" s="534" t="s">
        <v>3197</v>
      </c>
      <c r="AB521" s="516" t="s">
        <v>3198</v>
      </c>
      <c r="AC521" s="516" t="s">
        <v>842</v>
      </c>
      <c r="AD521" s="516" t="s">
        <v>851</v>
      </c>
      <c r="AE521" s="534" t="s">
        <v>236</v>
      </c>
      <c r="AF521" s="534" t="s">
        <v>236</v>
      </c>
      <c r="AG521" s="534" t="s">
        <v>3199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3200</v>
      </c>
      <c r="E522" s="516">
        <f t="shared" si="8"/>
        <v>472</v>
      </c>
      <c r="F522" s="534" t="s">
        <v>811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535</v>
      </c>
      <c r="W522" s="541" t="s">
        <v>3201</v>
      </c>
      <c r="X522" s="516" t="s">
        <v>876</v>
      </c>
      <c r="Y522" s="542">
        <v>26041</v>
      </c>
      <c r="Z522" s="543">
        <f t="shared" ca="1" si="9"/>
        <v>54</v>
      </c>
      <c r="AA522" s="534" t="s">
        <v>3202</v>
      </c>
      <c r="AB522" s="516" t="s">
        <v>3203</v>
      </c>
      <c r="AC522" s="516" t="s">
        <v>842</v>
      </c>
      <c r="AD522" s="516" t="s">
        <v>843</v>
      </c>
      <c r="AE522" s="534" t="s">
        <v>809</v>
      </c>
      <c r="AF522" s="534" t="s">
        <v>809</v>
      </c>
      <c r="AG522" s="534" t="s">
        <v>2085</v>
      </c>
      <c r="AH522" s="516"/>
      <c r="AI522" s="516"/>
      <c r="AJ522" s="565" t="s">
        <v>1087</v>
      </c>
      <c r="AK522" s="516"/>
      <c r="AL522" s="544"/>
      <c r="AM522" s="544"/>
    </row>
    <row r="523" spans="3:39" ht="18" customHeight="1">
      <c r="C523" s="516">
        <v>503</v>
      </c>
      <c r="D523" s="516" t="s">
        <v>3204</v>
      </c>
      <c r="E523" s="516">
        <f t="shared" si="8"/>
        <v>473</v>
      </c>
      <c r="F523" s="534" t="s">
        <v>811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541</v>
      </c>
      <c r="W523" s="541" t="s">
        <v>3205</v>
      </c>
      <c r="X523" s="516" t="s">
        <v>876</v>
      </c>
      <c r="Y523" s="542">
        <v>26626</v>
      </c>
      <c r="Z523" s="543">
        <f t="shared" ca="1" si="9"/>
        <v>53</v>
      </c>
      <c r="AA523" s="534" t="s">
        <v>3206</v>
      </c>
      <c r="AB523" s="571"/>
      <c r="AC523" s="516" t="s">
        <v>842</v>
      </c>
      <c r="AD523" s="516" t="s">
        <v>843</v>
      </c>
      <c r="AE523" s="534" t="s">
        <v>236</v>
      </c>
      <c r="AF523" s="534" t="s">
        <v>236</v>
      </c>
      <c r="AG523" s="534" t="s">
        <v>3207</v>
      </c>
      <c r="AH523" s="516"/>
      <c r="AI523" s="516" t="s">
        <v>2511</v>
      </c>
      <c r="AJ523" s="565" t="s">
        <v>1087</v>
      </c>
      <c r="AK523" s="516"/>
      <c r="AL523" s="544"/>
      <c r="AM523" s="544"/>
    </row>
    <row r="524" spans="3:39" ht="18" customHeight="1">
      <c r="C524" s="516">
        <v>504</v>
      </c>
      <c r="D524" s="516" t="s">
        <v>3208</v>
      </c>
      <c r="E524" s="516">
        <f t="shared" si="8"/>
        <v>474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38" t="s">
        <v>3183</v>
      </c>
      <c r="Q524" s="539" t="s">
        <v>308</v>
      </c>
      <c r="R524" s="516"/>
      <c r="S524" s="516"/>
      <c r="T524" s="516"/>
      <c r="U524" s="516" t="s">
        <v>874</v>
      </c>
      <c r="V524" s="538" t="s">
        <v>546</v>
      </c>
      <c r="W524" s="541" t="s">
        <v>3209</v>
      </c>
      <c r="X524" s="516" t="s">
        <v>876</v>
      </c>
      <c r="Y524" s="542">
        <v>27940</v>
      </c>
      <c r="Z524" s="543">
        <f t="shared" ca="1" si="9"/>
        <v>49</v>
      </c>
      <c r="AA524" s="534" t="s">
        <v>3210</v>
      </c>
      <c r="AB524" s="516" t="s">
        <v>3211</v>
      </c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3212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505</v>
      </c>
      <c r="D525" s="516" t="s">
        <v>3213</v>
      </c>
      <c r="E525" s="516">
        <f t="shared" si="8"/>
        <v>475</v>
      </c>
      <c r="F525" s="534" t="s">
        <v>811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2914</v>
      </c>
      <c r="L525" s="535"/>
      <c r="M525" s="536"/>
      <c r="N525" s="537"/>
      <c r="O525" s="537"/>
      <c r="P525" s="559" t="s">
        <v>3183</v>
      </c>
      <c r="Q525" s="539" t="s">
        <v>308</v>
      </c>
      <c r="R525" s="516"/>
      <c r="S525" s="516"/>
      <c r="T525" s="516"/>
      <c r="U525" s="516" t="s">
        <v>874</v>
      </c>
      <c r="V525" s="559" t="s">
        <v>552</v>
      </c>
      <c r="W525" s="541" t="s">
        <v>3214</v>
      </c>
      <c r="X525" s="516" t="s">
        <v>876</v>
      </c>
      <c r="Y525" s="542">
        <v>31512</v>
      </c>
      <c r="Z525" s="543">
        <f t="shared" ca="1" si="9"/>
        <v>39</v>
      </c>
      <c r="AA525" s="534" t="s">
        <v>3215</v>
      </c>
      <c r="AB525" s="516" t="s">
        <v>3216</v>
      </c>
      <c r="AC525" s="516" t="s">
        <v>842</v>
      </c>
      <c r="AD525" s="516" t="s">
        <v>843</v>
      </c>
      <c r="AE525" s="534" t="s">
        <v>809</v>
      </c>
      <c r="AF525" s="534" t="s">
        <v>809</v>
      </c>
      <c r="AG525" s="534" t="s">
        <v>2085</v>
      </c>
      <c r="AH525" s="516"/>
      <c r="AI525" s="516"/>
      <c r="AJ525" s="565" t="s">
        <v>1087</v>
      </c>
      <c r="AK525" s="516"/>
      <c r="AL525" s="544"/>
      <c r="AM525" s="544"/>
    </row>
    <row r="526" spans="3:39" ht="18" customHeight="1">
      <c r="C526" s="516">
        <v>506</v>
      </c>
      <c r="D526" s="516" t="s">
        <v>2918</v>
      </c>
      <c r="E526" s="516">
        <f t="shared" si="8"/>
        <v>475</v>
      </c>
      <c r="F526" s="534"/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48" t="s">
        <v>938</v>
      </c>
      <c r="Q526" s="539"/>
      <c r="R526" s="516" t="s">
        <v>163</v>
      </c>
      <c r="S526" s="516" t="s">
        <v>500</v>
      </c>
      <c r="T526" s="516" t="s">
        <v>49</v>
      </c>
      <c r="U526" s="516"/>
      <c r="V526" s="548" t="s">
        <v>498</v>
      </c>
      <c r="W526" s="541" t="s">
        <v>2919</v>
      </c>
      <c r="X526" s="516" t="s">
        <v>876</v>
      </c>
      <c r="Y526" s="542">
        <v>22147</v>
      </c>
      <c r="Z526" s="543">
        <f t="shared" ca="1" si="9"/>
        <v>65</v>
      </c>
      <c r="AA526" s="534" t="s">
        <v>2920</v>
      </c>
      <c r="AB526" s="516"/>
      <c r="AC526" s="516" t="s">
        <v>842</v>
      </c>
      <c r="AD526" s="516" t="s">
        <v>794</v>
      </c>
      <c r="AE526" s="534" t="s">
        <v>236</v>
      </c>
      <c r="AF526" s="534" t="s">
        <v>236</v>
      </c>
      <c r="AG526" s="534" t="s">
        <v>865</v>
      </c>
      <c r="AH526" s="516" t="s">
        <v>872</v>
      </c>
      <c r="AI526" s="516"/>
      <c r="AJ526" s="516"/>
      <c r="AK526" s="516"/>
      <c r="AL526" s="544"/>
      <c r="AM526" s="544"/>
    </row>
    <row r="527" spans="3:39" ht="18" customHeight="1">
      <c r="C527" s="516">
        <v>507</v>
      </c>
      <c r="D527" s="516" t="s">
        <v>3217</v>
      </c>
      <c r="E527" s="516">
        <f t="shared" si="8"/>
        <v>476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 t="s">
        <v>62</v>
      </c>
      <c r="S527" s="516" t="s">
        <v>548</v>
      </c>
      <c r="T527" s="516"/>
      <c r="U527" s="516" t="s">
        <v>874</v>
      </c>
      <c r="V527" s="538" t="s">
        <v>3220</v>
      </c>
      <c r="W527" s="541" t="s">
        <v>3221</v>
      </c>
      <c r="X527" s="516" t="s">
        <v>876</v>
      </c>
      <c r="Y527" s="542">
        <v>22474</v>
      </c>
      <c r="Z527" s="543">
        <f t="shared" ca="1" si="9"/>
        <v>64</v>
      </c>
      <c r="AA527" s="534" t="s">
        <v>3222</v>
      </c>
      <c r="AB527" s="516" t="s">
        <v>3223</v>
      </c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3224</v>
      </c>
      <c r="E528" s="516">
        <f t="shared" si="8"/>
        <v>477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3225</v>
      </c>
      <c r="W528" s="541" t="s">
        <v>3226</v>
      </c>
      <c r="X528" s="516" t="s">
        <v>876</v>
      </c>
      <c r="Y528" s="542">
        <v>18510</v>
      </c>
      <c r="Z528" s="543">
        <f t="shared" ca="1" si="9"/>
        <v>75</v>
      </c>
      <c r="AA528" s="534" t="s">
        <v>3227</v>
      </c>
      <c r="AB528" s="516" t="s">
        <v>3228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3229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3230</v>
      </c>
      <c r="E529" s="516">
        <f t="shared" si="8"/>
        <v>478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3231</v>
      </c>
      <c r="W529" s="541" t="s">
        <v>3232</v>
      </c>
      <c r="X529" s="516" t="s">
        <v>876</v>
      </c>
      <c r="Y529" s="542">
        <v>20474</v>
      </c>
      <c r="Z529" s="543">
        <f t="shared" ca="1" si="9"/>
        <v>70</v>
      </c>
      <c r="AA529" s="534" t="s">
        <v>3233</v>
      </c>
      <c r="AB529" s="516" t="s">
        <v>3234</v>
      </c>
      <c r="AC529" s="516" t="s">
        <v>842</v>
      </c>
      <c r="AD529" s="516" t="s">
        <v>851</v>
      </c>
      <c r="AE529" s="534" t="s">
        <v>236</v>
      </c>
      <c r="AF529" s="534" t="s">
        <v>236</v>
      </c>
      <c r="AG529" s="534" t="s">
        <v>743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3:39" ht="18" customHeight="1">
      <c r="C530" s="516">
        <v>510</v>
      </c>
      <c r="D530" s="516" t="s">
        <v>3235</v>
      </c>
      <c r="E530" s="516">
        <f t="shared" si="8"/>
        <v>479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3236</v>
      </c>
      <c r="W530" s="541" t="s">
        <v>3237</v>
      </c>
      <c r="X530" s="516" t="s">
        <v>876</v>
      </c>
      <c r="Y530" s="542">
        <v>22535</v>
      </c>
      <c r="Z530" s="543">
        <f t="shared" ca="1" si="9"/>
        <v>64</v>
      </c>
      <c r="AA530" s="534" t="s">
        <v>3238</v>
      </c>
      <c r="AB530" s="516" t="s">
        <v>3239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34" t="s">
        <v>3240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3:39" ht="18" customHeight="1">
      <c r="C531" s="516">
        <v>511</v>
      </c>
      <c r="D531" s="516" t="s">
        <v>3241</v>
      </c>
      <c r="E531" s="516">
        <f t="shared" si="8"/>
        <v>480</v>
      </c>
      <c r="F531" s="534" t="s">
        <v>1841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3242</v>
      </c>
      <c r="W531" s="541" t="s">
        <v>3243</v>
      </c>
      <c r="X531" s="516" t="s">
        <v>876</v>
      </c>
      <c r="Y531" s="542">
        <v>22940</v>
      </c>
      <c r="Z531" s="543">
        <f t="shared" ca="1" si="9"/>
        <v>63</v>
      </c>
      <c r="AA531" s="534" t="s">
        <v>3244</v>
      </c>
      <c r="AB531" s="516" t="s">
        <v>3245</v>
      </c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74" t="s">
        <v>3246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3:39" ht="18" customHeight="1">
      <c r="C532" s="516">
        <v>512</v>
      </c>
      <c r="D532" s="516" t="s">
        <v>3218</v>
      </c>
      <c r="E532" s="516">
        <f t="shared" si="8"/>
        <v>481</v>
      </c>
      <c r="F532" s="534" t="s">
        <v>1822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 t="s">
        <v>62</v>
      </c>
      <c r="S532" s="516" t="s">
        <v>548</v>
      </c>
      <c r="T532" s="516"/>
      <c r="U532" s="516" t="s">
        <v>898</v>
      </c>
      <c r="V532" s="538" t="s">
        <v>3247</v>
      </c>
      <c r="W532" s="541" t="s">
        <v>3248</v>
      </c>
      <c r="X532" s="516" t="s">
        <v>876</v>
      </c>
      <c r="Y532" s="542">
        <v>20435</v>
      </c>
      <c r="Z532" s="543">
        <f t="shared" ca="1" si="9"/>
        <v>70</v>
      </c>
      <c r="AA532" s="534" t="s">
        <v>3249</v>
      </c>
      <c r="AB532" s="516" t="s">
        <v>3250</v>
      </c>
      <c r="AC532" s="516" t="s">
        <v>842</v>
      </c>
      <c r="AD532" s="516" t="s">
        <v>851</v>
      </c>
      <c r="AE532" s="534" t="s">
        <v>942</v>
      </c>
      <c r="AF532" s="534" t="s">
        <v>942</v>
      </c>
      <c r="AG532" s="534" t="s">
        <v>2179</v>
      </c>
      <c r="AH532" s="516"/>
      <c r="AI532" s="516"/>
      <c r="AJ532" s="516" t="s">
        <v>903</v>
      </c>
      <c r="AK532" s="516" t="s">
        <v>1863</v>
      </c>
      <c r="AL532" s="544"/>
      <c r="AM532" s="544"/>
    </row>
    <row r="533" spans="3:39" ht="18" customHeight="1">
      <c r="C533" s="516">
        <v>513</v>
      </c>
      <c r="D533" s="516" t="s">
        <v>3251</v>
      </c>
      <c r="E533" s="516">
        <f t="shared" si="8"/>
        <v>482</v>
      </c>
      <c r="F533" s="534" t="s">
        <v>811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898</v>
      </c>
      <c r="V533" s="538" t="s">
        <v>3252</v>
      </c>
      <c r="W533" s="541" t="s">
        <v>3253</v>
      </c>
      <c r="X533" s="516" t="s">
        <v>876</v>
      </c>
      <c r="Y533" s="542">
        <v>18484</v>
      </c>
      <c r="Z533" s="543">
        <f t="shared" ca="1" si="9"/>
        <v>75</v>
      </c>
      <c r="AA533" s="534" t="s">
        <v>3254</v>
      </c>
      <c r="AB533" s="516" t="s">
        <v>3255</v>
      </c>
      <c r="AC533" s="516" t="s">
        <v>802</v>
      </c>
      <c r="AD533" s="516" t="s">
        <v>794</v>
      </c>
      <c r="AE533" s="534" t="s">
        <v>815</v>
      </c>
      <c r="AF533" s="534" t="s">
        <v>1400</v>
      </c>
      <c r="AG533" s="534" t="s">
        <v>3256</v>
      </c>
      <c r="AH533" s="516"/>
      <c r="AI533" s="516"/>
      <c r="AJ533" s="516" t="s">
        <v>903</v>
      </c>
      <c r="AK533" s="516"/>
      <c r="AL533" s="544"/>
      <c r="AM533" s="544"/>
    </row>
    <row r="534" spans="3:39" ht="18" customHeight="1">
      <c r="C534" s="516">
        <v>514</v>
      </c>
      <c r="D534" s="516" t="s">
        <v>3257</v>
      </c>
      <c r="E534" s="516">
        <f t="shared" si="8"/>
        <v>483</v>
      </c>
      <c r="F534" s="534" t="s">
        <v>811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3258</v>
      </c>
      <c r="W534" s="541" t="s">
        <v>3259</v>
      </c>
      <c r="X534" s="516" t="s">
        <v>876</v>
      </c>
      <c r="Y534" s="542">
        <v>22162</v>
      </c>
      <c r="Z534" s="543">
        <f t="shared" ca="1" si="9"/>
        <v>65</v>
      </c>
      <c r="AA534" s="534" t="s">
        <v>3222</v>
      </c>
      <c r="AB534" s="516" t="s">
        <v>3260</v>
      </c>
      <c r="AC534" s="516" t="s">
        <v>802</v>
      </c>
      <c r="AD534" s="516" t="s">
        <v>794</v>
      </c>
      <c r="AE534" s="534" t="s">
        <v>815</v>
      </c>
      <c r="AF534" s="606" t="s">
        <v>815</v>
      </c>
      <c r="AG534" s="534" t="s">
        <v>2496</v>
      </c>
      <c r="AH534" s="516"/>
      <c r="AI534" s="516"/>
      <c r="AJ534" s="516" t="s">
        <v>903</v>
      </c>
      <c r="AK534" s="516"/>
      <c r="AL534" s="544"/>
      <c r="AM534" s="544"/>
    </row>
    <row r="535" spans="3:39" ht="18" customHeight="1">
      <c r="C535" s="516">
        <v>515</v>
      </c>
      <c r="D535" s="516" t="s">
        <v>3261</v>
      </c>
      <c r="E535" s="516">
        <f t="shared" si="8"/>
        <v>484</v>
      </c>
      <c r="F535" s="534" t="s">
        <v>811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/>
      <c r="R535" s="516"/>
      <c r="S535" s="516"/>
      <c r="T535" s="516"/>
      <c r="U535" s="516" t="s">
        <v>874</v>
      </c>
      <c r="V535" s="538" t="s">
        <v>3262</v>
      </c>
      <c r="W535" s="541" t="s">
        <v>3263</v>
      </c>
      <c r="X535" s="516" t="s">
        <v>876</v>
      </c>
      <c r="Y535" s="542">
        <v>23624</v>
      </c>
      <c r="Z535" s="543">
        <f t="shared" ca="1" si="9"/>
        <v>61</v>
      </c>
      <c r="AA535" s="534" t="s">
        <v>3264</v>
      </c>
      <c r="AB535" s="516" t="s">
        <v>3265</v>
      </c>
      <c r="AC535" s="516" t="s">
        <v>842</v>
      </c>
      <c r="AD535" s="516" t="s">
        <v>843</v>
      </c>
      <c r="AE535" s="534" t="s">
        <v>815</v>
      </c>
      <c r="AF535" s="606" t="s">
        <v>815</v>
      </c>
      <c r="AG535" s="534" t="s">
        <v>2383</v>
      </c>
      <c r="AH535" s="516"/>
      <c r="AI535" s="516"/>
      <c r="AJ535" s="516" t="s">
        <v>903</v>
      </c>
      <c r="AK535" s="516"/>
      <c r="AL535" s="544"/>
      <c r="AM535" s="544"/>
    </row>
    <row r="536" spans="3:39" ht="18" customHeight="1">
      <c r="C536" s="516">
        <v>516</v>
      </c>
      <c r="D536" s="516" t="s">
        <v>3266</v>
      </c>
      <c r="E536" s="516">
        <f t="shared" si="8"/>
        <v>485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38" t="s">
        <v>938</v>
      </c>
      <c r="Q536" s="539" t="s">
        <v>308</v>
      </c>
      <c r="R536" s="516"/>
      <c r="S536" s="516"/>
      <c r="T536" s="516"/>
      <c r="U536" s="516" t="s">
        <v>898</v>
      </c>
      <c r="V536" s="538" t="s">
        <v>3267</v>
      </c>
      <c r="W536" s="541" t="s">
        <v>3268</v>
      </c>
      <c r="X536" s="516" t="s">
        <v>876</v>
      </c>
      <c r="Y536" s="542">
        <v>16115</v>
      </c>
      <c r="Z536" s="543">
        <f t="shared" ca="1" si="9"/>
        <v>81</v>
      </c>
      <c r="AA536" s="534" t="s">
        <v>3269</v>
      </c>
      <c r="AB536" s="516" t="s">
        <v>3270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3:39" ht="18" customHeight="1">
      <c r="C537" s="516">
        <v>517</v>
      </c>
      <c r="D537" s="516" t="s">
        <v>3271</v>
      </c>
      <c r="E537" s="516">
        <f t="shared" si="8"/>
        <v>486</v>
      </c>
      <c r="F537" s="534" t="s">
        <v>1001</v>
      </c>
      <c r="G537" s="534" t="s">
        <v>3054</v>
      </c>
      <c r="H537" s="535" t="s">
        <v>2898</v>
      </c>
      <c r="I537" s="535" t="s">
        <v>484</v>
      </c>
      <c r="J537" s="535" t="s">
        <v>2918</v>
      </c>
      <c r="K537" s="535" t="s">
        <v>2918</v>
      </c>
      <c r="L537" s="535" t="s">
        <v>3217</v>
      </c>
      <c r="M537" s="629" t="s">
        <v>3218</v>
      </c>
      <c r="N537" s="537"/>
      <c r="O537" s="537"/>
      <c r="P537" s="559" t="s">
        <v>938</v>
      </c>
      <c r="Q537" s="539" t="s">
        <v>308</v>
      </c>
      <c r="R537" s="516"/>
      <c r="S537" s="516"/>
      <c r="T537" s="516"/>
      <c r="U537" s="516" t="s">
        <v>874</v>
      </c>
      <c r="V537" s="559" t="s">
        <v>564</v>
      </c>
      <c r="W537" s="541" t="s">
        <v>3272</v>
      </c>
      <c r="X537" s="516" t="s">
        <v>876</v>
      </c>
      <c r="Y537" s="542">
        <v>23037</v>
      </c>
      <c r="Z537" s="543">
        <f t="shared" ca="1" si="9"/>
        <v>63</v>
      </c>
      <c r="AA537" s="534" t="s">
        <v>3273</v>
      </c>
      <c r="AB537" s="516" t="s">
        <v>3274</v>
      </c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865</v>
      </c>
      <c r="AH537" s="516"/>
      <c r="AI537" s="516"/>
      <c r="AJ537" s="593" t="s">
        <v>1950</v>
      </c>
      <c r="AK537" s="516"/>
      <c r="AL537" s="544"/>
      <c r="AM537" s="544"/>
    </row>
    <row r="538" spans="3:39" ht="18" customHeight="1">
      <c r="C538" s="516">
        <v>518</v>
      </c>
      <c r="D538" s="516" t="s">
        <v>3291</v>
      </c>
      <c r="E538" s="516">
        <f t="shared" si="8"/>
        <v>487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48" t="s">
        <v>787</v>
      </c>
      <c r="Q538" s="539"/>
      <c r="R538" s="516" t="s">
        <v>982</v>
      </c>
      <c r="S538" s="516" t="s">
        <v>163</v>
      </c>
      <c r="T538" s="516" t="s">
        <v>49</v>
      </c>
      <c r="U538" s="516" t="s">
        <v>874</v>
      </c>
      <c r="V538" s="548" t="s">
        <v>459</v>
      </c>
      <c r="W538" s="541" t="s">
        <v>3294</v>
      </c>
      <c r="X538" s="516" t="s">
        <v>876</v>
      </c>
      <c r="Y538" s="542">
        <v>28590</v>
      </c>
      <c r="Z538" s="543">
        <f t="shared" ca="1" si="9"/>
        <v>47</v>
      </c>
      <c r="AA538" s="594" t="s">
        <v>3295</v>
      </c>
      <c r="AB538" s="516" t="s">
        <v>3296</v>
      </c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2149</v>
      </c>
      <c r="E539" s="516">
        <f t="shared" si="8"/>
        <v>488</v>
      </c>
      <c r="F539" s="534" t="s">
        <v>811</v>
      </c>
      <c r="G539" s="534" t="s">
        <v>783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49</v>
      </c>
      <c r="S539" s="516" t="s">
        <v>168</v>
      </c>
      <c r="T539" s="516"/>
      <c r="U539" s="516" t="s">
        <v>788</v>
      </c>
      <c r="V539" s="559" t="s">
        <v>174</v>
      </c>
      <c r="W539" s="541" t="s">
        <v>2151</v>
      </c>
      <c r="X539" s="516" t="s">
        <v>876</v>
      </c>
      <c r="Y539" s="542">
        <v>36505</v>
      </c>
      <c r="Z539" s="543">
        <f t="shared" ca="1" si="9"/>
        <v>26</v>
      </c>
      <c r="AA539" s="534" t="s">
        <v>2152</v>
      </c>
      <c r="AB539" s="516" t="s">
        <v>3304</v>
      </c>
      <c r="AC539" s="516" t="s">
        <v>793</v>
      </c>
      <c r="AD539" s="516" t="s">
        <v>794</v>
      </c>
      <c r="AE539" s="534" t="s">
        <v>236</v>
      </c>
      <c r="AF539" s="534" t="s">
        <v>795</v>
      </c>
      <c r="AG539" s="534" t="s">
        <v>804</v>
      </c>
      <c r="AH539" s="516"/>
      <c r="AI539" s="516"/>
      <c r="AJ539" s="516" t="s">
        <v>1535</v>
      </c>
      <c r="AK539" s="516"/>
      <c r="AL539" s="544"/>
      <c r="AM539" s="544"/>
    </row>
    <row r="540" spans="3:39" ht="18" customHeight="1">
      <c r="C540" s="516">
        <v>520</v>
      </c>
      <c r="D540" s="516" t="s">
        <v>3293</v>
      </c>
      <c r="E540" s="516">
        <f t="shared" si="8"/>
        <v>489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 t="s">
        <v>62</v>
      </c>
      <c r="S540" s="516" t="s">
        <v>548</v>
      </c>
      <c r="T540" s="516"/>
      <c r="U540" s="516" t="s">
        <v>788</v>
      </c>
      <c r="V540" s="538" t="s">
        <v>3298</v>
      </c>
      <c r="W540" s="541" t="s">
        <v>3299</v>
      </c>
      <c r="X540" s="516" t="s">
        <v>876</v>
      </c>
      <c r="Y540" s="542">
        <v>36654</v>
      </c>
      <c r="Z540" s="543">
        <f t="shared" ca="1" si="9"/>
        <v>25</v>
      </c>
      <c r="AA540" s="534" t="s">
        <v>3300</v>
      </c>
      <c r="AB540" s="516" t="s">
        <v>3301</v>
      </c>
      <c r="AC540" s="516" t="s">
        <v>842</v>
      </c>
      <c r="AD540" s="516" t="s">
        <v>851</v>
      </c>
      <c r="AE540" s="534" t="s">
        <v>236</v>
      </c>
      <c r="AF540" s="534" t="s">
        <v>236</v>
      </c>
      <c r="AG540" s="534" t="s">
        <v>3302</v>
      </c>
      <c r="AH540" s="516"/>
      <c r="AI540" s="516" t="s">
        <v>3303</v>
      </c>
      <c r="AJ540" s="516" t="s">
        <v>903</v>
      </c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3305</v>
      </c>
      <c r="E541" s="516">
        <f t="shared" si="8"/>
        <v>490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874</v>
      </c>
      <c r="V541" s="538" t="s">
        <v>3306</v>
      </c>
      <c r="W541" s="541" t="s">
        <v>3307</v>
      </c>
      <c r="X541" s="516" t="s">
        <v>876</v>
      </c>
      <c r="Y541" s="542">
        <v>32251</v>
      </c>
      <c r="Z541" s="543">
        <f t="shared" ca="1" si="9"/>
        <v>37</v>
      </c>
      <c r="AA541" s="534" t="s">
        <v>3308</v>
      </c>
      <c r="AB541" s="516" t="s">
        <v>3309</v>
      </c>
      <c r="AC541" s="516" t="s">
        <v>842</v>
      </c>
      <c r="AD541" s="516" t="s">
        <v>843</v>
      </c>
      <c r="AE541" s="534" t="s">
        <v>236</v>
      </c>
      <c r="AF541" s="534" t="s">
        <v>1797</v>
      </c>
      <c r="AG541" s="534" t="s">
        <v>3310</v>
      </c>
      <c r="AH541" s="516"/>
      <c r="AI541" s="516" t="s">
        <v>1827</v>
      </c>
      <c r="AJ541" s="516" t="s">
        <v>903</v>
      </c>
      <c r="AK541" s="516" t="s">
        <v>860</v>
      </c>
      <c r="AL541" s="544"/>
      <c r="AM541" s="544"/>
    </row>
    <row r="542" spans="3:39" ht="18" customHeight="1">
      <c r="C542" s="516">
        <v>522</v>
      </c>
      <c r="D542" s="516" t="s">
        <v>3311</v>
      </c>
      <c r="E542" s="516">
        <f t="shared" si="8"/>
        <v>491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38" t="s">
        <v>787</v>
      </c>
      <c r="Q542" s="539"/>
      <c r="R542" s="516"/>
      <c r="S542" s="516"/>
      <c r="T542" s="516"/>
      <c r="U542" s="516" t="s">
        <v>788</v>
      </c>
      <c r="V542" s="538" t="s">
        <v>3312</v>
      </c>
      <c r="W542" s="541" t="s">
        <v>3313</v>
      </c>
      <c r="X542" s="516" t="s">
        <v>876</v>
      </c>
      <c r="Y542" s="542">
        <v>37018</v>
      </c>
      <c r="Z542" s="543">
        <f t="shared" ca="1" si="9"/>
        <v>24</v>
      </c>
      <c r="AA542" s="534" t="s">
        <v>3314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3315</v>
      </c>
      <c r="AH542" s="516"/>
      <c r="AI542" s="516" t="s">
        <v>3316</v>
      </c>
      <c r="AJ542" s="516" t="s">
        <v>903</v>
      </c>
      <c r="AK542" s="516" t="s">
        <v>860</v>
      </c>
      <c r="AL542" s="544"/>
      <c r="AM542" s="544"/>
    </row>
    <row r="543" spans="3:39" ht="18" customHeight="1">
      <c r="C543" s="516">
        <v>523</v>
      </c>
      <c r="D543" s="516" t="s">
        <v>3317</v>
      </c>
      <c r="E543" s="516">
        <f t="shared" si="8"/>
        <v>492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3291</v>
      </c>
      <c r="L543" s="656" t="s">
        <v>3293</v>
      </c>
      <c r="M543" s="536"/>
      <c r="N543" s="537"/>
      <c r="O543" s="537"/>
      <c r="P543" s="559" t="s">
        <v>787</v>
      </c>
      <c r="Q543" s="539"/>
      <c r="R543" s="516"/>
      <c r="S543" s="516"/>
      <c r="T543" s="516"/>
      <c r="U543" s="516" t="s">
        <v>788</v>
      </c>
      <c r="V543" s="559" t="s">
        <v>3318</v>
      </c>
      <c r="W543" s="541" t="s">
        <v>3319</v>
      </c>
      <c r="X543" s="516" t="s">
        <v>876</v>
      </c>
      <c r="Y543" s="542">
        <v>34632</v>
      </c>
      <c r="Z543" s="543">
        <f t="shared" ca="1" si="9"/>
        <v>31</v>
      </c>
      <c r="AA543" s="534" t="s">
        <v>3320</v>
      </c>
      <c r="AB543" s="571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3240</v>
      </c>
      <c r="AH543" s="516"/>
      <c r="AI543" s="516" t="s">
        <v>4260</v>
      </c>
      <c r="AJ543" s="516" t="s">
        <v>903</v>
      </c>
      <c r="AK543" s="516" t="s">
        <v>860</v>
      </c>
      <c r="AL543" s="544"/>
      <c r="AM543" s="544"/>
    </row>
    <row r="544" spans="3:39" ht="18" customHeight="1">
      <c r="C544" s="516">
        <v>524</v>
      </c>
      <c r="D544" s="516" t="s">
        <v>3341</v>
      </c>
      <c r="E544" s="516">
        <f t="shared" si="8"/>
        <v>493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786</v>
      </c>
      <c r="M544" s="536"/>
      <c r="N544" s="537"/>
      <c r="O544" s="537"/>
      <c r="P544" s="548" t="s">
        <v>828</v>
      </c>
      <c r="Q544" s="539"/>
      <c r="R544" s="516" t="s">
        <v>49</v>
      </c>
      <c r="S544" s="516" t="s">
        <v>49</v>
      </c>
      <c r="T544" s="516"/>
      <c r="U544" s="516" t="s">
        <v>874</v>
      </c>
      <c r="V544" s="548" t="s">
        <v>460</v>
      </c>
      <c r="W544" s="541" t="s">
        <v>3342</v>
      </c>
      <c r="X544" s="516" t="s">
        <v>876</v>
      </c>
      <c r="Y544" s="542">
        <v>23643</v>
      </c>
      <c r="Z544" s="543">
        <f t="shared" ca="1" si="9"/>
        <v>61</v>
      </c>
      <c r="AA544" s="534" t="s">
        <v>3343</v>
      </c>
      <c r="AB544" s="516" t="s">
        <v>3344</v>
      </c>
      <c r="AC544" s="516" t="s">
        <v>802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3328</v>
      </c>
      <c r="E545" s="516">
        <f t="shared" si="8"/>
        <v>494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3341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3329</v>
      </c>
      <c r="W545" s="541" t="s">
        <v>3330</v>
      </c>
      <c r="X545" s="516" t="s">
        <v>876</v>
      </c>
      <c r="Y545" s="542">
        <v>18216</v>
      </c>
      <c r="Z545" s="543">
        <f t="shared" ca="1" si="9"/>
        <v>76</v>
      </c>
      <c r="AA545" s="534" t="s">
        <v>3331</v>
      </c>
      <c r="AB545" s="516" t="s">
        <v>3332</v>
      </c>
      <c r="AC545" s="516" t="s">
        <v>802</v>
      </c>
      <c r="AD545" s="516" t="s">
        <v>794</v>
      </c>
      <c r="AE545" s="534" t="s">
        <v>809</v>
      </c>
      <c r="AF545" s="534" t="s">
        <v>236</v>
      </c>
      <c r="AG545" s="534" t="s">
        <v>865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3333</v>
      </c>
      <c r="E546" s="516">
        <f t="shared" si="8"/>
        <v>495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3341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38" t="s">
        <v>471</v>
      </c>
      <c r="W546" s="541" t="s">
        <v>3334</v>
      </c>
      <c r="X546" s="516" t="s">
        <v>876</v>
      </c>
      <c r="Y546" s="542">
        <v>18323</v>
      </c>
      <c r="Z546" s="543">
        <f t="shared" ca="1" si="9"/>
        <v>75</v>
      </c>
      <c r="AA546" s="534" t="s">
        <v>3335</v>
      </c>
      <c r="AB546" s="516" t="s">
        <v>3336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3337</v>
      </c>
      <c r="E547" s="516">
        <f t="shared" si="8"/>
        <v>496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3341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898</v>
      </c>
      <c r="V547" s="538" t="s">
        <v>477</v>
      </c>
      <c r="W547" s="541" t="s">
        <v>3338</v>
      </c>
      <c r="X547" s="516" t="s">
        <v>876</v>
      </c>
      <c r="Y547" s="542">
        <v>18840</v>
      </c>
      <c r="Z547" s="543">
        <f t="shared" ca="1" si="9"/>
        <v>74</v>
      </c>
      <c r="AA547" s="534" t="s">
        <v>3339</v>
      </c>
      <c r="AB547" s="516" t="s">
        <v>3340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3345</v>
      </c>
      <c r="E548" s="516">
        <f t="shared" si="8"/>
        <v>497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3341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9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529</v>
      </c>
      <c r="D549" s="516" t="s">
        <v>3349</v>
      </c>
      <c r="E549" s="516">
        <f t="shared" si="8"/>
        <v>498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3341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9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530</v>
      </c>
      <c r="D550" s="516" t="s">
        <v>3354</v>
      </c>
      <c r="E550" s="516">
        <f t="shared" si="8"/>
        <v>499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9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3359</v>
      </c>
      <c r="E551" s="516">
        <f t="shared" si="8"/>
        <v>500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9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3240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3364</v>
      </c>
      <c r="E552" s="516">
        <f t="shared" si="8"/>
        <v>501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9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3370</v>
      </c>
      <c r="E553" s="516">
        <f t="shared" si="8"/>
        <v>502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9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534</v>
      </c>
      <c r="D554" s="516" t="s">
        <v>3375</v>
      </c>
      <c r="E554" s="516">
        <f t="shared" si="8"/>
        <v>503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9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535</v>
      </c>
      <c r="D555" s="516" t="s">
        <v>3379</v>
      </c>
      <c r="E555" s="516">
        <f t="shared" si="8"/>
        <v>504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9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536</v>
      </c>
      <c r="D556" s="516" t="s">
        <v>3384</v>
      </c>
      <c r="E556" s="516">
        <f t="shared" si="8"/>
        <v>505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9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3385</v>
      </c>
      <c r="E557" s="516">
        <f t="shared" si="8"/>
        <v>506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9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538</v>
      </c>
      <c r="D558" s="516" t="s">
        <v>3393</v>
      </c>
      <c r="E558" s="516">
        <f t="shared" si="8"/>
        <v>507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9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3399</v>
      </c>
      <c r="E559" s="516">
        <f t="shared" si="8"/>
        <v>508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9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3404</v>
      </c>
      <c r="E560" s="516">
        <f t="shared" si="8"/>
        <v>509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9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3410</v>
      </c>
      <c r="E561" s="516">
        <f t="shared" si="8"/>
        <v>510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9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542</v>
      </c>
      <c r="D562" s="516" t="s">
        <v>3416</v>
      </c>
      <c r="E562" s="516">
        <f t="shared" si="8"/>
        <v>511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9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543</v>
      </c>
      <c r="D563" s="516" t="s">
        <v>3420</v>
      </c>
      <c r="E563" s="516">
        <f t="shared" si="8"/>
        <v>512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9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544</v>
      </c>
      <c r="D564" s="516" t="s">
        <v>3426</v>
      </c>
      <c r="E564" s="516">
        <f t="shared" si="8"/>
        <v>513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9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3427</v>
      </c>
      <c r="E565" s="516">
        <f t="shared" si="8"/>
        <v>514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9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3436</v>
      </c>
      <c r="E566" s="516">
        <f t="shared" si="8"/>
        <v>515</v>
      </c>
      <c r="F566" s="534" t="s">
        <v>811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9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547</v>
      </c>
      <c r="D567" s="516" t="s">
        <v>3441</v>
      </c>
      <c r="E567" s="516">
        <f t="shared" si="8"/>
        <v>516</v>
      </c>
      <c r="F567" s="534" t="s">
        <v>811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9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548</v>
      </c>
      <c r="D568" s="516" t="s">
        <v>3445</v>
      </c>
      <c r="E568" s="516">
        <f t="shared" si="8"/>
        <v>517</v>
      </c>
      <c r="F568" s="534" t="s">
        <v>811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9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549</v>
      </c>
      <c r="D569" s="516" t="s">
        <v>3450</v>
      </c>
      <c r="E569" s="516">
        <f t="shared" si="8"/>
        <v>518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9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3323</v>
      </c>
      <c r="E570" s="516">
        <f t="shared" si="8"/>
        <v>519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 t="s">
        <v>62</v>
      </c>
      <c r="S570" s="516" t="s">
        <v>548</v>
      </c>
      <c r="T570" s="516"/>
      <c r="U570" s="562" t="s">
        <v>874</v>
      </c>
      <c r="V570" s="538" t="s">
        <v>505</v>
      </c>
      <c r="W570" s="560" t="s">
        <v>3325</v>
      </c>
      <c r="X570" s="516" t="s">
        <v>876</v>
      </c>
      <c r="Y570" s="542">
        <v>28886</v>
      </c>
      <c r="Z570" s="543">
        <f t="shared" ca="1" si="9"/>
        <v>46</v>
      </c>
      <c r="AA570" s="534" t="s">
        <v>3326</v>
      </c>
      <c r="AB570" s="516" t="s">
        <v>3327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74" t="s">
        <v>3246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3454</v>
      </c>
      <c r="E571" s="516">
        <f t="shared" si="8"/>
        <v>520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513</v>
      </c>
      <c r="W571" s="560" t="s">
        <v>3455</v>
      </c>
      <c r="X571" s="516" t="s">
        <v>876</v>
      </c>
      <c r="Y571" s="542">
        <v>31368</v>
      </c>
      <c r="Z571" s="543">
        <f t="shared" ca="1" si="9"/>
        <v>40</v>
      </c>
      <c r="AA571" s="534" t="s">
        <v>3456</v>
      </c>
      <c r="AB571" s="516" t="s">
        <v>3457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3458</v>
      </c>
      <c r="E572" s="516">
        <f t="shared" si="8"/>
        <v>521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3459</v>
      </c>
      <c r="W572" s="560" t="s">
        <v>3460</v>
      </c>
      <c r="X572" s="516" t="s">
        <v>876</v>
      </c>
      <c r="Y572" s="542">
        <v>32528</v>
      </c>
      <c r="Z572" s="543">
        <f t="shared" ca="1" si="9"/>
        <v>37</v>
      </c>
      <c r="AA572" s="534" t="s">
        <v>3461</v>
      </c>
      <c r="AB572" s="516" t="s">
        <v>3462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3463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3464</v>
      </c>
      <c r="E573" s="516">
        <f t="shared" si="8"/>
        <v>522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38" t="s">
        <v>529</v>
      </c>
      <c r="W573" s="560" t="s">
        <v>3465</v>
      </c>
      <c r="X573" s="516" t="s">
        <v>876</v>
      </c>
      <c r="Y573" s="542">
        <v>33412</v>
      </c>
      <c r="Z573" s="543">
        <f t="shared" ca="1" si="9"/>
        <v>34</v>
      </c>
      <c r="AA573" s="534" t="s">
        <v>3466</v>
      </c>
      <c r="AB573" s="516" t="s">
        <v>3467</v>
      </c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3409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3468</v>
      </c>
      <c r="E574" s="516">
        <f t="shared" si="8"/>
        <v>523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/>
      <c r="R574" s="516"/>
      <c r="S574" s="516"/>
      <c r="T574" s="516"/>
      <c r="U574" s="562" t="s">
        <v>874</v>
      </c>
      <c r="V574" s="540" t="s">
        <v>536</v>
      </c>
      <c r="W574" s="560" t="s">
        <v>3469</v>
      </c>
      <c r="X574" s="516" t="s">
        <v>876</v>
      </c>
      <c r="Y574" s="542">
        <v>32543</v>
      </c>
      <c r="Z574" s="543">
        <f t="shared" ca="1" si="9"/>
        <v>36</v>
      </c>
      <c r="AA574" s="534" t="s">
        <v>3470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3471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3472</v>
      </c>
      <c r="E575" s="516">
        <f t="shared" si="8"/>
        <v>524</v>
      </c>
      <c r="F575" s="534" t="s">
        <v>811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602" t="s">
        <v>3473</v>
      </c>
      <c r="W575" s="560" t="s">
        <v>3474</v>
      </c>
      <c r="X575" s="516" t="s">
        <v>876</v>
      </c>
      <c r="Y575" s="542">
        <v>32597</v>
      </c>
      <c r="Z575" s="543">
        <f t="shared" ca="1" si="9"/>
        <v>36</v>
      </c>
      <c r="AA575" s="534" t="s">
        <v>3475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2179</v>
      </c>
      <c r="AH575" s="516"/>
      <c r="AI575" s="516"/>
      <c r="AJ575" s="631" t="s">
        <v>1438</v>
      </c>
      <c r="AK575" s="516"/>
      <c r="AL575" s="544"/>
      <c r="AM575" s="544"/>
    </row>
    <row r="576" spans="3:39" ht="18" customHeight="1">
      <c r="C576" s="516">
        <v>556</v>
      </c>
      <c r="D576" s="516" t="s">
        <v>3476</v>
      </c>
      <c r="E576" s="516">
        <f t="shared" si="8"/>
        <v>525</v>
      </c>
      <c r="F576" s="534" t="s">
        <v>1001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3450</v>
      </c>
      <c r="L576" s="535" t="s">
        <v>3323</v>
      </c>
      <c r="M576" s="536"/>
      <c r="N576" s="537"/>
      <c r="O576" s="537"/>
      <c r="P576" s="538" t="s">
        <v>787</v>
      </c>
      <c r="Q576" s="539" t="s">
        <v>308</v>
      </c>
      <c r="R576" s="516"/>
      <c r="S576" s="516"/>
      <c r="T576" s="516"/>
      <c r="U576" s="562" t="s">
        <v>874</v>
      </c>
      <c r="V576" s="563" t="s">
        <v>3477</v>
      </c>
      <c r="W576" s="560" t="s">
        <v>3478</v>
      </c>
      <c r="X576" s="516" t="s">
        <v>876</v>
      </c>
      <c r="Y576" s="542"/>
      <c r="Z576" s="543"/>
      <c r="AA576" s="534"/>
      <c r="AB576" s="516" t="s">
        <v>3479</v>
      </c>
      <c r="AC576" s="516" t="s">
        <v>842</v>
      </c>
      <c r="AD576" s="516" t="s">
        <v>843</v>
      </c>
      <c r="AE576" s="534"/>
      <c r="AF576" s="534"/>
      <c r="AG576" s="534"/>
      <c r="AH576" s="516"/>
      <c r="AI576" s="516"/>
      <c r="AJ576" s="631" t="s">
        <v>1224</v>
      </c>
      <c r="AK576" s="516"/>
      <c r="AL576" s="544"/>
      <c r="AM576" s="544"/>
    </row>
    <row r="577" spans="3:39" ht="18" customHeight="1">
      <c r="C577" s="516">
        <v>557</v>
      </c>
      <c r="D577" s="516" t="s">
        <v>2910</v>
      </c>
      <c r="E577" s="516">
        <f t="shared" si="8"/>
        <v>525</v>
      </c>
      <c r="F577" s="534"/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48" t="s">
        <v>828</v>
      </c>
      <c r="Q577" s="539"/>
      <c r="R577" s="516" t="s">
        <v>49</v>
      </c>
      <c r="S577" s="516" t="s">
        <v>49</v>
      </c>
      <c r="T577" s="516"/>
      <c r="U577" s="516"/>
      <c r="V577" s="548" t="s">
        <v>473</v>
      </c>
      <c r="W577" s="541" t="s">
        <v>2911</v>
      </c>
      <c r="X577" s="516" t="s">
        <v>876</v>
      </c>
      <c r="Y577" s="542">
        <v>22938</v>
      </c>
      <c r="Z577" s="543">
        <f t="shared" ref="Z577:Z735" ca="1" si="10">DATEDIF(Y577,TODAY(),"Y")</f>
        <v>63</v>
      </c>
      <c r="AA577" s="534" t="s">
        <v>2912</v>
      </c>
      <c r="AB577" s="516"/>
      <c r="AC577" s="516" t="s">
        <v>802</v>
      </c>
      <c r="AD577" s="516" t="s">
        <v>794</v>
      </c>
      <c r="AE577" s="534" t="s">
        <v>236</v>
      </c>
      <c r="AF577" s="534" t="s">
        <v>236</v>
      </c>
      <c r="AG577" s="534" t="s">
        <v>865</v>
      </c>
      <c r="AH577" s="516" t="s">
        <v>872</v>
      </c>
      <c r="AI577" s="516"/>
      <c r="AJ577" s="516"/>
      <c r="AK577" s="516"/>
      <c r="AL577" s="544"/>
      <c r="AM577" s="544"/>
    </row>
    <row r="578" spans="3:39" ht="18" customHeight="1">
      <c r="C578" s="516">
        <v>558</v>
      </c>
      <c r="D578" s="516" t="s">
        <v>3480</v>
      </c>
      <c r="E578" s="516">
        <f t="shared" si="8"/>
        <v>526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514</v>
      </c>
      <c r="W578" s="541" t="s">
        <v>3481</v>
      </c>
      <c r="X578" s="516" t="s">
        <v>876</v>
      </c>
      <c r="Y578" s="542">
        <v>20551</v>
      </c>
      <c r="Z578" s="543">
        <f t="shared" ca="1" si="10"/>
        <v>69</v>
      </c>
      <c r="AA578" s="534" t="s">
        <v>3482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34" t="s">
        <v>3409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559</v>
      </c>
      <c r="D579" s="516" t="s">
        <v>3483</v>
      </c>
      <c r="E579" s="516">
        <f t="shared" si="8"/>
        <v>527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522</v>
      </c>
      <c r="W579" s="541" t="s">
        <v>3484</v>
      </c>
      <c r="X579" s="516" t="s">
        <v>876</v>
      </c>
      <c r="Y579" s="542">
        <v>21795</v>
      </c>
      <c r="Z579" s="543">
        <f t="shared" ca="1" si="10"/>
        <v>66</v>
      </c>
      <c r="AA579" s="534" t="s">
        <v>3485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74" t="s">
        <v>3246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560</v>
      </c>
      <c r="D580" s="516" t="s">
        <v>3486</v>
      </c>
      <c r="E580" s="516">
        <f t="shared" si="8"/>
        <v>528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530</v>
      </c>
      <c r="W580" s="541" t="s">
        <v>3487</v>
      </c>
      <c r="X580" s="516" t="s">
        <v>876</v>
      </c>
      <c r="Y580" s="542">
        <v>23541</v>
      </c>
      <c r="Z580" s="543">
        <f t="shared" ca="1" si="10"/>
        <v>61</v>
      </c>
      <c r="AA580" s="534" t="s">
        <v>3488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3489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561</v>
      </c>
      <c r="D581" s="516" t="s">
        <v>3490</v>
      </c>
      <c r="E581" s="516">
        <f t="shared" si="8"/>
        <v>529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874</v>
      </c>
      <c r="V581" s="538" t="s">
        <v>3491</v>
      </c>
      <c r="W581" s="541" t="s">
        <v>3492</v>
      </c>
      <c r="X581" s="516" t="s">
        <v>876</v>
      </c>
      <c r="Y581" s="542">
        <v>27315</v>
      </c>
      <c r="Z581" s="543">
        <f t="shared" ca="1" si="10"/>
        <v>51</v>
      </c>
      <c r="AA581" s="534" t="s">
        <v>3493</v>
      </c>
      <c r="AB581" s="516" t="s">
        <v>3494</v>
      </c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3409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3495</v>
      </c>
      <c r="E582" s="516">
        <f t="shared" si="8"/>
        <v>530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898</v>
      </c>
      <c r="V582" s="538" t="s">
        <v>3496</v>
      </c>
      <c r="W582" s="541" t="s">
        <v>3497</v>
      </c>
      <c r="X582" s="516" t="s">
        <v>876</v>
      </c>
      <c r="Y582" s="542">
        <v>19981</v>
      </c>
      <c r="Z582" s="543">
        <f t="shared" ca="1" si="10"/>
        <v>71</v>
      </c>
      <c r="AA582" s="534" t="s">
        <v>3498</v>
      </c>
      <c r="AB582" s="516" t="s">
        <v>3499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2223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3500</v>
      </c>
      <c r="E583" s="516">
        <f t="shared" si="8"/>
        <v>531</v>
      </c>
      <c r="F583" s="534" t="s">
        <v>1822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/>
      <c r="R583" s="516"/>
      <c r="S583" s="516"/>
      <c r="T583" s="516"/>
      <c r="U583" s="516" t="s">
        <v>874</v>
      </c>
      <c r="V583" s="538" t="s">
        <v>3501</v>
      </c>
      <c r="W583" s="541" t="s">
        <v>3502</v>
      </c>
      <c r="X583" s="516" t="s">
        <v>876</v>
      </c>
      <c r="Y583" s="542">
        <v>22694</v>
      </c>
      <c r="Z583" s="543">
        <f t="shared" ca="1" si="10"/>
        <v>63</v>
      </c>
      <c r="AA583" s="534" t="s">
        <v>3503</v>
      </c>
      <c r="AB583" s="516" t="s">
        <v>3504</v>
      </c>
      <c r="AC583" s="516" t="s">
        <v>842</v>
      </c>
      <c r="AD583" s="516" t="s">
        <v>843</v>
      </c>
      <c r="AE583" s="534" t="s">
        <v>942</v>
      </c>
      <c r="AF583" s="534" t="s">
        <v>942</v>
      </c>
      <c r="AG583" s="534" t="s">
        <v>3471</v>
      </c>
      <c r="AH583" s="516"/>
      <c r="AI583" s="516"/>
      <c r="AJ583" s="516" t="s">
        <v>976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3505</v>
      </c>
      <c r="E584" s="516">
        <f t="shared" si="8"/>
        <v>532</v>
      </c>
      <c r="F584" s="534" t="s">
        <v>811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799</v>
      </c>
      <c r="V584" s="538" t="s">
        <v>553</v>
      </c>
      <c r="W584" s="541" t="s">
        <v>3506</v>
      </c>
      <c r="X584" s="516" t="s">
        <v>790</v>
      </c>
      <c r="Y584" s="542">
        <v>20455</v>
      </c>
      <c r="Z584" s="543">
        <f t="shared" ca="1" si="10"/>
        <v>70</v>
      </c>
      <c r="AA584" s="534" t="s">
        <v>3507</v>
      </c>
      <c r="AB584" s="516"/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565</v>
      </c>
      <c r="D585" s="516" t="s">
        <v>3508</v>
      </c>
      <c r="E585" s="516">
        <f t="shared" si="8"/>
        <v>533</v>
      </c>
      <c r="F585" s="534" t="s">
        <v>811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38" t="s">
        <v>828</v>
      </c>
      <c r="Q585" s="539" t="s">
        <v>308</v>
      </c>
      <c r="R585" s="516"/>
      <c r="S585" s="516"/>
      <c r="T585" s="516"/>
      <c r="U585" s="516" t="s">
        <v>874</v>
      </c>
      <c r="V585" s="538" t="s">
        <v>557</v>
      </c>
      <c r="W585" s="541" t="s">
        <v>3509</v>
      </c>
      <c r="X585" s="516" t="s">
        <v>876</v>
      </c>
      <c r="Y585" s="542">
        <v>21731</v>
      </c>
      <c r="Z585" s="543">
        <f t="shared" ca="1" si="10"/>
        <v>66</v>
      </c>
      <c r="AA585" s="534" t="s">
        <v>3507</v>
      </c>
      <c r="AB585" s="516" t="s">
        <v>3510</v>
      </c>
      <c r="AC585" s="516" t="s">
        <v>842</v>
      </c>
      <c r="AD585" s="516" t="s">
        <v>843</v>
      </c>
      <c r="AE585" s="534" t="s">
        <v>815</v>
      </c>
      <c r="AF585" s="606" t="s">
        <v>815</v>
      </c>
      <c r="AG585" s="534" t="s">
        <v>2734</v>
      </c>
      <c r="AH585" s="516"/>
      <c r="AI585" s="516"/>
      <c r="AJ585" s="516" t="s">
        <v>1497</v>
      </c>
      <c r="AK585" s="516"/>
      <c r="AL585" s="544"/>
      <c r="AM585" s="544"/>
    </row>
    <row r="586" spans="3:39" ht="18" customHeight="1">
      <c r="C586" s="516">
        <v>566</v>
      </c>
      <c r="D586" s="516" t="s">
        <v>3511</v>
      </c>
      <c r="E586" s="516">
        <f t="shared" si="8"/>
        <v>534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2910</v>
      </c>
      <c r="L586" s="535" t="s">
        <v>4213</v>
      </c>
      <c r="M586" s="536"/>
      <c r="N586" s="537"/>
      <c r="O586" s="537"/>
      <c r="P586" s="559" t="s">
        <v>828</v>
      </c>
      <c r="Q586" s="539" t="s">
        <v>308</v>
      </c>
      <c r="R586" s="516"/>
      <c r="S586" s="516"/>
      <c r="T586" s="516"/>
      <c r="U586" s="516" t="s">
        <v>898</v>
      </c>
      <c r="V586" s="559" t="s">
        <v>3512</v>
      </c>
      <c r="W586" s="541" t="s">
        <v>3513</v>
      </c>
      <c r="X586" s="516" t="s">
        <v>876</v>
      </c>
      <c r="Y586" s="542">
        <v>17849</v>
      </c>
      <c r="Z586" s="543">
        <f t="shared" ca="1" si="10"/>
        <v>77</v>
      </c>
      <c r="AA586" s="534" t="s">
        <v>3514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3409</v>
      </c>
      <c r="AH586" s="516"/>
      <c r="AI586" s="516" t="s">
        <v>3515</v>
      </c>
      <c r="AJ586" s="516" t="s">
        <v>976</v>
      </c>
      <c r="AK586" s="516" t="s">
        <v>860</v>
      </c>
      <c r="AL586" s="544"/>
      <c r="AM586" s="544"/>
    </row>
    <row r="587" spans="3:39" ht="18" customHeight="1">
      <c r="C587" s="516">
        <v>567</v>
      </c>
      <c r="D587" s="516" t="s">
        <v>3345</v>
      </c>
      <c r="E587" s="516">
        <f t="shared" si="8"/>
        <v>534</v>
      </c>
      <c r="F587" s="534"/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48" t="s">
        <v>938</v>
      </c>
      <c r="Q587" s="539"/>
      <c r="R587" s="516" t="s">
        <v>49</v>
      </c>
      <c r="S587" s="516" t="s">
        <v>168</v>
      </c>
      <c r="T587" s="516"/>
      <c r="U587" s="516"/>
      <c r="V587" s="548" t="s">
        <v>481</v>
      </c>
      <c r="W587" s="541" t="s">
        <v>3346</v>
      </c>
      <c r="X587" s="516" t="s">
        <v>876</v>
      </c>
      <c r="Y587" s="542">
        <v>25024</v>
      </c>
      <c r="Z587" s="543">
        <f t="shared" ca="1" si="10"/>
        <v>57</v>
      </c>
      <c r="AA587" s="534" t="s">
        <v>3347</v>
      </c>
      <c r="AB587" s="516"/>
      <c r="AC587" s="516" t="s">
        <v>802</v>
      </c>
      <c r="AD587" s="516" t="s">
        <v>794</v>
      </c>
      <c r="AE587" s="534" t="s">
        <v>236</v>
      </c>
      <c r="AF587" s="534" t="s">
        <v>236</v>
      </c>
      <c r="AG587" s="534" t="s">
        <v>865</v>
      </c>
      <c r="AH587" s="516" t="s">
        <v>872</v>
      </c>
      <c r="AI587" s="516"/>
      <c r="AJ587" s="516"/>
      <c r="AK587" s="516"/>
      <c r="AL587" s="544"/>
      <c r="AM587" s="544"/>
    </row>
    <row r="588" spans="3:39" ht="18" customHeight="1">
      <c r="C588" s="516">
        <v>568</v>
      </c>
      <c r="D588" s="516" t="s">
        <v>3516</v>
      </c>
      <c r="E588" s="516">
        <f t="shared" si="8"/>
        <v>535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515</v>
      </c>
      <c r="W588" s="541" t="s">
        <v>3520</v>
      </c>
      <c r="X588" s="516" t="s">
        <v>876</v>
      </c>
      <c r="Y588" s="542">
        <v>20844</v>
      </c>
      <c r="Z588" s="543">
        <f t="shared" ca="1" si="10"/>
        <v>69</v>
      </c>
      <c r="AA588" s="534" t="s">
        <v>3521</v>
      </c>
      <c r="AB588" s="516" t="s">
        <v>3522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3523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3517</v>
      </c>
      <c r="E589" s="516">
        <f t="shared" si="8"/>
        <v>536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507</v>
      </c>
      <c r="W589" s="541" t="s">
        <v>3524</v>
      </c>
      <c r="X589" s="516" t="s">
        <v>876</v>
      </c>
      <c r="Y589" s="542">
        <v>20604</v>
      </c>
      <c r="Z589" s="543">
        <f t="shared" ca="1" si="10"/>
        <v>69</v>
      </c>
      <c r="AA589" s="534" t="s">
        <v>3525</v>
      </c>
      <c r="AB589" s="516" t="s">
        <v>3526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3527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3518</v>
      </c>
      <c r="E590" s="516">
        <f t="shared" si="8"/>
        <v>537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531</v>
      </c>
      <c r="W590" s="541" t="s">
        <v>3528</v>
      </c>
      <c r="X590" s="516" t="s">
        <v>876</v>
      </c>
      <c r="Y590" s="542">
        <v>22829</v>
      </c>
      <c r="Z590" s="543">
        <f t="shared" ca="1" si="10"/>
        <v>63</v>
      </c>
      <c r="AA590" s="534" t="s">
        <v>3529</v>
      </c>
      <c r="AB590" s="516" t="s">
        <v>3530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3531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572</v>
      </c>
      <c r="D591" s="516" t="s">
        <v>3519</v>
      </c>
      <c r="E591" s="516">
        <f t="shared" si="8"/>
        <v>538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 t="s">
        <v>62</v>
      </c>
      <c r="S591" s="516" t="s">
        <v>548</v>
      </c>
      <c r="T591" s="516"/>
      <c r="U591" s="516" t="s">
        <v>874</v>
      </c>
      <c r="V591" s="538" t="s">
        <v>543</v>
      </c>
      <c r="W591" s="541" t="s">
        <v>3532</v>
      </c>
      <c r="X591" s="516" t="s">
        <v>876</v>
      </c>
      <c r="Y591" s="542">
        <v>26443</v>
      </c>
      <c r="Z591" s="543">
        <f t="shared" ca="1" si="10"/>
        <v>53</v>
      </c>
      <c r="AA591" s="534" t="s">
        <v>3533</v>
      </c>
      <c r="AB591" s="516" t="s">
        <v>3534</v>
      </c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74" t="s">
        <v>3535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3536</v>
      </c>
      <c r="E592" s="516">
        <f t="shared" si="8"/>
        <v>539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538</v>
      </c>
      <c r="W592" s="541" t="s">
        <v>3537</v>
      </c>
      <c r="X592" s="516" t="s">
        <v>876</v>
      </c>
      <c r="Y592" s="542">
        <v>22980</v>
      </c>
      <c r="Z592" s="543">
        <f t="shared" ca="1" si="10"/>
        <v>63</v>
      </c>
      <c r="AA592" s="534" t="s">
        <v>3538</v>
      </c>
      <c r="AB592" s="516"/>
      <c r="AC592" s="516" t="s">
        <v>842</v>
      </c>
      <c r="AD592" s="516" t="s">
        <v>843</v>
      </c>
      <c r="AE592" s="534" t="s">
        <v>809</v>
      </c>
      <c r="AF592" s="534" t="s">
        <v>809</v>
      </c>
      <c r="AG592" s="534" t="s">
        <v>3539</v>
      </c>
      <c r="AH592" s="516"/>
      <c r="AI592" s="516"/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573</v>
      </c>
      <c r="D593" s="516" t="s">
        <v>3540</v>
      </c>
      <c r="E593" s="516">
        <f t="shared" si="8"/>
        <v>540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549</v>
      </c>
      <c r="W593" s="541" t="s">
        <v>3541</v>
      </c>
      <c r="X593" s="516" t="s">
        <v>876</v>
      </c>
      <c r="Y593" s="542">
        <v>27733</v>
      </c>
      <c r="Z593" s="543">
        <f t="shared" ca="1" si="10"/>
        <v>50</v>
      </c>
      <c r="AA593" s="534" t="s">
        <v>3542</v>
      </c>
      <c r="AB593" s="516" t="s">
        <v>3543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3544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574</v>
      </c>
      <c r="D594" s="516" t="s">
        <v>3546</v>
      </c>
      <c r="E594" s="516">
        <f t="shared" si="8"/>
        <v>541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874</v>
      </c>
      <c r="V594" s="538" t="s">
        <v>554</v>
      </c>
      <c r="W594" s="541" t="s">
        <v>3547</v>
      </c>
      <c r="X594" s="516" t="s">
        <v>876</v>
      </c>
      <c r="Y594" s="542">
        <v>32138</v>
      </c>
      <c r="Z594" s="543">
        <f t="shared" ca="1" si="10"/>
        <v>38</v>
      </c>
      <c r="AA594" s="534" t="s">
        <v>3548</v>
      </c>
      <c r="AB594" s="516" t="s">
        <v>3549</v>
      </c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3550</v>
      </c>
      <c r="AH594" s="516"/>
      <c r="AI594" s="516" t="s">
        <v>3545</v>
      </c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575</v>
      </c>
      <c r="D595" s="516" t="s">
        <v>3551</v>
      </c>
      <c r="E595" s="516">
        <f t="shared" si="8"/>
        <v>542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788</v>
      </c>
      <c r="V595" s="538" t="s">
        <v>558</v>
      </c>
      <c r="W595" s="541" t="s">
        <v>3552</v>
      </c>
      <c r="X595" s="516" t="s">
        <v>876</v>
      </c>
      <c r="Y595" s="542">
        <v>36800</v>
      </c>
      <c r="Z595" s="543">
        <f t="shared" ca="1" si="10"/>
        <v>25</v>
      </c>
      <c r="AA595" s="534" t="s">
        <v>3553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865</v>
      </c>
      <c r="AH595" s="516"/>
      <c r="AI595" s="516"/>
      <c r="AJ595" s="516" t="s">
        <v>1852</v>
      </c>
      <c r="AK595" s="516" t="s">
        <v>1863</v>
      </c>
      <c r="AL595" s="544"/>
      <c r="AM595" s="544"/>
    </row>
    <row r="596" spans="3:39" ht="18" customHeight="1">
      <c r="C596" s="516">
        <v>576</v>
      </c>
      <c r="D596" s="516" t="s">
        <v>3554</v>
      </c>
      <c r="E596" s="516">
        <f t="shared" si="8"/>
        <v>543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38" t="s">
        <v>938</v>
      </c>
      <c r="Q596" s="539"/>
      <c r="R596" s="516"/>
      <c r="S596" s="516"/>
      <c r="T596" s="516"/>
      <c r="U596" s="516" t="s">
        <v>874</v>
      </c>
      <c r="V596" s="538" t="s">
        <v>523</v>
      </c>
      <c r="W596" s="541" t="s">
        <v>3555</v>
      </c>
      <c r="X596" s="516" t="s">
        <v>876</v>
      </c>
      <c r="Y596" s="542">
        <v>21916</v>
      </c>
      <c r="Z596" s="543">
        <f t="shared" ca="1" si="10"/>
        <v>66</v>
      </c>
      <c r="AA596" s="534" t="s">
        <v>3556</v>
      </c>
      <c r="AB596" s="571"/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3557</v>
      </c>
      <c r="AH596" s="516"/>
      <c r="AI596" s="516" t="s">
        <v>3558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577</v>
      </c>
      <c r="D597" s="516" t="s">
        <v>3559</v>
      </c>
      <c r="E597" s="516">
        <f t="shared" si="8"/>
        <v>544</v>
      </c>
      <c r="F597" s="534" t="s">
        <v>1841</v>
      </c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3345</v>
      </c>
      <c r="L597" s="535" t="s">
        <v>3516</v>
      </c>
      <c r="M597" s="570" t="s">
        <v>3517</v>
      </c>
      <c r="N597" s="660" t="s">
        <v>3518</v>
      </c>
      <c r="O597" s="660" t="s">
        <v>3519</v>
      </c>
      <c r="P597" s="559" t="s">
        <v>938</v>
      </c>
      <c r="Q597" s="539"/>
      <c r="R597" s="516"/>
      <c r="S597" s="516"/>
      <c r="T597" s="516"/>
      <c r="U597" s="516" t="s">
        <v>874</v>
      </c>
      <c r="V597" s="559" t="s">
        <v>3560</v>
      </c>
      <c r="W597" s="541" t="s">
        <v>3561</v>
      </c>
      <c r="X597" s="516" t="s">
        <v>876</v>
      </c>
      <c r="Y597" s="542">
        <v>28211</v>
      </c>
      <c r="Z597" s="543">
        <f t="shared" ca="1" si="10"/>
        <v>48</v>
      </c>
      <c r="AA597" s="534" t="s">
        <v>3562</v>
      </c>
      <c r="AB597" s="516" t="s">
        <v>3563</v>
      </c>
      <c r="AC597" s="516" t="s">
        <v>842</v>
      </c>
      <c r="AD597" s="516" t="s">
        <v>843</v>
      </c>
      <c r="AE597" s="534" t="s">
        <v>236</v>
      </c>
      <c r="AF597" s="534" t="s">
        <v>236</v>
      </c>
      <c r="AG597" s="534" t="s">
        <v>3564</v>
      </c>
      <c r="AH597" s="516"/>
      <c r="AI597" s="516" t="s">
        <v>3316</v>
      </c>
      <c r="AJ597" s="516" t="s">
        <v>1852</v>
      </c>
      <c r="AK597" s="516" t="s">
        <v>860</v>
      </c>
      <c r="AL597" s="544"/>
      <c r="AM597" s="544"/>
    </row>
    <row r="598" spans="3:39" ht="18" customHeight="1">
      <c r="C598" s="516">
        <v>578</v>
      </c>
      <c r="D598" s="516" t="s">
        <v>2094</v>
      </c>
      <c r="E598" s="516">
        <f t="shared" si="8"/>
        <v>544</v>
      </c>
      <c r="F598" s="534"/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48" t="s">
        <v>978</v>
      </c>
      <c r="Q598" s="539"/>
      <c r="R598" s="516" t="s">
        <v>49</v>
      </c>
      <c r="S598" s="516" t="s">
        <v>168</v>
      </c>
      <c r="T598" s="516"/>
      <c r="U598" s="516"/>
      <c r="V598" s="548" t="s">
        <v>231</v>
      </c>
      <c r="W598" s="541" t="s">
        <v>2095</v>
      </c>
      <c r="X598" s="516" t="s">
        <v>876</v>
      </c>
      <c r="Y598" s="542">
        <v>25211</v>
      </c>
      <c r="Z598" s="543">
        <f t="shared" ca="1" si="10"/>
        <v>57</v>
      </c>
      <c r="AA598" s="534" t="s">
        <v>2096</v>
      </c>
      <c r="AB598" s="516"/>
      <c r="AC598" s="516" t="s">
        <v>802</v>
      </c>
      <c r="AD598" s="516" t="s">
        <v>794</v>
      </c>
      <c r="AE598" s="534" t="s">
        <v>809</v>
      </c>
      <c r="AF598" s="534" t="s">
        <v>809</v>
      </c>
      <c r="AG598" s="534" t="s">
        <v>2085</v>
      </c>
      <c r="AH598" s="516" t="s">
        <v>872</v>
      </c>
      <c r="AI598" s="516"/>
      <c r="AJ598" s="516"/>
      <c r="AK598" s="516"/>
      <c r="AL598" s="544"/>
      <c r="AM598" s="544"/>
    </row>
    <row r="599" spans="3:39" ht="18" customHeight="1">
      <c r="C599" s="516">
        <v>579</v>
      </c>
      <c r="D599" s="516" t="s">
        <v>3565</v>
      </c>
      <c r="E599" s="516">
        <f t="shared" si="8"/>
        <v>545</v>
      </c>
      <c r="F599" s="534" t="s">
        <v>811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874</v>
      </c>
      <c r="V599" s="538" t="s">
        <v>3566</v>
      </c>
      <c r="W599" s="541" t="s">
        <v>3567</v>
      </c>
      <c r="X599" s="516" t="s">
        <v>876</v>
      </c>
      <c r="Y599" s="542">
        <v>33974</v>
      </c>
      <c r="Z599" s="543">
        <f t="shared" ca="1" si="10"/>
        <v>33</v>
      </c>
      <c r="AA599" s="534" t="s">
        <v>3568</v>
      </c>
      <c r="AB599" s="516" t="s">
        <v>3569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3212</v>
      </c>
      <c r="AH599" s="516"/>
      <c r="AI599" s="516"/>
      <c r="AJ599" s="516" t="s">
        <v>971</v>
      </c>
      <c r="AK599" s="516"/>
      <c r="AL599" s="544"/>
      <c r="AM599" s="544"/>
    </row>
    <row r="600" spans="3:39" ht="18" customHeight="1">
      <c r="C600" s="516">
        <v>580</v>
      </c>
      <c r="D600" s="516" t="s">
        <v>3570</v>
      </c>
      <c r="E600" s="516">
        <f t="shared" si="8"/>
        <v>546</v>
      </c>
      <c r="F600" s="534" t="s">
        <v>811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3571</v>
      </c>
      <c r="W600" s="541" t="s">
        <v>3572</v>
      </c>
      <c r="X600" s="516" t="s">
        <v>876</v>
      </c>
      <c r="Y600" s="542">
        <v>37889</v>
      </c>
      <c r="Z600" s="543">
        <f t="shared" ca="1" si="10"/>
        <v>22</v>
      </c>
      <c r="AA600" s="534" t="s">
        <v>3573</v>
      </c>
      <c r="AB600" s="516" t="s">
        <v>3574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581</v>
      </c>
      <c r="D601" s="516" t="s">
        <v>3575</v>
      </c>
      <c r="E601" s="516">
        <f t="shared" si="8"/>
        <v>547</v>
      </c>
      <c r="F601" s="534" t="s">
        <v>1310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38" t="s">
        <v>978</v>
      </c>
      <c r="Q601" s="539" t="s">
        <v>308</v>
      </c>
      <c r="R601" s="516"/>
      <c r="S601" s="516"/>
      <c r="T601" s="516"/>
      <c r="U601" s="516" t="s">
        <v>788</v>
      </c>
      <c r="V601" s="538" t="s">
        <v>524</v>
      </c>
      <c r="W601" s="541" t="s">
        <v>3576</v>
      </c>
      <c r="X601" s="516" t="s">
        <v>876</v>
      </c>
      <c r="Y601" s="542">
        <v>38551</v>
      </c>
      <c r="Z601" s="543">
        <f t="shared" ca="1" si="10"/>
        <v>20</v>
      </c>
      <c r="AA601" s="534" t="s">
        <v>3577</v>
      </c>
      <c r="AB601" s="516" t="s">
        <v>3578</v>
      </c>
      <c r="AC601" s="516" t="s">
        <v>842</v>
      </c>
      <c r="AD601" s="516" t="s">
        <v>843</v>
      </c>
      <c r="AE601" s="534" t="s">
        <v>236</v>
      </c>
      <c r="AF601" s="534" t="s">
        <v>236</v>
      </c>
      <c r="AG601" s="534" t="s">
        <v>3199</v>
      </c>
      <c r="AH601" s="516"/>
      <c r="AI601" s="516" t="s">
        <v>3297</v>
      </c>
      <c r="AJ601" s="516" t="s">
        <v>971</v>
      </c>
      <c r="AK601" s="516"/>
      <c r="AL601" s="544"/>
      <c r="AM601" s="544"/>
    </row>
    <row r="602" spans="3:39" ht="18" customHeight="1">
      <c r="C602" s="516">
        <v>582</v>
      </c>
      <c r="D602" s="516" t="s">
        <v>3579</v>
      </c>
      <c r="E602" s="516">
        <f t="shared" si="8"/>
        <v>548</v>
      </c>
      <c r="F602" s="534" t="s">
        <v>811</v>
      </c>
      <c r="G602" s="534" t="s">
        <v>3451</v>
      </c>
      <c r="H602" s="535" t="s">
        <v>3291</v>
      </c>
      <c r="I602" s="535" t="s">
        <v>3324</v>
      </c>
      <c r="J602" s="535" t="s">
        <v>3450</v>
      </c>
      <c r="K602" s="535" t="s">
        <v>2094</v>
      </c>
      <c r="L602" s="535" t="s">
        <v>786</v>
      </c>
      <c r="M602" s="536"/>
      <c r="N602" s="537"/>
      <c r="O602" s="537"/>
      <c r="P602" s="559" t="s">
        <v>978</v>
      </c>
      <c r="Q602" s="539" t="s">
        <v>308</v>
      </c>
      <c r="R602" s="516"/>
      <c r="S602" s="516"/>
      <c r="T602" s="516"/>
      <c r="U602" s="516" t="s">
        <v>874</v>
      </c>
      <c r="V602" s="540" t="s">
        <v>3580</v>
      </c>
      <c r="W602" s="541" t="s">
        <v>3581</v>
      </c>
      <c r="X602" s="516" t="s">
        <v>876</v>
      </c>
      <c r="Y602" s="542">
        <v>33117</v>
      </c>
      <c r="Z602" s="543">
        <f t="shared" ca="1" si="10"/>
        <v>35</v>
      </c>
      <c r="AA602" s="534" t="s">
        <v>3582</v>
      </c>
      <c r="AB602" s="516"/>
      <c r="AC602" s="516" t="s">
        <v>842</v>
      </c>
      <c r="AD602" s="516" t="s">
        <v>843</v>
      </c>
      <c r="AE602" s="534" t="s">
        <v>713</v>
      </c>
      <c r="AF602" s="534" t="s">
        <v>713</v>
      </c>
      <c r="AG602" s="534" t="s">
        <v>3583</v>
      </c>
      <c r="AH602" s="516"/>
      <c r="AI602" s="516" t="s">
        <v>866</v>
      </c>
      <c r="AJ602" s="516" t="s">
        <v>971</v>
      </c>
      <c r="AK602" s="516"/>
      <c r="AL602" s="544"/>
      <c r="AM602" s="544"/>
    </row>
    <row r="603" spans="3:39" ht="18" customHeight="1">
      <c r="C603" s="516">
        <v>583</v>
      </c>
      <c r="D603" s="516" t="s">
        <v>915</v>
      </c>
      <c r="E603" s="516">
        <f t="shared" si="8"/>
        <v>548</v>
      </c>
      <c r="F603" s="534"/>
      <c r="G603" s="534" t="s">
        <v>3584</v>
      </c>
      <c r="H603" s="535"/>
      <c r="I603" s="535" t="s">
        <v>73</v>
      </c>
      <c r="J603" s="535"/>
      <c r="K603" s="535" t="s">
        <v>915</v>
      </c>
      <c r="L603" s="535"/>
      <c r="M603" s="536"/>
      <c r="N603" s="537"/>
      <c r="O603" s="537"/>
      <c r="P603" s="548" t="s">
        <v>2372</v>
      </c>
      <c r="Q603" s="539"/>
      <c r="R603" s="516" t="s">
        <v>163</v>
      </c>
      <c r="S603" s="516" t="s">
        <v>500</v>
      </c>
      <c r="T603" s="516"/>
      <c r="U603" s="562"/>
      <c r="V603" s="548" t="s">
        <v>73</v>
      </c>
      <c r="W603" s="560" t="s">
        <v>3585</v>
      </c>
      <c r="X603" s="516" t="s">
        <v>876</v>
      </c>
      <c r="Y603" s="542">
        <v>31722</v>
      </c>
      <c r="Z603" s="543">
        <f t="shared" ca="1" si="10"/>
        <v>39</v>
      </c>
      <c r="AA603" s="534" t="s">
        <v>917</v>
      </c>
      <c r="AB603" s="516" t="s">
        <v>3586</v>
      </c>
      <c r="AC603" s="516" t="s">
        <v>802</v>
      </c>
      <c r="AD603" s="516" t="s">
        <v>794</v>
      </c>
      <c r="AE603" s="534" t="s">
        <v>713</v>
      </c>
      <c r="AF603" s="534" t="s">
        <v>795</v>
      </c>
      <c r="AG603" s="534" t="s">
        <v>796</v>
      </c>
      <c r="AH603" s="516" t="s">
        <v>872</v>
      </c>
      <c r="AI603" s="516"/>
      <c r="AJ603" s="516"/>
      <c r="AK603" s="516"/>
      <c r="AL603" s="544"/>
      <c r="AM603" s="544"/>
    </row>
    <row r="604" spans="3:39" ht="18" customHeight="1">
      <c r="C604" s="516">
        <v>584</v>
      </c>
      <c r="D604" s="516" t="s">
        <v>3587</v>
      </c>
      <c r="E604" s="516">
        <f t="shared" si="8"/>
        <v>549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 t="s">
        <v>62</v>
      </c>
      <c r="S604" s="516" t="s">
        <v>548</v>
      </c>
      <c r="T604" s="516"/>
      <c r="U604" s="562" t="s">
        <v>874</v>
      </c>
      <c r="V604" s="538" t="s">
        <v>594</v>
      </c>
      <c r="W604" s="560" t="s">
        <v>3588</v>
      </c>
      <c r="X604" s="516" t="s">
        <v>876</v>
      </c>
      <c r="Y604" s="542">
        <v>33100</v>
      </c>
      <c r="Z604" s="543">
        <f t="shared" ca="1" si="10"/>
        <v>35</v>
      </c>
      <c r="AA604" s="534" t="s">
        <v>3589</v>
      </c>
      <c r="AB604" s="516" t="s">
        <v>3590</v>
      </c>
      <c r="AC604" s="516" t="s">
        <v>842</v>
      </c>
      <c r="AD604" s="516" t="s">
        <v>851</v>
      </c>
      <c r="AE604" s="534" t="s">
        <v>713</v>
      </c>
      <c r="AF604" s="566" t="s">
        <v>713</v>
      </c>
      <c r="AG604" s="552" t="s">
        <v>3591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3592</v>
      </c>
      <c r="E605" s="516">
        <f t="shared" si="8"/>
        <v>550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3593</v>
      </c>
      <c r="W605" s="560" t="s">
        <v>3594</v>
      </c>
      <c r="X605" s="516" t="s">
        <v>876</v>
      </c>
      <c r="Y605" s="542">
        <v>32267</v>
      </c>
      <c r="Z605" s="543">
        <f t="shared" ca="1" si="10"/>
        <v>37</v>
      </c>
      <c r="AA605" s="534" t="s">
        <v>3595</v>
      </c>
      <c r="AB605" s="516" t="s">
        <v>3596</v>
      </c>
      <c r="AC605" s="516" t="s">
        <v>842</v>
      </c>
      <c r="AD605" s="516" t="s">
        <v>843</v>
      </c>
      <c r="AE605" s="534" t="s">
        <v>713</v>
      </c>
      <c r="AF605" s="566" t="s">
        <v>713</v>
      </c>
      <c r="AG605" s="552" t="s">
        <v>3591</v>
      </c>
      <c r="AH605" s="516"/>
      <c r="AI605" s="516" t="s">
        <v>3597</v>
      </c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3598</v>
      </c>
      <c r="E606" s="516">
        <f t="shared" si="8"/>
        <v>551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/>
      <c r="R606" s="516"/>
      <c r="S606" s="516"/>
      <c r="T606" s="516"/>
      <c r="U606" s="562" t="s">
        <v>874</v>
      </c>
      <c r="V606" s="538" t="s">
        <v>3599</v>
      </c>
      <c r="W606" s="560" t="s">
        <v>3600</v>
      </c>
      <c r="X606" s="516" t="s">
        <v>876</v>
      </c>
      <c r="Y606" s="542">
        <v>35591</v>
      </c>
      <c r="Z606" s="543">
        <f t="shared" ca="1" si="10"/>
        <v>28</v>
      </c>
      <c r="AA606" s="534" t="s">
        <v>3601</v>
      </c>
      <c r="AB606" s="615" t="s">
        <v>3602</v>
      </c>
      <c r="AC606" s="516" t="s">
        <v>802</v>
      </c>
      <c r="AD606" s="516" t="s">
        <v>794</v>
      </c>
      <c r="AE606" s="534" t="s">
        <v>713</v>
      </c>
      <c r="AF606" s="566" t="s">
        <v>713</v>
      </c>
      <c r="AG606" s="552" t="s">
        <v>3591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3603</v>
      </c>
      <c r="E607" s="516">
        <f t="shared" si="8"/>
        <v>552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38" t="s">
        <v>3604</v>
      </c>
      <c r="W607" s="560" t="s">
        <v>3605</v>
      </c>
      <c r="X607" s="516" t="s">
        <v>876</v>
      </c>
      <c r="Y607" s="542">
        <v>31113</v>
      </c>
      <c r="Z607" s="543">
        <f t="shared" ca="1" si="10"/>
        <v>40</v>
      </c>
      <c r="AA607" s="534" t="s">
        <v>3606</v>
      </c>
      <c r="AB607" s="516" t="s">
        <v>3607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52" t="s">
        <v>3608</v>
      </c>
      <c r="AH607" s="516"/>
      <c r="AI607" s="516"/>
      <c r="AJ607" s="565" t="s">
        <v>1087</v>
      </c>
      <c r="AK607" s="516"/>
      <c r="AL607" s="544"/>
      <c r="AM607" s="544"/>
    </row>
    <row r="608" spans="3:39" ht="18" customHeight="1">
      <c r="C608" s="516">
        <v>588</v>
      </c>
      <c r="D608" s="516" t="s">
        <v>3609</v>
      </c>
      <c r="E608" s="516">
        <f t="shared" si="8"/>
        <v>553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540" t="s">
        <v>3610</v>
      </c>
      <c r="W608" s="560" t="s">
        <v>3611</v>
      </c>
      <c r="X608" s="516" t="s">
        <v>876</v>
      </c>
      <c r="Y608" s="542">
        <v>30783</v>
      </c>
      <c r="Z608" s="543">
        <f t="shared" ca="1" si="10"/>
        <v>41</v>
      </c>
      <c r="AA608" s="534" t="s">
        <v>3612</v>
      </c>
      <c r="AB608" s="516" t="s">
        <v>3613</v>
      </c>
      <c r="AC608" s="516" t="s">
        <v>842</v>
      </c>
      <c r="AD608" s="516" t="s">
        <v>843</v>
      </c>
      <c r="AE608" s="534" t="s">
        <v>713</v>
      </c>
      <c r="AF608" s="566" t="s">
        <v>713</v>
      </c>
      <c r="AG608" s="534" t="s">
        <v>1906</v>
      </c>
      <c r="AH608" s="516"/>
      <c r="AI608" s="516"/>
      <c r="AJ608" s="593" t="s">
        <v>1604</v>
      </c>
      <c r="AK608" s="516"/>
      <c r="AL608" s="544"/>
      <c r="AM608" s="544"/>
    </row>
    <row r="609" spans="3:39" ht="18" customHeight="1">
      <c r="C609" s="516">
        <v>589</v>
      </c>
      <c r="D609" s="516" t="s">
        <v>3614</v>
      </c>
      <c r="E609" s="516">
        <f t="shared" si="8"/>
        <v>554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602" t="s">
        <v>683</v>
      </c>
      <c r="W609" s="560" t="s">
        <v>3615</v>
      </c>
      <c r="X609" s="516" t="s">
        <v>876</v>
      </c>
      <c r="Y609" s="542">
        <v>31732</v>
      </c>
      <c r="Z609" s="543">
        <f t="shared" ca="1" si="10"/>
        <v>39</v>
      </c>
      <c r="AA609" s="534" t="s">
        <v>3616</v>
      </c>
      <c r="AB609" s="516" t="s">
        <v>3617</v>
      </c>
      <c r="AC609" s="516" t="s">
        <v>842</v>
      </c>
      <c r="AD609" s="516" t="s">
        <v>843</v>
      </c>
      <c r="AE609" s="534" t="s">
        <v>713</v>
      </c>
      <c r="AF609" s="534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590</v>
      </c>
      <c r="D610" s="516" t="s">
        <v>3618</v>
      </c>
      <c r="E610" s="516">
        <f t="shared" si="8"/>
        <v>555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535" t="s">
        <v>3587</v>
      </c>
      <c r="M610" s="536"/>
      <c r="N610" s="537"/>
      <c r="O610" s="537"/>
      <c r="P610" s="538" t="s">
        <v>2372</v>
      </c>
      <c r="Q610" s="539" t="s">
        <v>308</v>
      </c>
      <c r="R610" s="516"/>
      <c r="S610" s="516"/>
      <c r="T610" s="516"/>
      <c r="U610" s="562" t="s">
        <v>874</v>
      </c>
      <c r="V610" s="563" t="s">
        <v>693</v>
      </c>
      <c r="W610" s="560" t="s">
        <v>3619</v>
      </c>
      <c r="X610" s="516" t="s">
        <v>876</v>
      </c>
      <c r="Y610" s="542">
        <v>32987</v>
      </c>
      <c r="Z610" s="543">
        <f t="shared" ca="1" si="10"/>
        <v>35</v>
      </c>
      <c r="AA610" s="534" t="s">
        <v>3620</v>
      </c>
      <c r="AB610" s="516" t="s">
        <v>3621</v>
      </c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2072</v>
      </c>
      <c r="AH610" s="516"/>
      <c r="AI610" s="516"/>
      <c r="AJ610" s="632" t="s">
        <v>1438</v>
      </c>
      <c r="AK610" s="516"/>
      <c r="AL610" s="544"/>
      <c r="AM610" s="544"/>
    </row>
    <row r="611" spans="3:39" ht="18" customHeight="1">
      <c r="C611" s="516">
        <v>591</v>
      </c>
      <c r="D611" s="516" t="s">
        <v>3622</v>
      </c>
      <c r="E611" s="516">
        <f t="shared" si="8"/>
        <v>556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535" t="s">
        <v>3587</v>
      </c>
      <c r="M611" s="536" t="s">
        <v>3622</v>
      </c>
      <c r="N611" s="537"/>
      <c r="O611" s="537"/>
      <c r="P611" s="54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50" t="s">
        <v>3624</v>
      </c>
      <c r="W611" s="541" t="s">
        <v>3625</v>
      </c>
      <c r="X611" s="516" t="s">
        <v>876</v>
      </c>
      <c r="Y611" s="542">
        <v>21995</v>
      </c>
      <c r="Z611" s="543">
        <f t="shared" ca="1" si="10"/>
        <v>65</v>
      </c>
      <c r="AA611" s="534" t="s">
        <v>3626</v>
      </c>
      <c r="AB611" s="516" t="s">
        <v>3627</v>
      </c>
      <c r="AC611" s="516" t="s">
        <v>802</v>
      </c>
      <c r="AD611" s="516" t="s">
        <v>794</v>
      </c>
      <c r="AE611" s="633" t="s">
        <v>1400</v>
      </c>
      <c r="AF611" s="534" t="s">
        <v>1400</v>
      </c>
      <c r="AG611" s="534" t="s">
        <v>3628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592</v>
      </c>
      <c r="D612" s="516" t="s">
        <v>3623</v>
      </c>
      <c r="E612" s="516">
        <f t="shared" si="8"/>
        <v>557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535" t="s">
        <v>3587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 t="s">
        <v>4216</v>
      </c>
      <c r="U612" s="516" t="s">
        <v>874</v>
      </c>
      <c r="V612" s="538" t="s">
        <v>3629</v>
      </c>
      <c r="W612" s="541" t="s">
        <v>3630</v>
      </c>
      <c r="X612" s="516" t="s">
        <v>876</v>
      </c>
      <c r="Y612" s="542">
        <v>28273</v>
      </c>
      <c r="Z612" s="543">
        <f t="shared" ca="1" si="10"/>
        <v>48</v>
      </c>
      <c r="AA612" s="534" t="s">
        <v>3631</v>
      </c>
      <c r="AB612" s="516" t="s">
        <v>3632</v>
      </c>
      <c r="AC612" s="516" t="s">
        <v>842</v>
      </c>
      <c r="AD612" s="516" t="s">
        <v>851</v>
      </c>
      <c r="AE612" s="633" t="s">
        <v>1400</v>
      </c>
      <c r="AF612" s="534" t="s">
        <v>1400</v>
      </c>
      <c r="AG612" s="534" t="s">
        <v>3633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593</v>
      </c>
      <c r="D613" s="516" t="s">
        <v>3634</v>
      </c>
      <c r="E613" s="516">
        <f t="shared" si="8"/>
        <v>558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535" t="s">
        <v>3587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3635</v>
      </c>
      <c r="W613" s="541" t="s">
        <v>3636</v>
      </c>
      <c r="X613" s="516" t="s">
        <v>876</v>
      </c>
      <c r="Y613" s="542">
        <v>31463</v>
      </c>
      <c r="Z613" s="543">
        <f t="shared" ca="1" si="10"/>
        <v>39</v>
      </c>
      <c r="AA613" s="534" t="s">
        <v>3637</v>
      </c>
      <c r="AB613" s="516" t="s">
        <v>3638</v>
      </c>
      <c r="AC613" s="516" t="s">
        <v>842</v>
      </c>
      <c r="AD613" s="516" t="s">
        <v>851</v>
      </c>
      <c r="AE613" s="534" t="s">
        <v>713</v>
      </c>
      <c r="AF613" s="534" t="s">
        <v>713</v>
      </c>
      <c r="AG613" s="633" t="s">
        <v>1583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594</v>
      </c>
      <c r="D614" s="516" t="s">
        <v>3639</v>
      </c>
      <c r="E614" s="516">
        <f t="shared" si="8"/>
        <v>559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535" t="s">
        <v>3587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3640</v>
      </c>
      <c r="W614" s="541" t="s">
        <v>3641</v>
      </c>
      <c r="X614" s="516" t="s">
        <v>876</v>
      </c>
      <c r="Y614" s="542">
        <v>30230</v>
      </c>
      <c r="Z614" s="543">
        <f t="shared" ca="1" si="10"/>
        <v>43</v>
      </c>
      <c r="AA614" s="534" t="s">
        <v>3642</v>
      </c>
      <c r="AB614" s="516" t="s">
        <v>3643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595</v>
      </c>
      <c r="D615" s="516" t="s">
        <v>3645</v>
      </c>
      <c r="E615" s="516">
        <f t="shared" si="8"/>
        <v>560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535" t="s">
        <v>3587</v>
      </c>
      <c r="M615" s="536" t="s">
        <v>3622</v>
      </c>
      <c r="N615" s="537"/>
      <c r="O615" s="537"/>
      <c r="P615" s="538" t="s">
        <v>2425</v>
      </c>
      <c r="Q615" s="539"/>
      <c r="R615" s="516"/>
      <c r="S615" s="516"/>
      <c r="T615" s="516"/>
      <c r="U615" s="516" t="s">
        <v>874</v>
      </c>
      <c r="V615" s="538" t="s">
        <v>3646</v>
      </c>
      <c r="W615" s="541" t="s">
        <v>3647</v>
      </c>
      <c r="X615" s="516" t="s">
        <v>876</v>
      </c>
      <c r="Y615" s="542">
        <v>32894</v>
      </c>
      <c r="Z615" s="543">
        <f t="shared" ca="1" si="10"/>
        <v>36</v>
      </c>
      <c r="AA615" s="534" t="s">
        <v>3648</v>
      </c>
      <c r="AB615" s="516" t="s">
        <v>3649</v>
      </c>
      <c r="AC615" s="516" t="s">
        <v>842</v>
      </c>
      <c r="AD615" s="516" t="s">
        <v>851</v>
      </c>
      <c r="AE615" s="633" t="s">
        <v>2208</v>
      </c>
      <c r="AF615" s="534" t="s">
        <v>2208</v>
      </c>
      <c r="AG615" s="534" t="s">
        <v>3644</v>
      </c>
      <c r="AH615" s="516"/>
      <c r="AI615" s="516"/>
      <c r="AJ615" s="516" t="s">
        <v>903</v>
      </c>
      <c r="AK615" s="516"/>
      <c r="AL615" s="544"/>
      <c r="AM615" s="544"/>
    </row>
    <row r="616" spans="3:39" ht="18" customHeight="1">
      <c r="C616" s="516">
        <v>596</v>
      </c>
      <c r="D616" s="516" t="s">
        <v>3650</v>
      </c>
      <c r="E616" s="516">
        <f t="shared" si="8"/>
        <v>561</v>
      </c>
      <c r="F616" s="534" t="s">
        <v>981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915</v>
      </c>
      <c r="L616" s="535" t="s">
        <v>3587</v>
      </c>
      <c r="M616" s="536" t="s">
        <v>3622</v>
      </c>
      <c r="N616" s="537"/>
      <c r="O616" s="537"/>
      <c r="P616" s="559" t="s">
        <v>2425</v>
      </c>
      <c r="Q616" s="539"/>
      <c r="R616" s="516"/>
      <c r="S616" s="516"/>
      <c r="T616" s="516"/>
      <c r="U616" s="516" t="s">
        <v>874</v>
      </c>
      <c r="V616" s="559" t="s">
        <v>3651</v>
      </c>
      <c r="W616" s="541" t="s">
        <v>3652</v>
      </c>
      <c r="X616" s="516" t="s">
        <v>876</v>
      </c>
      <c r="Y616" s="542">
        <v>25602</v>
      </c>
      <c r="Z616" s="543">
        <f t="shared" ca="1" si="10"/>
        <v>55</v>
      </c>
      <c r="AA616" s="534"/>
      <c r="AB616" s="516" t="s">
        <v>3653</v>
      </c>
      <c r="AC616" s="516" t="s">
        <v>842</v>
      </c>
      <c r="AD616" s="516" t="s">
        <v>851</v>
      </c>
      <c r="AE616" s="534" t="s">
        <v>1400</v>
      </c>
      <c r="AF616" s="534" t="s">
        <v>1400</v>
      </c>
      <c r="AG616" s="534" t="s">
        <v>3654</v>
      </c>
      <c r="AH616" s="516"/>
      <c r="AI616" s="516"/>
      <c r="AJ616" s="516" t="s">
        <v>832</v>
      </c>
      <c r="AK616" s="516"/>
      <c r="AL616" s="544"/>
      <c r="AM616" s="544"/>
    </row>
    <row r="617" spans="3:39" ht="18" customHeight="1">
      <c r="C617" s="516">
        <v>597</v>
      </c>
      <c r="D617" s="516" t="s">
        <v>1679</v>
      </c>
      <c r="E617" s="516">
        <f t="shared" si="8"/>
        <v>561</v>
      </c>
      <c r="F617" s="534"/>
      <c r="G617" s="534" t="s">
        <v>3584</v>
      </c>
      <c r="H617" s="535" t="s">
        <v>1118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48" t="s">
        <v>828</v>
      </c>
      <c r="Q617" s="539"/>
      <c r="R617" s="516" t="s">
        <v>49</v>
      </c>
      <c r="S617" s="516" t="s">
        <v>168</v>
      </c>
      <c r="T617" s="516"/>
      <c r="U617" s="516"/>
      <c r="V617" s="548" t="s">
        <v>278</v>
      </c>
      <c r="W617" s="541" t="s">
        <v>1680</v>
      </c>
      <c r="X617" s="516" t="s">
        <v>876</v>
      </c>
      <c r="Y617" s="542">
        <v>28944</v>
      </c>
      <c r="Z617" s="543">
        <f t="shared" ca="1" si="10"/>
        <v>46</v>
      </c>
      <c r="AA617" s="534" t="s">
        <v>1681</v>
      </c>
      <c r="AB617" s="516" t="s">
        <v>3659</v>
      </c>
      <c r="AC617" s="516" t="s">
        <v>802</v>
      </c>
      <c r="AD617" s="516" t="s">
        <v>794</v>
      </c>
      <c r="AE617" s="534" t="s">
        <v>236</v>
      </c>
      <c r="AF617" s="534" t="s">
        <v>236</v>
      </c>
      <c r="AG617" s="534" t="s">
        <v>1683</v>
      </c>
      <c r="AH617" s="516" t="s">
        <v>872</v>
      </c>
      <c r="AI617" s="516"/>
      <c r="AJ617" s="516"/>
      <c r="AK617" s="516"/>
      <c r="AL617" s="544"/>
      <c r="AM617" s="544"/>
    </row>
    <row r="618" spans="3:39" ht="18" customHeight="1">
      <c r="C618" s="516">
        <v>598</v>
      </c>
      <c r="D618" s="516" t="s">
        <v>3658</v>
      </c>
      <c r="E618" s="516">
        <f t="shared" si="8"/>
        <v>562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 t="s">
        <v>62</v>
      </c>
      <c r="S618" s="516" t="s">
        <v>548</v>
      </c>
      <c r="T618" s="516"/>
      <c r="U618" s="516" t="s">
        <v>874</v>
      </c>
      <c r="V618" s="680" t="s">
        <v>595</v>
      </c>
      <c r="W618" s="541" t="s">
        <v>3660</v>
      </c>
      <c r="X618" s="516" t="s">
        <v>876</v>
      </c>
      <c r="Y618" s="542">
        <v>30933</v>
      </c>
      <c r="Z618" s="543">
        <f t="shared" ca="1" si="10"/>
        <v>41</v>
      </c>
      <c r="AA618" s="534" t="s">
        <v>3661</v>
      </c>
      <c r="AB618" s="516" t="s">
        <v>3662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3663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599</v>
      </c>
      <c r="D619" s="516" t="s">
        <v>3664</v>
      </c>
      <c r="E619" s="516">
        <f t="shared" si="8"/>
        <v>563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614</v>
      </c>
      <c r="W619" s="541" t="s">
        <v>3665</v>
      </c>
      <c r="X619" s="516" t="s">
        <v>876</v>
      </c>
      <c r="Y619" s="542">
        <v>26339</v>
      </c>
      <c r="Z619" s="543">
        <f t="shared" ca="1" si="10"/>
        <v>53</v>
      </c>
      <c r="AA619" s="534" t="s">
        <v>3666</v>
      </c>
      <c r="AB619" s="516" t="s">
        <v>3667</v>
      </c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3668</v>
      </c>
      <c r="AH619" s="516"/>
      <c r="AI619" s="516"/>
      <c r="AJ619" s="516" t="s">
        <v>867</v>
      </c>
      <c r="AK619" s="516"/>
      <c r="AL619" s="544"/>
      <c r="AM619" s="544"/>
    </row>
    <row r="620" spans="3:39" ht="18" customHeight="1">
      <c r="C620" s="516">
        <v>600</v>
      </c>
      <c r="D620" s="516" t="s">
        <v>3669</v>
      </c>
      <c r="E620" s="516">
        <f t="shared" si="8"/>
        <v>564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632</v>
      </c>
      <c r="W620" s="541" t="s">
        <v>3670</v>
      </c>
      <c r="X620" s="516" t="s">
        <v>876</v>
      </c>
      <c r="Y620" s="542">
        <v>31788</v>
      </c>
      <c r="Z620" s="543">
        <f t="shared" ca="1" si="10"/>
        <v>39</v>
      </c>
      <c r="AA620" s="534" t="s">
        <v>3671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3672</v>
      </c>
      <c r="AH620" s="516" t="s">
        <v>1571</v>
      </c>
      <c r="AI620" s="634" t="s">
        <v>4214</v>
      </c>
      <c r="AJ620" s="516" t="s">
        <v>867</v>
      </c>
      <c r="AK620" s="516"/>
      <c r="AL620" s="544"/>
      <c r="AM620" s="544"/>
    </row>
    <row r="621" spans="3:39" ht="18" customHeight="1">
      <c r="C621" s="516">
        <v>601</v>
      </c>
      <c r="D621" s="516" t="s">
        <v>3674</v>
      </c>
      <c r="E621" s="516">
        <f t="shared" si="8"/>
        <v>565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38" t="s">
        <v>828</v>
      </c>
      <c r="Q621" s="539"/>
      <c r="R621" s="516"/>
      <c r="S621" s="516"/>
      <c r="T621" s="516"/>
      <c r="U621" s="516" t="s">
        <v>874</v>
      </c>
      <c r="V621" s="538" t="s">
        <v>3675</v>
      </c>
      <c r="W621" s="541" t="s">
        <v>3676</v>
      </c>
      <c r="X621" s="516" t="s">
        <v>876</v>
      </c>
      <c r="Y621" s="542">
        <v>21929</v>
      </c>
      <c r="Z621" s="543">
        <f t="shared" ca="1" si="10"/>
        <v>66</v>
      </c>
      <c r="AA621" s="534" t="s">
        <v>3677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3678</v>
      </c>
      <c r="AH621" s="516"/>
      <c r="AI621" s="516" t="s">
        <v>866</v>
      </c>
      <c r="AJ621" s="516" t="s">
        <v>867</v>
      </c>
      <c r="AK621" s="516"/>
      <c r="AL621" s="544"/>
      <c r="AM621" s="544"/>
    </row>
    <row r="622" spans="3:39" ht="18" customHeight="1">
      <c r="C622" s="516">
        <v>602</v>
      </c>
      <c r="D622" s="516" t="s">
        <v>3679</v>
      </c>
      <c r="E622" s="516">
        <f t="shared" si="8"/>
        <v>566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1679</v>
      </c>
      <c r="L622" s="535" t="s">
        <v>3658</v>
      </c>
      <c r="M622" s="536"/>
      <c r="N622" s="537"/>
      <c r="O622" s="537"/>
      <c r="P622" s="559" t="s">
        <v>828</v>
      </c>
      <c r="Q622" s="539"/>
      <c r="R622" s="516"/>
      <c r="S622" s="516"/>
      <c r="T622" s="516"/>
      <c r="U622" s="516" t="s">
        <v>874</v>
      </c>
      <c r="V622" s="559" t="s">
        <v>3680</v>
      </c>
      <c r="W622" s="541" t="s">
        <v>3681</v>
      </c>
      <c r="X622" s="516" t="s">
        <v>876</v>
      </c>
      <c r="Y622" s="542">
        <v>32411</v>
      </c>
      <c r="Z622" s="543">
        <f t="shared" ca="1" si="10"/>
        <v>37</v>
      </c>
      <c r="AA622" s="534" t="s">
        <v>3682</v>
      </c>
      <c r="AB622" s="571"/>
      <c r="AC622" s="516" t="s">
        <v>842</v>
      </c>
      <c r="AD622" s="516" t="s">
        <v>843</v>
      </c>
      <c r="AE622" s="534" t="s">
        <v>713</v>
      </c>
      <c r="AF622" s="534" t="s">
        <v>713</v>
      </c>
      <c r="AG622" s="534" t="s">
        <v>1294</v>
      </c>
      <c r="AH622" s="516"/>
      <c r="AI622" s="516" t="s">
        <v>866</v>
      </c>
      <c r="AJ622" s="516" t="s">
        <v>976</v>
      </c>
      <c r="AK622" s="516"/>
      <c r="AL622" s="544"/>
      <c r="AM622" s="544"/>
    </row>
    <row r="623" spans="3:39" ht="18" customHeight="1">
      <c r="C623" s="516">
        <v>603</v>
      </c>
      <c r="D623" s="516" t="s">
        <v>3683</v>
      </c>
      <c r="E623" s="516">
        <f t="shared" si="8"/>
        <v>567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48" t="s">
        <v>938</v>
      </c>
      <c r="Q623" s="539"/>
      <c r="R623" s="516" t="s">
        <v>49</v>
      </c>
      <c r="S623" s="516" t="s">
        <v>168</v>
      </c>
      <c r="T623" s="516"/>
      <c r="U623" s="516" t="s">
        <v>874</v>
      </c>
      <c r="V623" s="548" t="s">
        <v>3685</v>
      </c>
      <c r="W623" s="541" t="s">
        <v>3686</v>
      </c>
      <c r="X623" s="516" t="s">
        <v>876</v>
      </c>
      <c r="Y623" s="542">
        <v>33871</v>
      </c>
      <c r="Z623" s="543">
        <f t="shared" ca="1" si="10"/>
        <v>33</v>
      </c>
      <c r="AA623" s="534" t="s">
        <v>3687</v>
      </c>
      <c r="AB623" s="516" t="s">
        <v>3688</v>
      </c>
      <c r="AC623" s="516" t="s">
        <v>842</v>
      </c>
      <c r="AD623" s="516" t="s">
        <v>851</v>
      </c>
      <c r="AE623" s="534" t="s">
        <v>1256</v>
      </c>
      <c r="AF623" s="534" t="s">
        <v>1256</v>
      </c>
      <c r="AG623" s="534"/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604</v>
      </c>
      <c r="D624" s="516" t="s">
        <v>3684</v>
      </c>
      <c r="E624" s="516">
        <f t="shared" si="8"/>
        <v>568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 t="s">
        <v>62</v>
      </c>
      <c r="S624" s="516" t="s">
        <v>548</v>
      </c>
      <c r="T624" s="516"/>
      <c r="U624" s="516" t="s">
        <v>874</v>
      </c>
      <c r="V624" s="538" t="s">
        <v>596</v>
      </c>
      <c r="W624" s="541" t="s">
        <v>3689</v>
      </c>
      <c r="X624" s="516" t="s">
        <v>876</v>
      </c>
      <c r="Y624" s="542">
        <v>35425</v>
      </c>
      <c r="Z624" s="543">
        <f t="shared" ca="1" si="10"/>
        <v>29</v>
      </c>
      <c r="AA624" s="534" t="s">
        <v>3690</v>
      </c>
      <c r="AB624" s="516" t="s">
        <v>3691</v>
      </c>
      <c r="AC624" s="516" t="s">
        <v>842</v>
      </c>
      <c r="AD624" s="516" t="s">
        <v>851</v>
      </c>
      <c r="AE624" s="534" t="s">
        <v>713</v>
      </c>
      <c r="AF624" s="566" t="s">
        <v>713</v>
      </c>
      <c r="AG624" s="534" t="s">
        <v>3692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605</v>
      </c>
      <c r="D625" s="516" t="s">
        <v>3693</v>
      </c>
      <c r="E625" s="516">
        <f t="shared" si="8"/>
        <v>569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615</v>
      </c>
      <c r="W625" s="541" t="s">
        <v>3694</v>
      </c>
      <c r="X625" s="516" t="s">
        <v>876</v>
      </c>
      <c r="Y625" s="542">
        <v>35131</v>
      </c>
      <c r="Z625" s="543">
        <f t="shared" ca="1" si="10"/>
        <v>29</v>
      </c>
      <c r="AA625" s="534" t="s">
        <v>3695</v>
      </c>
      <c r="AB625" s="516" t="s">
        <v>3696</v>
      </c>
      <c r="AC625" s="516" t="s">
        <v>842</v>
      </c>
      <c r="AD625" s="516" t="s">
        <v>851</v>
      </c>
      <c r="AE625" s="534" t="s">
        <v>1256</v>
      </c>
      <c r="AF625" s="534" t="s">
        <v>1256</v>
      </c>
      <c r="AG625" s="534" t="s">
        <v>2768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606</v>
      </c>
      <c r="D626" s="516" t="s">
        <v>3697</v>
      </c>
      <c r="E626" s="516">
        <f t="shared" si="8"/>
        <v>570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633</v>
      </c>
      <c r="W626" s="541" t="s">
        <v>3698</v>
      </c>
      <c r="X626" s="516" t="s">
        <v>876</v>
      </c>
      <c r="Y626" s="542">
        <v>31175</v>
      </c>
      <c r="Z626" s="543">
        <f t="shared" ca="1" si="10"/>
        <v>40</v>
      </c>
      <c r="AA626" s="534" t="s">
        <v>3699</v>
      </c>
      <c r="AB626" s="516" t="s">
        <v>3700</v>
      </c>
      <c r="AC626" s="516" t="s">
        <v>842</v>
      </c>
      <c r="AD626" s="516" t="s">
        <v>851</v>
      </c>
      <c r="AE626" s="534" t="s">
        <v>713</v>
      </c>
      <c r="AF626" s="566" t="s">
        <v>713</v>
      </c>
      <c r="AG626" s="534" t="s">
        <v>3701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607</v>
      </c>
      <c r="D627" s="516" t="s">
        <v>3702</v>
      </c>
      <c r="E627" s="516">
        <f t="shared" si="8"/>
        <v>571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652</v>
      </c>
      <c r="W627" s="541" t="s">
        <v>3703</v>
      </c>
      <c r="X627" s="516" t="s">
        <v>876</v>
      </c>
      <c r="Y627" s="542">
        <v>31279</v>
      </c>
      <c r="Z627" s="543">
        <f t="shared" ca="1" si="10"/>
        <v>40</v>
      </c>
      <c r="AA627" s="534" t="s">
        <v>3704</v>
      </c>
      <c r="AB627" s="571"/>
      <c r="AC627" s="516" t="s">
        <v>842</v>
      </c>
      <c r="AD627" s="516" t="s">
        <v>843</v>
      </c>
      <c r="AE627" s="534" t="s">
        <v>713</v>
      </c>
      <c r="AF627" s="566" t="s">
        <v>713</v>
      </c>
      <c r="AG627" s="534" t="s">
        <v>3705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608</v>
      </c>
      <c r="D628" s="516" t="s">
        <v>3706</v>
      </c>
      <c r="E628" s="516">
        <f t="shared" si="8"/>
        <v>572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38" t="s">
        <v>938</v>
      </c>
      <c r="Q628" s="539"/>
      <c r="R628" s="516"/>
      <c r="S628" s="516"/>
      <c r="T628" s="516"/>
      <c r="U628" s="516" t="s">
        <v>874</v>
      </c>
      <c r="V628" s="538" t="s">
        <v>670</v>
      </c>
      <c r="W628" s="541" t="s">
        <v>3707</v>
      </c>
      <c r="X628" s="516" t="s">
        <v>876</v>
      </c>
      <c r="Y628" s="542">
        <v>34479</v>
      </c>
      <c r="Z628" s="543">
        <f t="shared" ca="1" si="10"/>
        <v>31</v>
      </c>
      <c r="AA628" s="534" t="s">
        <v>3708</v>
      </c>
      <c r="AB628" s="516" t="s">
        <v>3709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3692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609</v>
      </c>
      <c r="D629" s="516" t="s">
        <v>3710</v>
      </c>
      <c r="E629" s="516">
        <f t="shared" si="8"/>
        <v>573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1186</v>
      </c>
      <c r="L629" s="535" t="s">
        <v>3683</v>
      </c>
      <c r="M629" s="536"/>
      <c r="N629" s="537"/>
      <c r="O629" s="537"/>
      <c r="P629" s="559" t="s">
        <v>938</v>
      </c>
      <c r="Q629" s="539"/>
      <c r="R629" s="516"/>
      <c r="S629" s="516"/>
      <c r="T629" s="516"/>
      <c r="U629" s="516" t="s">
        <v>874</v>
      </c>
      <c r="V629" s="559" t="s">
        <v>684</v>
      </c>
      <c r="W629" s="541" t="s">
        <v>3711</v>
      </c>
      <c r="X629" s="516" t="s">
        <v>876</v>
      </c>
      <c r="Y629" s="542" t="s">
        <v>3712</v>
      </c>
      <c r="Z629" s="543">
        <f t="shared" ca="1" si="10"/>
        <v>25</v>
      </c>
      <c r="AA629" s="534" t="s">
        <v>3713</v>
      </c>
      <c r="AB629" s="516" t="s">
        <v>3714</v>
      </c>
      <c r="AC629" s="516" t="s">
        <v>842</v>
      </c>
      <c r="AD629" s="516" t="s">
        <v>851</v>
      </c>
      <c r="AE629" s="534" t="s">
        <v>713</v>
      </c>
      <c r="AF629" s="566" t="s">
        <v>713</v>
      </c>
      <c r="AG629" s="534" t="s">
        <v>3715</v>
      </c>
      <c r="AH629" s="516"/>
      <c r="AI629" s="516"/>
      <c r="AJ629" s="516" t="s">
        <v>976</v>
      </c>
      <c r="AK629" s="516"/>
      <c r="AL629" s="544"/>
      <c r="AM629" s="544"/>
    </row>
    <row r="630" spans="3:39" ht="18" customHeight="1">
      <c r="C630" s="516">
        <v>610</v>
      </c>
      <c r="D630" s="516" t="s">
        <v>1194</v>
      </c>
      <c r="E630" s="516">
        <f t="shared" si="8"/>
        <v>573</v>
      </c>
      <c r="F630" s="534"/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48" t="s">
        <v>978</v>
      </c>
      <c r="Q630" s="539"/>
      <c r="R630" s="516" t="s">
        <v>49</v>
      </c>
      <c r="S630" s="516" t="s">
        <v>168</v>
      </c>
      <c r="T630" s="516"/>
      <c r="U630" s="516"/>
      <c r="V630" s="548" t="s">
        <v>294</v>
      </c>
      <c r="W630" s="541" t="s">
        <v>1195</v>
      </c>
      <c r="X630" s="516" t="s">
        <v>876</v>
      </c>
      <c r="Y630" s="542">
        <v>25307</v>
      </c>
      <c r="Z630" s="543">
        <f t="shared" ca="1" si="10"/>
        <v>56</v>
      </c>
      <c r="AA630" s="534" t="s">
        <v>1196</v>
      </c>
      <c r="AB630" s="516" t="s">
        <v>3717</v>
      </c>
      <c r="AC630" s="516" t="s">
        <v>802</v>
      </c>
      <c r="AD630" s="516" t="s">
        <v>794</v>
      </c>
      <c r="AE630" s="534" t="s">
        <v>713</v>
      </c>
      <c r="AF630" s="534" t="s">
        <v>1163</v>
      </c>
      <c r="AG630" s="534" t="s">
        <v>1164</v>
      </c>
      <c r="AH630" s="516" t="s">
        <v>872</v>
      </c>
      <c r="AI630" s="516"/>
      <c r="AJ630" s="516"/>
      <c r="AK630" s="516"/>
      <c r="AL630" s="544"/>
      <c r="AM630" s="544"/>
    </row>
    <row r="631" spans="3:39" ht="18" customHeight="1">
      <c r="C631" s="516">
        <v>611</v>
      </c>
      <c r="D631" s="516" t="s">
        <v>3716</v>
      </c>
      <c r="E631" s="516">
        <f t="shared" ref="E631:E743" si="11">SUBTOTAL(103,$U$21:U631)</f>
        <v>574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 t="s">
        <v>308</v>
      </c>
      <c r="R631" s="516" t="s">
        <v>62</v>
      </c>
      <c r="S631" s="516" t="s">
        <v>548</v>
      </c>
      <c r="T631" s="516"/>
      <c r="U631" s="516" t="s">
        <v>874</v>
      </c>
      <c r="V631" s="538" t="s">
        <v>597</v>
      </c>
      <c r="W631" s="541" t="s">
        <v>3718</v>
      </c>
      <c r="X631" s="516" t="s">
        <v>876</v>
      </c>
      <c r="Y631" s="542">
        <v>27337</v>
      </c>
      <c r="Z631" s="543">
        <f t="shared" ca="1" si="10"/>
        <v>51</v>
      </c>
      <c r="AA631" s="534" t="s">
        <v>3719</v>
      </c>
      <c r="AB631" s="516" t="s">
        <v>3720</v>
      </c>
      <c r="AC631" s="516" t="s">
        <v>842</v>
      </c>
      <c r="AD631" s="516" t="s">
        <v>851</v>
      </c>
      <c r="AE631" s="534" t="s">
        <v>815</v>
      </c>
      <c r="AF631" s="606" t="s">
        <v>815</v>
      </c>
      <c r="AG631" s="534" t="s">
        <v>1352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3721</v>
      </c>
      <c r="E632" s="516">
        <f t="shared" si="11"/>
        <v>575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 t="s">
        <v>308</v>
      </c>
      <c r="R632" s="516"/>
      <c r="S632" s="516"/>
      <c r="T632" s="516"/>
      <c r="U632" s="516" t="s">
        <v>874</v>
      </c>
      <c r="V632" s="538" t="s">
        <v>616</v>
      </c>
      <c r="W632" s="541" t="s">
        <v>3722</v>
      </c>
      <c r="X632" s="516" t="s">
        <v>876</v>
      </c>
      <c r="Y632" s="542">
        <v>26046</v>
      </c>
      <c r="Z632" s="543">
        <f t="shared" ca="1" si="10"/>
        <v>54</v>
      </c>
      <c r="AA632" s="534" t="s">
        <v>3723</v>
      </c>
      <c r="AB632" s="571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3724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613</v>
      </c>
      <c r="D633" s="516" t="s">
        <v>3725</v>
      </c>
      <c r="E633" s="516">
        <f t="shared" si="11"/>
        <v>576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 t="s">
        <v>308</v>
      </c>
      <c r="R633" s="516"/>
      <c r="S633" s="516"/>
      <c r="T633" s="516"/>
      <c r="U633" s="516" t="s">
        <v>874</v>
      </c>
      <c r="V633" s="538" t="s">
        <v>634</v>
      </c>
      <c r="W633" s="541" t="s">
        <v>3726</v>
      </c>
      <c r="X633" s="516" t="s">
        <v>876</v>
      </c>
      <c r="Y633" s="542">
        <v>26397</v>
      </c>
      <c r="Z633" s="543">
        <f t="shared" ca="1" si="10"/>
        <v>53</v>
      </c>
      <c r="AA633" s="534" t="s">
        <v>3727</v>
      </c>
      <c r="AB633" s="516" t="s">
        <v>3728</v>
      </c>
      <c r="AC633" s="516" t="s">
        <v>842</v>
      </c>
      <c r="AD633" s="516" t="s">
        <v>851</v>
      </c>
      <c r="AE633" s="534" t="s">
        <v>713</v>
      </c>
      <c r="AF633" s="606" t="s">
        <v>815</v>
      </c>
      <c r="AG633" s="534" t="s">
        <v>3729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614</v>
      </c>
      <c r="D634" s="516" t="s">
        <v>3730</v>
      </c>
      <c r="E634" s="516">
        <f t="shared" si="11"/>
        <v>577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 t="s">
        <v>308</v>
      </c>
      <c r="R634" s="516"/>
      <c r="S634" s="516"/>
      <c r="T634" s="516"/>
      <c r="U634" s="516" t="s">
        <v>874</v>
      </c>
      <c r="V634" s="538" t="s">
        <v>653</v>
      </c>
      <c r="W634" s="541" t="s">
        <v>3731</v>
      </c>
      <c r="X634" s="516" t="s">
        <v>876</v>
      </c>
      <c r="Y634" s="542">
        <v>26636</v>
      </c>
      <c r="Z634" s="543">
        <f t="shared" ca="1" si="10"/>
        <v>53</v>
      </c>
      <c r="AA634" s="534" t="s">
        <v>3732</v>
      </c>
      <c r="AB634" s="516" t="s">
        <v>3733</v>
      </c>
      <c r="AC634" s="516" t="s">
        <v>842</v>
      </c>
      <c r="AD634" s="516" t="s">
        <v>843</v>
      </c>
      <c r="AE634" s="534" t="s">
        <v>713</v>
      </c>
      <c r="AF634" s="534" t="s">
        <v>713</v>
      </c>
      <c r="AG634" s="534" t="s">
        <v>3734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3735</v>
      </c>
      <c r="E635" s="516">
        <f t="shared" si="11"/>
        <v>578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 t="s">
        <v>308</v>
      </c>
      <c r="R635" s="516"/>
      <c r="S635" s="516"/>
      <c r="T635" s="516"/>
      <c r="U635" s="516" t="s">
        <v>874</v>
      </c>
      <c r="V635" s="538" t="s">
        <v>685</v>
      </c>
      <c r="W635" s="541" t="s">
        <v>3736</v>
      </c>
      <c r="X635" s="516" t="s">
        <v>876</v>
      </c>
      <c r="Y635" s="542">
        <v>27745</v>
      </c>
      <c r="Z635" s="543">
        <f t="shared" ca="1" si="10"/>
        <v>50</v>
      </c>
      <c r="AA635" s="534" t="s">
        <v>3737</v>
      </c>
      <c r="AB635" s="516" t="s">
        <v>3738</v>
      </c>
      <c r="AC635" s="516" t="s">
        <v>842</v>
      </c>
      <c r="AD635" s="516" t="s">
        <v>843</v>
      </c>
      <c r="AE635" s="534" t="s">
        <v>2208</v>
      </c>
      <c r="AF635" s="534" t="s">
        <v>2208</v>
      </c>
      <c r="AG635" s="534" t="s">
        <v>3739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3740</v>
      </c>
      <c r="E636" s="516">
        <f t="shared" si="11"/>
        <v>579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 t="s">
        <v>308</v>
      </c>
      <c r="R636" s="516"/>
      <c r="S636" s="516"/>
      <c r="T636" s="516"/>
      <c r="U636" s="516" t="s">
        <v>874</v>
      </c>
      <c r="V636" s="538" t="s">
        <v>694</v>
      </c>
      <c r="W636" s="541" t="s">
        <v>3741</v>
      </c>
      <c r="X636" s="516" t="s">
        <v>876</v>
      </c>
      <c r="Y636" s="542">
        <v>28463</v>
      </c>
      <c r="Z636" s="543">
        <f t="shared" ca="1" si="10"/>
        <v>48</v>
      </c>
      <c r="AA636" s="534" t="s">
        <v>3742</v>
      </c>
      <c r="AB636" s="516" t="s">
        <v>3743</v>
      </c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34" t="s">
        <v>3744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617</v>
      </c>
      <c r="D637" s="516" t="s">
        <v>3745</v>
      </c>
      <c r="E637" s="516">
        <f t="shared" si="11"/>
        <v>580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 t="s">
        <v>308</v>
      </c>
      <c r="R637" s="516"/>
      <c r="S637" s="516"/>
      <c r="T637" s="516"/>
      <c r="U637" s="516" t="s">
        <v>874</v>
      </c>
      <c r="V637" s="538" t="s">
        <v>3746</v>
      </c>
      <c r="W637" s="541" t="s">
        <v>3747</v>
      </c>
      <c r="X637" s="516" t="s">
        <v>876</v>
      </c>
      <c r="Y637" s="542">
        <v>29857</v>
      </c>
      <c r="Z637" s="543">
        <f t="shared" ca="1" si="10"/>
        <v>44</v>
      </c>
      <c r="AA637" s="534" t="s">
        <v>3748</v>
      </c>
      <c r="AB637" s="516" t="s">
        <v>3749</v>
      </c>
      <c r="AC637" s="516" t="s">
        <v>842</v>
      </c>
      <c r="AD637" s="516" t="s">
        <v>851</v>
      </c>
      <c r="AE637" s="534" t="s">
        <v>236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618</v>
      </c>
      <c r="D638" s="516" t="s">
        <v>3750</v>
      </c>
      <c r="E638" s="516">
        <f t="shared" si="11"/>
        <v>581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38" t="s">
        <v>978</v>
      </c>
      <c r="Q638" s="539" t="s">
        <v>308</v>
      </c>
      <c r="R638" s="516"/>
      <c r="S638" s="516"/>
      <c r="T638" s="516"/>
      <c r="U638" s="516" t="s">
        <v>874</v>
      </c>
      <c r="V638" s="538" t="s">
        <v>3751</v>
      </c>
      <c r="W638" s="541" t="s">
        <v>3752</v>
      </c>
      <c r="X638" s="516" t="s">
        <v>876</v>
      </c>
      <c r="Y638" s="542">
        <v>30123</v>
      </c>
      <c r="Z638" s="543">
        <f t="shared" ca="1" si="10"/>
        <v>43</v>
      </c>
      <c r="AA638" s="534" t="s">
        <v>3753</v>
      </c>
      <c r="AB638" s="516" t="s">
        <v>3754</v>
      </c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619</v>
      </c>
      <c r="D639" s="516" t="s">
        <v>3755</v>
      </c>
      <c r="E639" s="516">
        <f t="shared" si="11"/>
        <v>582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1194</v>
      </c>
      <c r="L639" s="535" t="s">
        <v>3716</v>
      </c>
      <c r="M639" s="536"/>
      <c r="N639" s="537"/>
      <c r="O639" s="537"/>
      <c r="P639" s="559" t="s">
        <v>978</v>
      </c>
      <c r="Q639" s="539" t="s">
        <v>308</v>
      </c>
      <c r="R639" s="516"/>
      <c r="S639" s="516"/>
      <c r="T639" s="516"/>
      <c r="U639" s="516" t="s">
        <v>874</v>
      </c>
      <c r="V639" s="559" t="s">
        <v>3756</v>
      </c>
      <c r="W639" s="541" t="s">
        <v>3757</v>
      </c>
      <c r="X639" s="516" t="s">
        <v>876</v>
      </c>
      <c r="Y639" s="542">
        <v>30594</v>
      </c>
      <c r="Z639" s="543">
        <f t="shared" ca="1" si="10"/>
        <v>42</v>
      </c>
      <c r="AA639" s="534" t="s">
        <v>3758</v>
      </c>
      <c r="AB639" s="516" t="s">
        <v>3759</v>
      </c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1597</v>
      </c>
      <c r="AH639" s="516"/>
      <c r="AI639" s="516"/>
      <c r="AJ639" s="516" t="s">
        <v>971</v>
      </c>
      <c r="AK639" s="516"/>
      <c r="AL639" s="544"/>
      <c r="AM639" s="544"/>
    </row>
    <row r="640" spans="3:39" ht="18" customHeight="1">
      <c r="C640" s="516">
        <v>620</v>
      </c>
      <c r="D640" s="516" t="s">
        <v>3760</v>
      </c>
      <c r="E640" s="516">
        <f t="shared" si="11"/>
        <v>583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48" t="s">
        <v>1011</v>
      </c>
      <c r="Q640" s="539"/>
      <c r="R640" s="516" t="s">
        <v>49</v>
      </c>
      <c r="S640" s="516" t="s">
        <v>168</v>
      </c>
      <c r="T640" s="516"/>
      <c r="U640" s="516" t="s">
        <v>874</v>
      </c>
      <c r="V640" s="548" t="s">
        <v>590</v>
      </c>
      <c r="W640" s="541" t="s">
        <v>3762</v>
      </c>
      <c r="X640" s="516" t="s">
        <v>876</v>
      </c>
      <c r="Y640" s="542">
        <v>21524</v>
      </c>
      <c r="Z640" s="543">
        <f t="shared" ca="1" si="10"/>
        <v>67</v>
      </c>
      <c r="AA640" s="534" t="s">
        <v>3763</v>
      </c>
      <c r="AB640" s="516" t="s">
        <v>3764</v>
      </c>
      <c r="AC640" s="516" t="s">
        <v>802</v>
      </c>
      <c r="AD640" s="516" t="s">
        <v>794</v>
      </c>
      <c r="AE640" s="534" t="s">
        <v>713</v>
      </c>
      <c r="AF640" s="566" t="s">
        <v>713</v>
      </c>
      <c r="AG640" s="534" t="s">
        <v>3765</v>
      </c>
      <c r="AH640" s="516"/>
      <c r="AI640" s="516"/>
      <c r="AJ640" s="516" t="s">
        <v>867</v>
      </c>
      <c r="AK640" s="516"/>
      <c r="AL640" s="544"/>
      <c r="AM640" s="544"/>
    </row>
    <row r="641" spans="3:39" ht="18" customHeight="1">
      <c r="C641" s="516">
        <v>621</v>
      </c>
      <c r="D641" s="516" t="s">
        <v>3761</v>
      </c>
      <c r="E641" s="516">
        <f t="shared" si="11"/>
        <v>584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 t="s">
        <v>308</v>
      </c>
      <c r="R641" s="516" t="s">
        <v>62</v>
      </c>
      <c r="S641" s="516" t="s">
        <v>548</v>
      </c>
      <c r="T641" s="516"/>
      <c r="U641" s="516" t="s">
        <v>874</v>
      </c>
      <c r="V641" s="538" t="s">
        <v>617</v>
      </c>
      <c r="W641" s="541" t="s">
        <v>3766</v>
      </c>
      <c r="X641" s="516" t="s">
        <v>876</v>
      </c>
      <c r="Y641" s="542">
        <v>25485</v>
      </c>
      <c r="Z641" s="543">
        <f t="shared" ca="1" si="10"/>
        <v>56</v>
      </c>
      <c r="AA641" s="534" t="s">
        <v>3767</v>
      </c>
      <c r="AB641" s="516" t="s">
        <v>3768</v>
      </c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1427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622</v>
      </c>
      <c r="D642" s="516" t="s">
        <v>3769</v>
      </c>
      <c r="E642" s="516">
        <f t="shared" si="11"/>
        <v>585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 t="s">
        <v>308</v>
      </c>
      <c r="R642" s="516"/>
      <c r="S642" s="516"/>
      <c r="T642" s="516"/>
      <c r="U642" s="516" t="s">
        <v>874</v>
      </c>
      <c r="V642" s="538" t="s">
        <v>598</v>
      </c>
      <c r="W642" s="541" t="s">
        <v>3770</v>
      </c>
      <c r="X642" s="516" t="s">
        <v>876</v>
      </c>
      <c r="Y642" s="542">
        <v>21286</v>
      </c>
      <c r="Z642" s="543">
        <f t="shared" ca="1" si="10"/>
        <v>67</v>
      </c>
      <c r="AA642" s="534" t="s">
        <v>3771</v>
      </c>
      <c r="AB642" s="516" t="s">
        <v>3772</v>
      </c>
      <c r="AC642" s="516" t="s">
        <v>842</v>
      </c>
      <c r="AD642" s="516" t="s">
        <v>851</v>
      </c>
      <c r="AE642" s="534" t="s">
        <v>713</v>
      </c>
      <c r="AF642" s="566" t="s">
        <v>713</v>
      </c>
      <c r="AG642" s="534" t="s">
        <v>741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623</v>
      </c>
      <c r="D643" s="516" t="s">
        <v>3773</v>
      </c>
      <c r="E643" s="516">
        <f t="shared" si="11"/>
        <v>586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635</v>
      </c>
      <c r="W643" s="541" t="s">
        <v>3774</v>
      </c>
      <c r="X643" s="516" t="s">
        <v>876</v>
      </c>
      <c r="Y643" s="542">
        <v>26525</v>
      </c>
      <c r="Z643" s="543">
        <f t="shared" ca="1" si="10"/>
        <v>53</v>
      </c>
      <c r="AA643" s="534" t="s">
        <v>3775</v>
      </c>
      <c r="AB643" s="516" t="s">
        <v>3776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3777</v>
      </c>
      <c r="AH643" s="516"/>
      <c r="AI643" s="516"/>
      <c r="AJ643" s="516" t="s">
        <v>971</v>
      </c>
      <c r="AK643" s="516"/>
      <c r="AL643" s="544"/>
      <c r="AM643" s="544"/>
    </row>
    <row r="644" spans="3:39" ht="18" customHeight="1">
      <c r="C644" s="516">
        <v>624</v>
      </c>
      <c r="D644" s="516" t="s">
        <v>3778</v>
      </c>
      <c r="E644" s="516">
        <f t="shared" si="11"/>
        <v>587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654</v>
      </c>
      <c r="W644" s="541" t="s">
        <v>3779</v>
      </c>
      <c r="X644" s="516" t="s">
        <v>876</v>
      </c>
      <c r="Y644" s="542">
        <v>21228</v>
      </c>
      <c r="Z644" s="543">
        <f t="shared" ca="1" si="10"/>
        <v>67</v>
      </c>
      <c r="AA644" s="534" t="s">
        <v>3780</v>
      </c>
      <c r="AB644" s="516" t="s">
        <v>3781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3782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625</v>
      </c>
      <c r="D645" s="516" t="s">
        <v>3783</v>
      </c>
      <c r="E645" s="516">
        <f t="shared" si="11"/>
        <v>588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40" t="s">
        <v>671</v>
      </c>
      <c r="W645" s="541" t="s">
        <v>3784</v>
      </c>
      <c r="X645" s="516" t="s">
        <v>876</v>
      </c>
      <c r="Y645" s="542">
        <v>23272</v>
      </c>
      <c r="Z645" s="543">
        <f t="shared" ca="1" si="10"/>
        <v>62</v>
      </c>
      <c r="AA645" s="534" t="s">
        <v>3785</v>
      </c>
      <c r="AB645" s="516" t="s">
        <v>3786</v>
      </c>
      <c r="AC645" s="516" t="s">
        <v>842</v>
      </c>
      <c r="AD645" s="516" t="s">
        <v>843</v>
      </c>
      <c r="AE645" s="534" t="s">
        <v>713</v>
      </c>
      <c r="AF645" s="566" t="s">
        <v>713</v>
      </c>
      <c r="AG645" s="534" t="s">
        <v>3765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626</v>
      </c>
      <c r="D646" s="516" t="s">
        <v>3787</v>
      </c>
      <c r="E646" s="516">
        <f t="shared" si="11"/>
        <v>589</v>
      </c>
      <c r="F646" s="534" t="s">
        <v>811</v>
      </c>
      <c r="G646" s="534" t="s">
        <v>3584</v>
      </c>
      <c r="H646" s="535" t="s">
        <v>1106</v>
      </c>
      <c r="I646" s="535" t="s">
        <v>73</v>
      </c>
      <c r="J646" s="535" t="s">
        <v>915</v>
      </c>
      <c r="K646" s="535" t="s">
        <v>3760</v>
      </c>
      <c r="L646" s="535" t="s">
        <v>3761</v>
      </c>
      <c r="M646" s="536"/>
      <c r="N646" s="537"/>
      <c r="O646" s="537"/>
      <c r="P646" s="538" t="s">
        <v>1011</v>
      </c>
      <c r="Q646" s="539" t="s">
        <v>308</v>
      </c>
      <c r="R646" s="516"/>
      <c r="S646" s="516"/>
      <c r="T646" s="516"/>
      <c r="U646" s="516" t="s">
        <v>874</v>
      </c>
      <c r="V646" s="559" t="s">
        <v>686</v>
      </c>
      <c r="W646" s="541" t="s">
        <v>3788</v>
      </c>
      <c r="X646" s="516" t="s">
        <v>876</v>
      </c>
      <c r="Y646" s="542">
        <v>23843</v>
      </c>
      <c r="Z646" s="543">
        <f t="shared" ca="1" si="10"/>
        <v>60</v>
      </c>
      <c r="AA646" s="534" t="s">
        <v>3789</v>
      </c>
      <c r="AB646" s="516" t="s">
        <v>3790</v>
      </c>
      <c r="AC646" s="516" t="s">
        <v>842</v>
      </c>
      <c r="AD646" s="516" t="s">
        <v>843</v>
      </c>
      <c r="AE646" s="534" t="s">
        <v>713</v>
      </c>
      <c r="AF646" s="534" t="s">
        <v>713</v>
      </c>
      <c r="AG646" s="534" t="s">
        <v>3791</v>
      </c>
      <c r="AH646" s="516"/>
      <c r="AI646" s="516"/>
      <c r="AJ646" s="632" t="s">
        <v>1438</v>
      </c>
      <c r="AK646" s="516"/>
      <c r="AL646" s="544"/>
      <c r="AM646" s="544"/>
    </row>
    <row r="647" spans="3:39" ht="18" customHeight="1">
      <c r="C647" s="516">
        <v>627</v>
      </c>
      <c r="D647" s="516" t="s">
        <v>1178</v>
      </c>
      <c r="E647" s="516">
        <f t="shared" si="11"/>
        <v>589</v>
      </c>
      <c r="F647" s="534"/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48" t="s">
        <v>1041</v>
      </c>
      <c r="Q647" s="539"/>
      <c r="R647" s="516" t="s">
        <v>163</v>
      </c>
      <c r="S647" s="516" t="s">
        <v>500</v>
      </c>
      <c r="T647" s="516"/>
      <c r="U647" s="562"/>
      <c r="V647" s="548" t="s">
        <v>243</v>
      </c>
      <c r="W647" s="560" t="s">
        <v>3799</v>
      </c>
      <c r="X647" s="516" t="s">
        <v>876</v>
      </c>
      <c r="Y647" s="542">
        <v>20283</v>
      </c>
      <c r="Z647" s="543">
        <f t="shared" ca="1" si="10"/>
        <v>70</v>
      </c>
      <c r="AA647" s="534" t="s">
        <v>1180</v>
      </c>
      <c r="AB647" s="516"/>
      <c r="AC647" s="516" t="s">
        <v>802</v>
      </c>
      <c r="AD647" s="516" t="s">
        <v>794</v>
      </c>
      <c r="AE647" s="534" t="s">
        <v>713</v>
      </c>
      <c r="AF647" s="534" t="s">
        <v>1163</v>
      </c>
      <c r="AG647" s="534" t="s">
        <v>1164</v>
      </c>
      <c r="AH647" s="516" t="s">
        <v>872</v>
      </c>
      <c r="AI647" s="516"/>
      <c r="AJ647" s="516"/>
      <c r="AK647" s="516"/>
      <c r="AL647" s="544"/>
      <c r="AM647" s="544"/>
    </row>
    <row r="648" spans="3:39" ht="18" customHeight="1">
      <c r="C648" s="516">
        <v>628</v>
      </c>
      <c r="D648" s="516" t="s">
        <v>3797</v>
      </c>
      <c r="E648" s="516">
        <f t="shared" si="11"/>
        <v>590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 t="s">
        <v>62</v>
      </c>
      <c r="S648" s="516" t="s">
        <v>548</v>
      </c>
      <c r="T648" s="516"/>
      <c r="U648" s="562" t="s">
        <v>874</v>
      </c>
      <c r="V648" s="538" t="s">
        <v>599</v>
      </c>
      <c r="W648" s="560" t="s">
        <v>3800</v>
      </c>
      <c r="X648" s="516" t="s">
        <v>876</v>
      </c>
      <c r="Y648" s="542">
        <v>26069</v>
      </c>
      <c r="Z648" s="543">
        <f t="shared" ca="1" si="10"/>
        <v>54</v>
      </c>
      <c r="AA648" s="534" t="s">
        <v>3801</v>
      </c>
      <c r="AB648" s="516" t="s">
        <v>3802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66" t="s">
        <v>1313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629</v>
      </c>
      <c r="D649" s="516" t="s">
        <v>3803</v>
      </c>
      <c r="E649" s="516">
        <f t="shared" si="11"/>
        <v>591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618</v>
      </c>
      <c r="W649" s="560" t="s">
        <v>3804</v>
      </c>
      <c r="X649" s="516" t="s">
        <v>876</v>
      </c>
      <c r="Y649" s="542">
        <v>21767</v>
      </c>
      <c r="Z649" s="543">
        <f t="shared" ca="1" si="10"/>
        <v>66</v>
      </c>
      <c r="AA649" s="534" t="s">
        <v>3805</v>
      </c>
      <c r="AB649" s="516" t="s">
        <v>3806</v>
      </c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1229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630</v>
      </c>
      <c r="D650" s="516" t="s">
        <v>3807</v>
      </c>
      <c r="E650" s="516">
        <f t="shared" si="11"/>
        <v>592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636</v>
      </c>
      <c r="W650" s="560" t="s">
        <v>3808</v>
      </c>
      <c r="X650" s="516" t="s">
        <v>876</v>
      </c>
      <c r="Y650" s="542">
        <v>21805</v>
      </c>
      <c r="Z650" s="543">
        <f t="shared" ca="1" si="10"/>
        <v>66</v>
      </c>
      <c r="AA650" s="534" t="s">
        <v>3809</v>
      </c>
      <c r="AB650" s="516" t="s">
        <v>3810</v>
      </c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66" t="s">
        <v>1313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631</v>
      </c>
      <c r="D651" s="516" t="s">
        <v>3811</v>
      </c>
      <c r="E651" s="516">
        <f t="shared" si="11"/>
        <v>593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1178</v>
      </c>
      <c r="L651" s="535" t="s">
        <v>3797</v>
      </c>
      <c r="M651" s="629" t="s">
        <v>3798</v>
      </c>
      <c r="N651" s="537"/>
      <c r="O651" s="537"/>
      <c r="P651" s="538" t="s">
        <v>1041</v>
      </c>
      <c r="Q651" s="539" t="s">
        <v>308</v>
      </c>
      <c r="R651" s="516"/>
      <c r="S651" s="516"/>
      <c r="T651" s="516"/>
      <c r="U651" s="562" t="s">
        <v>874</v>
      </c>
      <c r="V651" s="538" t="s">
        <v>655</v>
      </c>
      <c r="W651" s="560" t="s">
        <v>3812</v>
      </c>
      <c r="X651" s="516" t="s">
        <v>876</v>
      </c>
      <c r="Y651" s="542">
        <v>22122</v>
      </c>
      <c r="Z651" s="543">
        <f t="shared" ca="1" si="10"/>
        <v>65</v>
      </c>
      <c r="AA651" s="534" t="s">
        <v>3813</v>
      </c>
      <c r="AB651" s="516" t="s">
        <v>3814</v>
      </c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1431</v>
      </c>
      <c r="AH651" s="516"/>
      <c r="AI651" s="516"/>
      <c r="AJ651" s="516" t="s">
        <v>1497</v>
      </c>
      <c r="AK651" s="516"/>
      <c r="AL651" s="544"/>
      <c r="AM651" s="544"/>
    </row>
    <row r="652" spans="3:39" ht="18" customHeight="1">
      <c r="C652" s="516">
        <v>632</v>
      </c>
      <c r="D652" s="666" t="s">
        <v>3815</v>
      </c>
      <c r="E652" s="516">
        <f t="shared" si="11"/>
        <v>594</v>
      </c>
      <c r="F652" s="667" t="s">
        <v>811</v>
      </c>
      <c r="G652" s="667" t="s">
        <v>3796</v>
      </c>
      <c r="H652" s="668" t="s">
        <v>1106</v>
      </c>
      <c r="I652" s="668" t="s">
        <v>243</v>
      </c>
      <c r="J652" s="668" t="s">
        <v>1178</v>
      </c>
      <c r="K652" s="668" t="s">
        <v>1178</v>
      </c>
      <c r="L652" s="668" t="s">
        <v>3797</v>
      </c>
      <c r="M652" s="669" t="s">
        <v>3798</v>
      </c>
      <c r="N652" s="670"/>
      <c r="O652" s="670"/>
      <c r="P652" s="671" t="s">
        <v>1041</v>
      </c>
      <c r="Q652" s="672" t="s">
        <v>308</v>
      </c>
      <c r="R652" s="666"/>
      <c r="S652" s="666"/>
      <c r="T652" s="666"/>
      <c r="U652" s="673" t="s">
        <v>874</v>
      </c>
      <c r="V652" s="671" t="s">
        <v>672</v>
      </c>
      <c r="W652" s="674" t="s">
        <v>3816</v>
      </c>
      <c r="X652" s="666" t="s">
        <v>876</v>
      </c>
      <c r="Y652" s="675">
        <v>23390</v>
      </c>
      <c r="Z652" s="676">
        <f t="shared" ca="1" si="10"/>
        <v>62</v>
      </c>
      <c r="AA652" s="667" t="s">
        <v>3817</v>
      </c>
      <c r="AB652" s="666" t="s">
        <v>3818</v>
      </c>
      <c r="AC652" s="666" t="s">
        <v>842</v>
      </c>
      <c r="AD652" s="666" t="s">
        <v>843</v>
      </c>
      <c r="AE652" s="667" t="s">
        <v>713</v>
      </c>
      <c r="AF652" s="666" t="s">
        <v>713</v>
      </c>
      <c r="AG652" s="667" t="s">
        <v>1361</v>
      </c>
      <c r="AH652" s="666"/>
      <c r="AI652" s="666"/>
      <c r="AJ652" s="666" t="s">
        <v>1497</v>
      </c>
      <c r="AK652" s="666"/>
      <c r="AL652" s="677"/>
      <c r="AM652" s="677"/>
    </row>
    <row r="653" spans="3:39" ht="18" customHeight="1">
      <c r="C653" s="516">
        <v>633</v>
      </c>
      <c r="D653" s="516" t="s">
        <v>3798</v>
      </c>
      <c r="E653" s="516">
        <f t="shared" si="11"/>
        <v>595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 t="s">
        <v>308</v>
      </c>
      <c r="R653" s="516" t="s">
        <v>62</v>
      </c>
      <c r="S653" s="516" t="s">
        <v>548</v>
      </c>
      <c r="T653" s="516"/>
      <c r="U653" s="562" t="s">
        <v>874</v>
      </c>
      <c r="V653" s="538" t="s">
        <v>687</v>
      </c>
      <c r="W653" s="560" t="s">
        <v>3819</v>
      </c>
      <c r="X653" s="516" t="s">
        <v>876</v>
      </c>
      <c r="Y653" s="542">
        <v>26671</v>
      </c>
      <c r="Z653" s="543">
        <f t="shared" ca="1" si="10"/>
        <v>53</v>
      </c>
      <c r="AA653" s="534" t="s">
        <v>3820</v>
      </c>
      <c r="AB653" s="516" t="s">
        <v>3821</v>
      </c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66" t="s">
        <v>1313</v>
      </c>
      <c r="AH653" s="516"/>
      <c r="AI653" s="516"/>
      <c r="AJ653" s="516" t="s">
        <v>1497</v>
      </c>
      <c r="AK653" s="516"/>
      <c r="AL653" s="544"/>
      <c r="AM653" s="544"/>
    </row>
    <row r="654" spans="3:39" ht="18" customHeight="1">
      <c r="C654" s="516">
        <v>634</v>
      </c>
      <c r="D654" s="516" t="s">
        <v>3822</v>
      </c>
      <c r="E654" s="516">
        <f t="shared" si="11"/>
        <v>596</v>
      </c>
      <c r="F654" s="534" t="s">
        <v>1310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38" t="s">
        <v>3823</v>
      </c>
      <c r="W654" s="560" t="s">
        <v>3824</v>
      </c>
      <c r="X654" s="516" t="s">
        <v>876</v>
      </c>
      <c r="Y654" s="542">
        <v>23348</v>
      </c>
      <c r="Z654" s="543">
        <f t="shared" ca="1" si="10"/>
        <v>62</v>
      </c>
      <c r="AA654" s="534" t="s">
        <v>3825</v>
      </c>
      <c r="AB654" s="516" t="s">
        <v>3826</v>
      </c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66" t="s">
        <v>1313</v>
      </c>
      <c r="AH654" s="516"/>
      <c r="AI654" s="516"/>
      <c r="AJ654" s="593" t="s">
        <v>1950</v>
      </c>
      <c r="AK654" s="516"/>
      <c r="AL654" s="544"/>
      <c r="AM654" s="544"/>
    </row>
    <row r="655" spans="3:39" ht="18" customHeight="1">
      <c r="C655" s="516">
        <v>635</v>
      </c>
      <c r="D655" s="516" t="s">
        <v>3827</v>
      </c>
      <c r="E655" s="516">
        <f t="shared" si="11"/>
        <v>597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874</v>
      </c>
      <c r="V655" s="549" t="s">
        <v>3828</v>
      </c>
      <c r="W655" s="560" t="s">
        <v>3829</v>
      </c>
      <c r="X655" s="516" t="s">
        <v>876</v>
      </c>
      <c r="Y655" s="542">
        <v>25538</v>
      </c>
      <c r="Z655" s="543">
        <f t="shared" ca="1" si="10"/>
        <v>56</v>
      </c>
      <c r="AA655" s="534" t="s">
        <v>3830</v>
      </c>
      <c r="AB655" s="516"/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1781</v>
      </c>
      <c r="AH655" s="516" t="s">
        <v>1571</v>
      </c>
      <c r="AI655" s="516" t="s">
        <v>3831</v>
      </c>
      <c r="AJ655" s="516" t="s">
        <v>976</v>
      </c>
      <c r="AK655" s="516"/>
      <c r="AL655" s="544"/>
      <c r="AM655" s="544"/>
    </row>
    <row r="656" spans="3:39" ht="18" customHeight="1">
      <c r="C656" s="516">
        <v>636</v>
      </c>
      <c r="D656" s="516" t="s">
        <v>3832</v>
      </c>
      <c r="E656" s="516">
        <f t="shared" si="11"/>
        <v>598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898</v>
      </c>
      <c r="V656" s="635" t="s">
        <v>701</v>
      </c>
      <c r="W656" s="560" t="s">
        <v>3833</v>
      </c>
      <c r="X656" s="516" t="s">
        <v>876</v>
      </c>
      <c r="Y656" s="542">
        <v>18961</v>
      </c>
      <c r="Z656" s="543">
        <f t="shared" ca="1" si="10"/>
        <v>74</v>
      </c>
      <c r="AA656" s="534" t="s">
        <v>3834</v>
      </c>
      <c r="AB656" s="516" t="s">
        <v>3835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1177</v>
      </c>
      <c r="AH656" s="516"/>
      <c r="AI656" s="516"/>
      <c r="AJ656" s="632" t="s">
        <v>1438</v>
      </c>
      <c r="AK656" s="516"/>
      <c r="AL656" s="544"/>
      <c r="AM656" s="544"/>
    </row>
    <row r="657" spans="3:39" ht="18" customHeight="1">
      <c r="C657" s="516">
        <v>637</v>
      </c>
      <c r="D657" s="516" t="s">
        <v>3836</v>
      </c>
      <c r="E657" s="516">
        <f t="shared" si="11"/>
        <v>599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1178</v>
      </c>
      <c r="L657" s="535" t="s">
        <v>3797</v>
      </c>
      <c r="M657" s="629" t="s">
        <v>3798</v>
      </c>
      <c r="N657" s="537"/>
      <c r="O657" s="537"/>
      <c r="P657" s="538" t="s">
        <v>1041</v>
      </c>
      <c r="Q657" s="539" t="s">
        <v>308</v>
      </c>
      <c r="R657" s="516"/>
      <c r="S657" s="516"/>
      <c r="T657" s="516"/>
      <c r="U657" s="562" t="s">
        <v>874</v>
      </c>
      <c r="V657" s="502" t="s">
        <v>706</v>
      </c>
      <c r="W657" s="560" t="s">
        <v>3837</v>
      </c>
      <c r="X657" s="516" t="s">
        <v>876</v>
      </c>
      <c r="Y657" s="542">
        <v>21527</v>
      </c>
      <c r="Z657" s="543">
        <f t="shared" ca="1" si="10"/>
        <v>67</v>
      </c>
      <c r="AA657" s="534" t="s">
        <v>3838</v>
      </c>
      <c r="AB657" s="516" t="s">
        <v>3839</v>
      </c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3734</v>
      </c>
      <c r="AH657" s="516"/>
      <c r="AI657" s="516"/>
      <c r="AJ657" s="575" t="s">
        <v>1438</v>
      </c>
      <c r="AK657" s="516"/>
      <c r="AL657" s="544"/>
      <c r="AM657" s="544"/>
    </row>
    <row r="658" spans="3:39" ht="18" customHeight="1">
      <c r="C658" s="516">
        <v>638</v>
      </c>
      <c r="D658" s="516" t="s">
        <v>3840</v>
      </c>
      <c r="E658" s="516">
        <f t="shared" si="11"/>
        <v>600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48" t="s">
        <v>1077</v>
      </c>
      <c r="Q658" s="539"/>
      <c r="R658" s="516" t="s">
        <v>49</v>
      </c>
      <c r="S658" s="516" t="s">
        <v>168</v>
      </c>
      <c r="T658" s="516"/>
      <c r="U658" s="516" t="s">
        <v>874</v>
      </c>
      <c r="V658" s="679" t="s">
        <v>591</v>
      </c>
      <c r="W658" s="541" t="s">
        <v>3842</v>
      </c>
      <c r="X658" s="516" t="s">
        <v>876</v>
      </c>
      <c r="Y658" s="542">
        <v>28783</v>
      </c>
      <c r="Z658" s="543">
        <f t="shared" ca="1" si="10"/>
        <v>47</v>
      </c>
      <c r="AA658" s="534" t="s">
        <v>3843</v>
      </c>
      <c r="AB658" s="614" t="s">
        <v>3844</v>
      </c>
      <c r="AC658" s="516" t="s">
        <v>842</v>
      </c>
      <c r="AD658" s="516" t="s">
        <v>851</v>
      </c>
      <c r="AE658" s="534" t="s">
        <v>713</v>
      </c>
      <c r="AF658" s="534" t="s">
        <v>1400</v>
      </c>
      <c r="AG658" s="534" t="s">
        <v>3845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639</v>
      </c>
      <c r="D659" s="516" t="s">
        <v>3850</v>
      </c>
      <c r="E659" s="516">
        <f t="shared" si="11"/>
        <v>601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/>
      <c r="S659" s="516"/>
      <c r="T659" s="516"/>
      <c r="U659" s="516" t="s">
        <v>898</v>
      </c>
      <c r="V659" s="538" t="s">
        <v>600</v>
      </c>
      <c r="W659" s="541" t="s">
        <v>3851</v>
      </c>
      <c r="X659" s="516" t="s">
        <v>876</v>
      </c>
      <c r="Y659" s="542">
        <v>19196</v>
      </c>
      <c r="Z659" s="543">
        <f t="shared" ca="1" si="10"/>
        <v>73</v>
      </c>
      <c r="AA659" s="534" t="s">
        <v>3852</v>
      </c>
      <c r="AB659" s="516" t="s">
        <v>3853</v>
      </c>
      <c r="AC659" s="516" t="s">
        <v>842</v>
      </c>
      <c r="AD659" s="516" t="s">
        <v>851</v>
      </c>
      <c r="AE659" s="534" t="s">
        <v>1289</v>
      </c>
      <c r="AF659" s="534" t="s">
        <v>1289</v>
      </c>
      <c r="AG659" s="534" t="s">
        <v>3854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640</v>
      </c>
      <c r="D660" s="516" t="s">
        <v>3841</v>
      </c>
      <c r="E660" s="516">
        <f t="shared" si="11"/>
        <v>602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38" t="s">
        <v>1077</v>
      </c>
      <c r="Q660" s="539"/>
      <c r="R660" s="516" t="s">
        <v>62</v>
      </c>
      <c r="S660" s="516" t="s">
        <v>548</v>
      </c>
      <c r="T660" s="516"/>
      <c r="U660" s="516" t="s">
        <v>874</v>
      </c>
      <c r="V660" s="538" t="s">
        <v>619</v>
      </c>
      <c r="W660" s="541" t="s">
        <v>3846</v>
      </c>
      <c r="X660" s="516" t="s">
        <v>876</v>
      </c>
      <c r="Y660" s="542">
        <v>22484</v>
      </c>
      <c r="Z660" s="543">
        <f t="shared" ca="1" si="10"/>
        <v>64</v>
      </c>
      <c r="AA660" s="534" t="s">
        <v>3847</v>
      </c>
      <c r="AB660" s="516" t="s">
        <v>3848</v>
      </c>
      <c r="AC660" s="516" t="s">
        <v>842</v>
      </c>
      <c r="AD660" s="516" t="s">
        <v>851</v>
      </c>
      <c r="AE660" s="534" t="s">
        <v>713</v>
      </c>
      <c r="AF660" s="534" t="s">
        <v>1256</v>
      </c>
      <c r="AG660" s="534" t="s">
        <v>3849</v>
      </c>
      <c r="AH660" s="516"/>
      <c r="AI660" s="516"/>
      <c r="AJ660" s="516" t="s">
        <v>976</v>
      </c>
      <c r="AK660" s="516"/>
      <c r="AL660" s="544"/>
      <c r="AM660" s="544"/>
    </row>
    <row r="661" spans="3:39" ht="18" customHeight="1">
      <c r="C661" s="516">
        <v>641</v>
      </c>
      <c r="D661" s="516" t="s">
        <v>3855</v>
      </c>
      <c r="E661" s="516">
        <f t="shared" si="11"/>
        <v>603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3840</v>
      </c>
      <c r="L661" s="662" t="s">
        <v>3841</v>
      </c>
      <c r="M661" s="536"/>
      <c r="N661" s="537"/>
      <c r="O661" s="537"/>
      <c r="P661" s="559" t="s">
        <v>1077</v>
      </c>
      <c r="Q661" s="539"/>
      <c r="R661" s="516"/>
      <c r="S661" s="516"/>
      <c r="T661" s="516"/>
      <c r="U661" s="516" t="s">
        <v>874</v>
      </c>
      <c r="V661" s="559" t="s">
        <v>656</v>
      </c>
      <c r="W661" s="541" t="s">
        <v>3856</v>
      </c>
      <c r="X661" s="516" t="s">
        <v>876</v>
      </c>
      <c r="Y661" s="542">
        <v>26250</v>
      </c>
      <c r="Z661" s="543">
        <f t="shared" ca="1" si="10"/>
        <v>54</v>
      </c>
      <c r="AA661" s="534" t="s">
        <v>3857</v>
      </c>
      <c r="AB661" s="571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1718</v>
      </c>
      <c r="AH661" s="516"/>
      <c r="AI661" s="516" t="s">
        <v>3858</v>
      </c>
      <c r="AJ661" s="516" t="s">
        <v>976</v>
      </c>
      <c r="AK661" s="516"/>
      <c r="AL661" s="544"/>
      <c r="AM661" s="544"/>
    </row>
    <row r="662" spans="3:39" ht="18" customHeight="1">
      <c r="C662" s="516">
        <v>642</v>
      </c>
      <c r="D662" s="516" t="s">
        <v>1668</v>
      </c>
      <c r="E662" s="516">
        <f t="shared" si="11"/>
        <v>603</v>
      </c>
      <c r="F662" s="534"/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786</v>
      </c>
      <c r="M662" s="536"/>
      <c r="N662" s="537"/>
      <c r="O662" s="537"/>
      <c r="P662" s="548" t="s">
        <v>1755</v>
      </c>
      <c r="Q662" s="539"/>
      <c r="R662" s="516" t="s">
        <v>49</v>
      </c>
      <c r="S662" s="516" t="s">
        <v>168</v>
      </c>
      <c r="T662" s="516"/>
      <c r="U662" s="516"/>
      <c r="V662" s="548" t="s">
        <v>288</v>
      </c>
      <c r="W662" s="541" t="s">
        <v>1669</v>
      </c>
      <c r="X662" s="516" t="s">
        <v>876</v>
      </c>
      <c r="Y662" s="542">
        <v>22549</v>
      </c>
      <c r="Z662" s="543">
        <f t="shared" ca="1" si="10"/>
        <v>64</v>
      </c>
      <c r="AA662" s="594" t="s">
        <v>1670</v>
      </c>
      <c r="AB662" s="516" t="s">
        <v>3860</v>
      </c>
      <c r="AC662" s="516" t="s">
        <v>802</v>
      </c>
      <c r="AD662" s="516" t="s">
        <v>794</v>
      </c>
      <c r="AE662" s="534" t="s">
        <v>713</v>
      </c>
      <c r="AF662" s="534" t="s">
        <v>713</v>
      </c>
      <c r="AG662" s="534" t="s">
        <v>1672</v>
      </c>
      <c r="AH662" s="516" t="s">
        <v>872</v>
      </c>
      <c r="AI662" s="516"/>
      <c r="AJ662" s="516"/>
      <c r="AK662" s="516"/>
      <c r="AL662" s="544"/>
      <c r="AM662" s="544"/>
    </row>
    <row r="663" spans="3:39" ht="18" customHeight="1">
      <c r="C663" s="516">
        <v>643</v>
      </c>
      <c r="D663" s="516" t="s">
        <v>3859</v>
      </c>
      <c r="E663" s="516">
        <f t="shared" si="11"/>
        <v>604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 t="s">
        <v>3870</v>
      </c>
      <c r="N663" s="537"/>
      <c r="O663" s="537"/>
      <c r="P663" s="538" t="s">
        <v>1755</v>
      </c>
      <c r="Q663" s="539"/>
      <c r="R663" s="516" t="s">
        <v>62</v>
      </c>
      <c r="S663" s="516" t="s">
        <v>548</v>
      </c>
      <c r="T663" s="516"/>
      <c r="U663" s="516" t="s">
        <v>898</v>
      </c>
      <c r="V663" s="538" t="s">
        <v>601</v>
      </c>
      <c r="W663" s="541" t="s">
        <v>3861</v>
      </c>
      <c r="X663" s="516" t="s">
        <v>876</v>
      </c>
      <c r="Y663" s="542">
        <v>20098</v>
      </c>
      <c r="Z663" s="543">
        <f t="shared" ca="1" si="10"/>
        <v>71</v>
      </c>
      <c r="AA663" s="534" t="s">
        <v>3862</v>
      </c>
      <c r="AB663" s="516" t="s">
        <v>3863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3864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3870</v>
      </c>
      <c r="E664" s="516">
        <f t="shared" si="11"/>
        <v>605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 t="s">
        <v>3870</v>
      </c>
      <c r="N664" s="537"/>
      <c r="O664" s="537"/>
      <c r="P664" s="538" t="s">
        <v>1755</v>
      </c>
      <c r="Q664" s="539"/>
      <c r="R664" s="516"/>
      <c r="S664" s="516"/>
      <c r="T664" s="516"/>
      <c r="U664" s="516" t="s">
        <v>874</v>
      </c>
      <c r="V664" s="538" t="s">
        <v>620</v>
      </c>
      <c r="W664" s="541" t="s">
        <v>3871</v>
      </c>
      <c r="X664" s="516" t="s">
        <v>876</v>
      </c>
      <c r="Y664" s="542">
        <v>27355</v>
      </c>
      <c r="Z664" s="543">
        <f t="shared" ca="1" si="10"/>
        <v>51</v>
      </c>
      <c r="AA664" s="534" t="s">
        <v>3872</v>
      </c>
      <c r="AB664" s="516" t="s">
        <v>3873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3874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3865</v>
      </c>
      <c r="E665" s="516">
        <f t="shared" si="11"/>
        <v>606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 t="s">
        <v>3870</v>
      </c>
      <c r="N665" s="537"/>
      <c r="O665" s="537"/>
      <c r="P665" s="538" t="s">
        <v>1755</v>
      </c>
      <c r="Q665" s="539"/>
      <c r="R665" s="516"/>
      <c r="S665" s="516"/>
      <c r="T665" s="516"/>
      <c r="U665" s="516" t="s">
        <v>898</v>
      </c>
      <c r="V665" s="538" t="s">
        <v>638</v>
      </c>
      <c r="W665" s="541" t="s">
        <v>3866</v>
      </c>
      <c r="X665" s="516" t="s">
        <v>876</v>
      </c>
      <c r="Y665" s="542">
        <v>15828</v>
      </c>
      <c r="Z665" s="543">
        <f t="shared" ca="1" si="10"/>
        <v>82</v>
      </c>
      <c r="AA665" s="534" t="s">
        <v>3867</v>
      </c>
      <c r="AB665" s="516" t="s">
        <v>3868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3869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646</v>
      </c>
      <c r="D666" s="516" t="s">
        <v>3875</v>
      </c>
      <c r="E666" s="516">
        <f t="shared" si="11"/>
        <v>607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 t="s">
        <v>3870</v>
      </c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657</v>
      </c>
      <c r="W666" s="541" t="s">
        <v>3876</v>
      </c>
      <c r="X666" s="516" t="s">
        <v>876</v>
      </c>
      <c r="Y666" s="542">
        <v>21451</v>
      </c>
      <c r="Z666" s="543">
        <f t="shared" ca="1" si="10"/>
        <v>67</v>
      </c>
      <c r="AA666" s="534" t="s">
        <v>3877</v>
      </c>
      <c r="AB666" s="516" t="s">
        <v>3878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3879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647</v>
      </c>
      <c r="D667" s="516" t="s">
        <v>3880</v>
      </c>
      <c r="E667" s="516">
        <f t="shared" si="11"/>
        <v>608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 t="s">
        <v>3870</v>
      </c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673</v>
      </c>
      <c r="W667" s="541" t="s">
        <v>3881</v>
      </c>
      <c r="X667" s="516" t="s">
        <v>876</v>
      </c>
      <c r="Y667" s="542">
        <v>25299</v>
      </c>
      <c r="Z667" s="543">
        <f t="shared" ca="1" si="10"/>
        <v>56</v>
      </c>
      <c r="AA667" s="534" t="s">
        <v>3882</v>
      </c>
      <c r="AB667" s="516" t="s">
        <v>3883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3884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648</v>
      </c>
      <c r="D668" s="516" t="s">
        <v>3885</v>
      </c>
      <c r="E668" s="516">
        <f t="shared" si="11"/>
        <v>609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 t="s">
        <v>3870</v>
      </c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688</v>
      </c>
      <c r="W668" s="541" t="s">
        <v>3886</v>
      </c>
      <c r="X668" s="516" t="s">
        <v>876</v>
      </c>
      <c r="Y668" s="542">
        <v>29981</v>
      </c>
      <c r="Z668" s="543">
        <f t="shared" ca="1" si="10"/>
        <v>43</v>
      </c>
      <c r="AA668" s="534" t="s">
        <v>3887</v>
      </c>
      <c r="AB668" s="516" t="s">
        <v>3888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3889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649</v>
      </c>
      <c r="D669" s="516" t="s">
        <v>3890</v>
      </c>
      <c r="E669" s="516">
        <f t="shared" si="11"/>
        <v>610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 t="s">
        <v>3870</v>
      </c>
      <c r="N669" s="537"/>
      <c r="O669" s="537"/>
      <c r="P669" s="538" t="s">
        <v>1755</v>
      </c>
      <c r="Q669" s="539"/>
      <c r="R669" s="516"/>
      <c r="S669" s="516"/>
      <c r="T669" s="516"/>
      <c r="U669" s="516" t="s">
        <v>874</v>
      </c>
      <c r="V669" s="538" t="s">
        <v>696</v>
      </c>
      <c r="W669" s="541" t="s">
        <v>3891</v>
      </c>
      <c r="X669" s="516" t="s">
        <v>876</v>
      </c>
      <c r="Y669" s="542">
        <v>30203</v>
      </c>
      <c r="Z669" s="543">
        <f t="shared" ca="1" si="10"/>
        <v>43</v>
      </c>
      <c r="AA669" s="534" t="s">
        <v>3892</v>
      </c>
      <c r="AB669" s="516" t="s">
        <v>3893</v>
      </c>
      <c r="AC669" s="516" t="s">
        <v>842</v>
      </c>
      <c r="AD669" s="516" t="s">
        <v>851</v>
      </c>
      <c r="AE669" s="534" t="s">
        <v>713</v>
      </c>
      <c r="AF669" s="566" t="s">
        <v>713</v>
      </c>
      <c r="AG669" s="534" t="s">
        <v>3894</v>
      </c>
      <c r="AH669" s="516"/>
      <c r="AI669" s="516"/>
      <c r="AJ669" s="516" t="s">
        <v>1852</v>
      </c>
      <c r="AK669" s="516"/>
      <c r="AL669" s="544"/>
      <c r="AM669" s="544"/>
    </row>
    <row r="670" spans="3:39" ht="18" customHeight="1">
      <c r="C670" s="516">
        <v>650</v>
      </c>
      <c r="D670" s="516" t="s">
        <v>3895</v>
      </c>
      <c r="E670" s="516">
        <f t="shared" si="11"/>
        <v>611</v>
      </c>
      <c r="F670" s="534" t="s">
        <v>811</v>
      </c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1668</v>
      </c>
      <c r="L670" s="535" t="s">
        <v>3859</v>
      </c>
      <c r="M670" s="536" t="s">
        <v>3870</v>
      </c>
      <c r="N670" s="537"/>
      <c r="O670" s="537"/>
      <c r="P670" s="559" t="s">
        <v>1755</v>
      </c>
      <c r="Q670" s="539"/>
      <c r="R670" s="516"/>
      <c r="S670" s="516"/>
      <c r="T670" s="516"/>
      <c r="U670" s="516" t="s">
        <v>874</v>
      </c>
      <c r="V670" s="559" t="s">
        <v>3896</v>
      </c>
      <c r="W670" s="541" t="s">
        <v>3897</v>
      </c>
      <c r="X670" s="516" t="s">
        <v>876</v>
      </c>
      <c r="Y670" s="542">
        <v>21232</v>
      </c>
      <c r="Z670" s="543">
        <f t="shared" ca="1" si="10"/>
        <v>67</v>
      </c>
      <c r="AA670" s="534" t="s">
        <v>3898</v>
      </c>
      <c r="AB670" s="516" t="s">
        <v>3899</v>
      </c>
      <c r="AC670" s="516" t="s">
        <v>842</v>
      </c>
      <c r="AD670" s="516" t="s">
        <v>843</v>
      </c>
      <c r="AE670" s="534" t="s">
        <v>713</v>
      </c>
      <c r="AF670" s="534" t="s">
        <v>713</v>
      </c>
      <c r="AG670" s="534" t="s">
        <v>3900</v>
      </c>
      <c r="AH670" s="516"/>
      <c r="AI670" s="516" t="s">
        <v>866</v>
      </c>
      <c r="AJ670" s="516" t="s">
        <v>1852</v>
      </c>
      <c r="AK670" s="516"/>
      <c r="AL670" s="544"/>
      <c r="AM670" s="544"/>
    </row>
    <row r="671" spans="3:39" ht="18" customHeight="1">
      <c r="C671" s="516">
        <v>651</v>
      </c>
      <c r="D671" s="516" t="s">
        <v>2384</v>
      </c>
      <c r="E671" s="516">
        <f t="shared" si="11"/>
        <v>611</v>
      </c>
      <c r="F671" s="534"/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48" t="s">
        <v>3903</v>
      </c>
      <c r="Q671" s="539"/>
      <c r="R671" s="516" t="s">
        <v>49</v>
      </c>
      <c r="S671" s="516" t="s">
        <v>168</v>
      </c>
      <c r="T671" s="516"/>
      <c r="U671" s="516"/>
      <c r="V671" s="548" t="s">
        <v>197</v>
      </c>
      <c r="W671" s="541" t="s">
        <v>2385</v>
      </c>
      <c r="X671" s="516" t="s">
        <v>876</v>
      </c>
      <c r="Y671" s="542">
        <v>28739</v>
      </c>
      <c r="Z671" s="543">
        <f t="shared" ca="1" si="10"/>
        <v>47</v>
      </c>
      <c r="AA671" s="534"/>
      <c r="AB671" s="516"/>
      <c r="AC671" s="516" t="s">
        <v>802</v>
      </c>
      <c r="AD671" s="516" t="s">
        <v>794</v>
      </c>
      <c r="AE671" s="534" t="s">
        <v>1735</v>
      </c>
      <c r="AF671" s="534" t="s">
        <v>1735</v>
      </c>
      <c r="AG671" s="534" t="s">
        <v>2388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3901</v>
      </c>
      <c r="E672" s="516">
        <f t="shared" si="11"/>
        <v>612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602</v>
      </c>
      <c r="W672" s="541" t="s">
        <v>3904</v>
      </c>
      <c r="X672" s="516" t="s">
        <v>876</v>
      </c>
      <c r="Y672" s="542">
        <v>24860</v>
      </c>
      <c r="Z672" s="543">
        <f t="shared" ca="1" si="10"/>
        <v>58</v>
      </c>
      <c r="AA672" s="534" t="s">
        <v>3905</v>
      </c>
      <c r="AB672" s="516" t="s">
        <v>3906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3907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653</v>
      </c>
      <c r="D673" s="516" t="s">
        <v>3902</v>
      </c>
      <c r="E673" s="516">
        <f t="shared" si="11"/>
        <v>613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 t="s">
        <v>62</v>
      </c>
      <c r="S673" s="516" t="s">
        <v>548</v>
      </c>
      <c r="T673" s="516"/>
      <c r="U673" s="516" t="s">
        <v>874</v>
      </c>
      <c r="V673" s="538" t="s">
        <v>621</v>
      </c>
      <c r="W673" s="541" t="s">
        <v>3908</v>
      </c>
      <c r="X673" s="516" t="s">
        <v>876</v>
      </c>
      <c r="Y673" s="542">
        <v>23911</v>
      </c>
      <c r="Z673" s="543">
        <f t="shared" ca="1" si="10"/>
        <v>60</v>
      </c>
      <c r="AA673" s="534" t="s">
        <v>3909</v>
      </c>
      <c r="AB673" s="516" t="s">
        <v>3910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3911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654</v>
      </c>
      <c r="D674" s="516" t="s">
        <v>3912</v>
      </c>
      <c r="E674" s="516">
        <f t="shared" si="11"/>
        <v>614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639</v>
      </c>
      <c r="W674" s="541" t="s">
        <v>3913</v>
      </c>
      <c r="X674" s="516" t="s">
        <v>876</v>
      </c>
      <c r="Y674" s="542">
        <v>24181</v>
      </c>
      <c r="Z674" s="543">
        <f t="shared" ca="1" si="10"/>
        <v>59</v>
      </c>
      <c r="AA674" s="534" t="s">
        <v>3914</v>
      </c>
      <c r="AB674" s="516" t="s">
        <v>3915</v>
      </c>
      <c r="AC674" s="516" t="s">
        <v>842</v>
      </c>
      <c r="AD674" s="516" t="s">
        <v>851</v>
      </c>
      <c r="AE674" s="534" t="s">
        <v>713</v>
      </c>
      <c r="AF674" s="566" t="s">
        <v>713</v>
      </c>
      <c r="AG674" s="534" t="s">
        <v>3916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655</v>
      </c>
      <c r="D675" s="516" t="s">
        <v>3917</v>
      </c>
      <c r="E675" s="516">
        <f t="shared" si="11"/>
        <v>615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658</v>
      </c>
      <c r="W675" s="541" t="s">
        <v>3918</v>
      </c>
      <c r="X675" s="516" t="s">
        <v>876</v>
      </c>
      <c r="Y675" s="542">
        <v>29947</v>
      </c>
      <c r="Z675" s="543">
        <f t="shared" ca="1" si="10"/>
        <v>44</v>
      </c>
      <c r="AA675" s="534" t="s">
        <v>3919</v>
      </c>
      <c r="AB675" s="516" t="s">
        <v>3920</v>
      </c>
      <c r="AC675" s="516" t="s">
        <v>842</v>
      </c>
      <c r="AD675" s="516" t="s">
        <v>851</v>
      </c>
      <c r="AE675" s="534" t="s">
        <v>1256</v>
      </c>
      <c r="AF675" s="534" t="s">
        <v>1256</v>
      </c>
      <c r="AG675" s="534" t="s">
        <v>3921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656</v>
      </c>
      <c r="D676" s="516" t="s">
        <v>3922</v>
      </c>
      <c r="E676" s="516">
        <f t="shared" si="11"/>
        <v>616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674</v>
      </c>
      <c r="W676" s="541" t="s">
        <v>3923</v>
      </c>
      <c r="X676" s="516" t="s">
        <v>876</v>
      </c>
      <c r="Y676" s="542">
        <v>30310</v>
      </c>
      <c r="Z676" s="543">
        <f t="shared" ca="1" si="10"/>
        <v>43</v>
      </c>
      <c r="AA676" s="534" t="s">
        <v>3924</v>
      </c>
      <c r="AB676" s="516" t="s">
        <v>3925</v>
      </c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3926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657</v>
      </c>
      <c r="D677" s="516" t="s">
        <v>3927</v>
      </c>
      <c r="E677" s="516">
        <f t="shared" si="11"/>
        <v>617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/>
      <c r="R677" s="516"/>
      <c r="S677" s="516"/>
      <c r="T677" s="516"/>
      <c r="U677" s="516" t="s">
        <v>874</v>
      </c>
      <c r="V677" s="538" t="s">
        <v>689</v>
      </c>
      <c r="W677" s="541" t="s">
        <v>3928</v>
      </c>
      <c r="X677" s="516" t="s">
        <v>876</v>
      </c>
      <c r="Y677" s="542">
        <v>32130</v>
      </c>
      <c r="Z677" s="543">
        <f t="shared" ca="1" si="10"/>
        <v>38</v>
      </c>
      <c r="AA677" s="534" t="s">
        <v>3929</v>
      </c>
      <c r="AB677" s="571"/>
      <c r="AC677" s="516" t="s">
        <v>842</v>
      </c>
      <c r="AD677" s="516" t="s">
        <v>843</v>
      </c>
      <c r="AE677" s="534" t="s">
        <v>713</v>
      </c>
      <c r="AF677" s="566" t="s">
        <v>713</v>
      </c>
      <c r="AG677" s="534" t="s">
        <v>3930</v>
      </c>
      <c r="AH677" s="516"/>
      <c r="AI677" s="516"/>
      <c r="AJ677" s="516" t="s">
        <v>1852</v>
      </c>
      <c r="AK677" s="516"/>
      <c r="AL677" s="544"/>
      <c r="AM677" s="544"/>
    </row>
    <row r="678" spans="3:39" ht="18" customHeight="1">
      <c r="C678" s="516">
        <v>658</v>
      </c>
      <c r="D678" s="516" t="s">
        <v>3931</v>
      </c>
      <c r="E678" s="516">
        <f t="shared" si="11"/>
        <v>618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3932</v>
      </c>
      <c r="W678" s="541" t="s">
        <v>3933</v>
      </c>
      <c r="X678" s="516" t="s">
        <v>876</v>
      </c>
      <c r="Y678" s="542">
        <v>22724</v>
      </c>
      <c r="Z678" s="543">
        <f t="shared" ca="1" si="10"/>
        <v>63</v>
      </c>
      <c r="AA678" s="534" t="s">
        <v>3934</v>
      </c>
      <c r="AB678" s="516" t="s">
        <v>3935</v>
      </c>
      <c r="AC678" s="516" t="s">
        <v>842</v>
      </c>
      <c r="AD678" s="516" t="s">
        <v>843</v>
      </c>
      <c r="AE678" s="534" t="s">
        <v>713</v>
      </c>
      <c r="AF678" s="534" t="s">
        <v>1436</v>
      </c>
      <c r="AG678" s="534" t="s">
        <v>1437</v>
      </c>
      <c r="AH678" s="516"/>
      <c r="AI678" s="516"/>
      <c r="AJ678" s="565" t="s">
        <v>1087</v>
      </c>
      <c r="AK678" s="516"/>
      <c r="AL678" s="544"/>
      <c r="AM678" s="544"/>
    </row>
    <row r="679" spans="3:39" ht="18" customHeight="1">
      <c r="C679" s="516">
        <v>659</v>
      </c>
      <c r="D679" s="516" t="s">
        <v>3936</v>
      </c>
      <c r="E679" s="516">
        <f t="shared" si="11"/>
        <v>619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38" t="s">
        <v>3903</v>
      </c>
      <c r="Q679" s="539" t="s">
        <v>308</v>
      </c>
      <c r="R679" s="516"/>
      <c r="S679" s="516"/>
      <c r="T679" s="516"/>
      <c r="U679" s="516" t="s">
        <v>874</v>
      </c>
      <c r="V679" s="538" t="s">
        <v>3937</v>
      </c>
      <c r="W679" s="541" t="s">
        <v>3938</v>
      </c>
      <c r="X679" s="516" t="s">
        <v>876</v>
      </c>
      <c r="Y679" s="542">
        <v>22873</v>
      </c>
      <c r="Z679" s="543">
        <f t="shared" ca="1" si="10"/>
        <v>63</v>
      </c>
      <c r="AA679" s="534" t="s">
        <v>3939</v>
      </c>
      <c r="AB679" s="516"/>
      <c r="AC679" s="516" t="s">
        <v>842</v>
      </c>
      <c r="AD679" s="516" t="s">
        <v>843</v>
      </c>
      <c r="AE679" s="534" t="s">
        <v>713</v>
      </c>
      <c r="AF679" s="534" t="s">
        <v>713</v>
      </c>
      <c r="AG679" s="534" t="s">
        <v>3940</v>
      </c>
      <c r="AH679" s="516" t="s">
        <v>1571</v>
      </c>
      <c r="AI679" s="516" t="s">
        <v>3941</v>
      </c>
      <c r="AJ679" s="565" t="s">
        <v>1087</v>
      </c>
      <c r="AK679" s="516"/>
      <c r="AL679" s="544"/>
      <c r="AM679" s="544"/>
    </row>
    <row r="680" spans="3:39" ht="18" customHeight="1">
      <c r="C680" s="516">
        <v>660</v>
      </c>
      <c r="D680" s="516" t="s">
        <v>3942</v>
      </c>
      <c r="E680" s="516">
        <f t="shared" si="11"/>
        <v>620</v>
      </c>
      <c r="F680" s="534" t="s">
        <v>811</v>
      </c>
      <c r="G680" s="534" t="s">
        <v>3796</v>
      </c>
      <c r="H680" s="535" t="s">
        <v>1106</v>
      </c>
      <c r="I680" s="535" t="s">
        <v>243</v>
      </c>
      <c r="J680" s="535" t="s">
        <v>1178</v>
      </c>
      <c r="K680" s="535" t="s">
        <v>2384</v>
      </c>
      <c r="L680" s="535" t="s">
        <v>3901</v>
      </c>
      <c r="M680" s="570" t="s">
        <v>3902</v>
      </c>
      <c r="N680" s="537"/>
      <c r="O680" s="537"/>
      <c r="P680" s="559" t="s">
        <v>3903</v>
      </c>
      <c r="Q680" s="539" t="s">
        <v>308</v>
      </c>
      <c r="R680" s="516"/>
      <c r="S680" s="516"/>
      <c r="T680" s="516"/>
      <c r="U680" s="516" t="s">
        <v>874</v>
      </c>
      <c r="V680" s="559" t="s">
        <v>3943</v>
      </c>
      <c r="W680" s="541" t="s">
        <v>3944</v>
      </c>
      <c r="X680" s="516" t="s">
        <v>876</v>
      </c>
      <c r="Y680" s="542">
        <v>25028</v>
      </c>
      <c r="Z680" s="543">
        <f t="shared" ca="1" si="10"/>
        <v>57</v>
      </c>
      <c r="AA680" s="534" t="s">
        <v>3945</v>
      </c>
      <c r="AB680" s="516" t="s">
        <v>3946</v>
      </c>
      <c r="AC680" s="516" t="s">
        <v>842</v>
      </c>
      <c r="AD680" s="516" t="s">
        <v>843</v>
      </c>
      <c r="AE680" s="534" t="s">
        <v>713</v>
      </c>
      <c r="AF680" s="566" t="s">
        <v>713</v>
      </c>
      <c r="AG680" s="534" t="s">
        <v>3734</v>
      </c>
      <c r="AH680" s="516"/>
      <c r="AI680" s="516"/>
      <c r="AJ680" s="565" t="s">
        <v>1087</v>
      </c>
      <c r="AK680" s="516"/>
      <c r="AL680" s="544"/>
      <c r="AM680" s="544"/>
    </row>
    <row r="681" spans="3:39" ht="18" customHeight="1">
      <c r="C681" s="516">
        <v>661</v>
      </c>
      <c r="D681" s="516" t="s">
        <v>827</v>
      </c>
      <c r="E681" s="516">
        <f t="shared" si="11"/>
        <v>620</v>
      </c>
      <c r="F681" s="534"/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/>
      <c r="M681" s="536"/>
      <c r="N681" s="537"/>
      <c r="O681" s="537"/>
      <c r="P681" s="548" t="s">
        <v>3947</v>
      </c>
      <c r="Q681" s="539"/>
      <c r="R681" s="516" t="s">
        <v>49</v>
      </c>
      <c r="S681" s="516" t="s">
        <v>168</v>
      </c>
      <c r="T681" s="516"/>
      <c r="U681" s="516"/>
      <c r="V681" s="548" t="s">
        <v>71</v>
      </c>
      <c r="W681" s="541" t="s">
        <v>833</v>
      </c>
      <c r="X681" s="516" t="s">
        <v>790</v>
      </c>
      <c r="Y681" s="542">
        <v>33031</v>
      </c>
      <c r="Z681" s="543">
        <f t="shared" ca="1" si="10"/>
        <v>35</v>
      </c>
      <c r="AA681" s="534" t="s">
        <v>834</v>
      </c>
      <c r="AB681" s="516" t="s">
        <v>3948</v>
      </c>
      <c r="AC681" s="516" t="s">
        <v>802</v>
      </c>
      <c r="AD681" s="516" t="s">
        <v>794</v>
      </c>
      <c r="AE681" s="534"/>
      <c r="AF681" s="534"/>
      <c r="AG681" s="534"/>
      <c r="AH681" s="516" t="s">
        <v>872</v>
      </c>
      <c r="AI681" s="516"/>
      <c r="AJ681" s="516"/>
      <c r="AK681" s="516"/>
      <c r="AL681" s="544"/>
      <c r="AM681" s="544"/>
    </row>
    <row r="682" spans="3:39" ht="18" customHeight="1">
      <c r="C682" s="516">
        <v>662</v>
      </c>
      <c r="D682" s="516" t="s">
        <v>3949</v>
      </c>
      <c r="E682" s="516">
        <f t="shared" si="11"/>
        <v>621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38" t="s">
        <v>3947</v>
      </c>
      <c r="Q682" s="539" t="s">
        <v>308</v>
      </c>
      <c r="R682" s="516"/>
      <c r="S682" s="516"/>
      <c r="T682" s="516"/>
      <c r="U682" s="516" t="s">
        <v>788</v>
      </c>
      <c r="V682" s="538" t="s">
        <v>3950</v>
      </c>
      <c r="W682" s="541" t="s">
        <v>3951</v>
      </c>
      <c r="X682" s="516" t="s">
        <v>790</v>
      </c>
      <c r="Y682" s="542">
        <v>34371</v>
      </c>
      <c r="Z682" s="543">
        <f t="shared" ca="1" si="10"/>
        <v>31</v>
      </c>
      <c r="AA682" s="534" t="s">
        <v>3952</v>
      </c>
      <c r="AB682" s="516" t="s">
        <v>3953</v>
      </c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3954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845</v>
      </c>
      <c r="E683" s="516">
        <f t="shared" si="11"/>
        <v>622</v>
      </c>
      <c r="F683" s="534" t="s">
        <v>782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827</v>
      </c>
      <c r="L683" s="535" t="s">
        <v>786</v>
      </c>
      <c r="M683" s="536"/>
      <c r="N683" s="537"/>
      <c r="O683" s="537"/>
      <c r="P683" s="538" t="s">
        <v>3947</v>
      </c>
      <c r="Q683" s="539" t="s">
        <v>308</v>
      </c>
      <c r="R683" s="516"/>
      <c r="S683" s="516"/>
      <c r="T683" s="516"/>
      <c r="U683" s="516" t="s">
        <v>788</v>
      </c>
      <c r="V683" s="538" t="s">
        <v>847</v>
      </c>
      <c r="W683" s="541" t="s">
        <v>848</v>
      </c>
      <c r="X683" s="516" t="s">
        <v>790</v>
      </c>
      <c r="Y683" s="542">
        <v>32741</v>
      </c>
      <c r="Z683" s="543">
        <f t="shared" ca="1" si="10"/>
        <v>36</v>
      </c>
      <c r="AA683" s="534" t="s">
        <v>849</v>
      </c>
      <c r="AB683" s="516" t="s">
        <v>850</v>
      </c>
      <c r="AC683" s="516" t="s">
        <v>842</v>
      </c>
      <c r="AD683" s="516" t="s">
        <v>851</v>
      </c>
      <c r="AE683" s="534" t="s">
        <v>713</v>
      </c>
      <c r="AF683" s="534" t="s">
        <v>795</v>
      </c>
      <c r="AG683" s="534" t="s">
        <v>4209</v>
      </c>
      <c r="AH683" s="516"/>
      <c r="AI683" s="516"/>
      <c r="AJ683" s="565" t="s">
        <v>853</v>
      </c>
      <c r="AK683" s="516"/>
      <c r="AL683" s="544"/>
      <c r="AM683" s="544"/>
    </row>
    <row r="684" spans="3:39" ht="18" customHeight="1">
      <c r="C684" s="516">
        <v>664</v>
      </c>
      <c r="D684" s="516" t="s">
        <v>3955</v>
      </c>
      <c r="E684" s="516">
        <f t="shared" si="11"/>
        <v>623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827</v>
      </c>
      <c r="L684" s="535" t="s">
        <v>786</v>
      </c>
      <c r="M684" s="536"/>
      <c r="N684" s="537"/>
      <c r="O684" s="537"/>
      <c r="P684" s="559" t="s">
        <v>3947</v>
      </c>
      <c r="Q684" s="539" t="s">
        <v>308</v>
      </c>
      <c r="R684" s="516"/>
      <c r="S684" s="516"/>
      <c r="T684" s="516"/>
      <c r="U684" s="516" t="s">
        <v>799</v>
      </c>
      <c r="V684" s="559" t="s">
        <v>3956</v>
      </c>
      <c r="W684" s="541" t="s">
        <v>3957</v>
      </c>
      <c r="X684" s="516" t="s">
        <v>790</v>
      </c>
      <c r="Y684" s="542">
        <v>30717</v>
      </c>
      <c r="Z684" s="543">
        <f t="shared" ca="1" si="10"/>
        <v>41</v>
      </c>
      <c r="AA684" s="534" t="s">
        <v>3958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815</v>
      </c>
      <c r="AG684" s="534" t="s">
        <v>1282</v>
      </c>
      <c r="AH684" s="516" t="s">
        <v>1571</v>
      </c>
      <c r="AI684" s="516" t="s">
        <v>3959</v>
      </c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785</v>
      </c>
      <c r="E685" s="516">
        <f t="shared" si="11"/>
        <v>623</v>
      </c>
      <c r="F685" s="534"/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48" t="s">
        <v>3962</v>
      </c>
      <c r="Q685" s="539"/>
      <c r="R685" s="516" t="s">
        <v>163</v>
      </c>
      <c r="S685" s="516" t="s">
        <v>163</v>
      </c>
      <c r="T685" s="516" t="s">
        <v>168</v>
      </c>
      <c r="U685" s="516"/>
      <c r="V685" s="548" t="s">
        <v>57</v>
      </c>
      <c r="W685" s="541" t="s">
        <v>3963</v>
      </c>
      <c r="X685" s="516" t="s">
        <v>790</v>
      </c>
      <c r="Y685" s="542">
        <v>32431</v>
      </c>
      <c r="Z685" s="543">
        <f t="shared" ca="1" si="10"/>
        <v>37</v>
      </c>
      <c r="AA685" s="534" t="s">
        <v>800</v>
      </c>
      <c r="AB685" s="516" t="s">
        <v>3964</v>
      </c>
      <c r="AC685" s="516" t="s">
        <v>802</v>
      </c>
      <c r="AD685" s="516" t="s">
        <v>794</v>
      </c>
      <c r="AE685" s="534" t="s">
        <v>803</v>
      </c>
      <c r="AF685" s="534" t="s">
        <v>795</v>
      </c>
      <c r="AG685" s="534" t="s">
        <v>796</v>
      </c>
      <c r="AH685" s="516" t="s">
        <v>872</v>
      </c>
      <c r="AI685" s="516"/>
      <c r="AJ685" s="516"/>
      <c r="AK685" s="516"/>
      <c r="AL685" s="544"/>
      <c r="AM685" s="544"/>
    </row>
    <row r="686" spans="3:39" ht="18" customHeight="1">
      <c r="C686" s="516">
        <v>666</v>
      </c>
      <c r="D686" s="516" t="s">
        <v>3960</v>
      </c>
      <c r="E686" s="516">
        <f t="shared" si="11"/>
        <v>624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 t="s">
        <v>62</v>
      </c>
      <c r="S686" s="516" t="s">
        <v>548</v>
      </c>
      <c r="T686" s="516"/>
      <c r="U686" s="516" t="s">
        <v>799</v>
      </c>
      <c r="V686" s="538" t="s">
        <v>604</v>
      </c>
      <c r="W686" s="541" t="s">
        <v>3965</v>
      </c>
      <c r="X686" s="516" t="s">
        <v>790</v>
      </c>
      <c r="Y686" s="542">
        <v>22474</v>
      </c>
      <c r="Z686" s="543">
        <f t="shared" ca="1" si="10"/>
        <v>64</v>
      </c>
      <c r="AA686" s="534" t="s">
        <v>3966</v>
      </c>
      <c r="AB686" s="516" t="s">
        <v>3967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74" t="s">
        <v>3968</v>
      </c>
      <c r="AH686" s="516"/>
      <c r="AI686" s="516"/>
      <c r="AJ686" s="516" t="s">
        <v>976</v>
      </c>
      <c r="AK686" s="516"/>
      <c r="AL686" s="544"/>
      <c r="AM686" s="544"/>
    </row>
    <row r="687" spans="3:39" ht="18" customHeight="1">
      <c r="C687" s="516">
        <v>667</v>
      </c>
      <c r="D687" s="516" t="s">
        <v>3961</v>
      </c>
      <c r="E687" s="516">
        <f t="shared" si="11"/>
        <v>625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 t="s">
        <v>62</v>
      </c>
      <c r="S687" s="516" t="s">
        <v>548</v>
      </c>
      <c r="T687" s="516"/>
      <c r="U687" s="516" t="s">
        <v>874</v>
      </c>
      <c r="V687" s="538" t="s">
        <v>623</v>
      </c>
      <c r="W687" s="541" t="s">
        <v>3969</v>
      </c>
      <c r="X687" s="516" t="s">
        <v>876</v>
      </c>
      <c r="Y687" s="542">
        <v>26681</v>
      </c>
      <c r="Z687" s="543">
        <f t="shared" ca="1" si="10"/>
        <v>53</v>
      </c>
      <c r="AA687" s="534" t="s">
        <v>3970</v>
      </c>
      <c r="AB687" s="516" t="s">
        <v>3971</v>
      </c>
      <c r="AC687" s="516" t="s">
        <v>842</v>
      </c>
      <c r="AD687" s="516" t="s">
        <v>851</v>
      </c>
      <c r="AE687" s="534" t="s">
        <v>236</v>
      </c>
      <c r="AF687" s="534" t="s">
        <v>236</v>
      </c>
      <c r="AG687" s="574" t="s">
        <v>3968</v>
      </c>
      <c r="AH687" s="516"/>
      <c r="AI687" s="516"/>
      <c r="AJ687" s="516" t="s">
        <v>976</v>
      </c>
      <c r="AK687" s="516"/>
      <c r="AL687" s="544"/>
      <c r="AM687" s="544"/>
    </row>
    <row r="688" spans="3:39" ht="18" customHeight="1">
      <c r="C688" s="516">
        <v>668</v>
      </c>
      <c r="D688" s="516" t="s">
        <v>3972</v>
      </c>
      <c r="E688" s="516">
        <f t="shared" si="11"/>
        <v>626</v>
      </c>
      <c r="F688" s="534" t="s">
        <v>811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3973</v>
      </c>
      <c r="W688" s="541" t="s">
        <v>3974</v>
      </c>
      <c r="X688" s="516" t="s">
        <v>790</v>
      </c>
      <c r="Y688" s="542">
        <v>26062</v>
      </c>
      <c r="Z688" s="543">
        <f t="shared" ca="1" si="10"/>
        <v>54</v>
      </c>
      <c r="AA688" s="534" t="s">
        <v>3975</v>
      </c>
      <c r="AB688" s="516" t="s">
        <v>3976</v>
      </c>
      <c r="AC688" s="516" t="s">
        <v>842</v>
      </c>
      <c r="AD688" s="516" t="s">
        <v>843</v>
      </c>
      <c r="AE688" s="534" t="s">
        <v>236</v>
      </c>
      <c r="AF688" s="534" t="s">
        <v>236</v>
      </c>
      <c r="AG688" s="534" t="s">
        <v>3977</v>
      </c>
      <c r="AH688" s="516"/>
      <c r="AI688" s="516"/>
      <c r="AJ688" s="516" t="s">
        <v>971</v>
      </c>
      <c r="AK688" s="516"/>
      <c r="AL688" s="544"/>
      <c r="AM688" s="544"/>
    </row>
    <row r="689" spans="3:39" ht="18" customHeight="1">
      <c r="C689" s="516">
        <v>669</v>
      </c>
      <c r="D689" s="516" t="s">
        <v>3978</v>
      </c>
      <c r="E689" s="516">
        <f t="shared" si="11"/>
        <v>627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799</v>
      </c>
      <c r="V689" s="538" t="s">
        <v>659</v>
      </c>
      <c r="W689" s="541" t="s">
        <v>3979</v>
      </c>
      <c r="X689" s="516" t="s">
        <v>790</v>
      </c>
      <c r="Y689" s="542">
        <v>24209</v>
      </c>
      <c r="Z689" s="543">
        <f t="shared" ca="1" si="10"/>
        <v>59</v>
      </c>
      <c r="AA689" s="534" t="s">
        <v>3980</v>
      </c>
      <c r="AB689" s="516" t="s">
        <v>3981</v>
      </c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/>
      <c r="AJ689" s="516" t="s">
        <v>976</v>
      </c>
      <c r="AK689" s="516" t="s">
        <v>1863</v>
      </c>
      <c r="AL689" s="544"/>
      <c r="AM689" s="544"/>
    </row>
    <row r="690" spans="3:39" ht="18" customHeight="1">
      <c r="C690" s="516">
        <v>670</v>
      </c>
      <c r="D690" s="516" t="s">
        <v>3982</v>
      </c>
      <c r="E690" s="516">
        <f t="shared" si="11"/>
        <v>628</v>
      </c>
      <c r="F690" s="534" t="s">
        <v>1822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38" t="s">
        <v>675</v>
      </c>
      <c r="W690" s="541" t="s">
        <v>3983</v>
      </c>
      <c r="X690" s="516" t="s">
        <v>790</v>
      </c>
      <c r="Y690" s="542">
        <v>26119</v>
      </c>
      <c r="Z690" s="543">
        <f t="shared" ca="1" si="10"/>
        <v>54</v>
      </c>
      <c r="AA690" s="534"/>
      <c r="AB690" s="516" t="s">
        <v>3984</v>
      </c>
      <c r="AC690" s="516" t="s">
        <v>842</v>
      </c>
      <c r="AD690" s="516" t="s">
        <v>843</v>
      </c>
      <c r="AE690" s="534" t="s">
        <v>809</v>
      </c>
      <c r="AF690" s="534" t="s">
        <v>809</v>
      </c>
      <c r="AG690" s="534" t="s">
        <v>2218</v>
      </c>
      <c r="AH690" s="516"/>
      <c r="AI690" s="516"/>
      <c r="AJ690" s="516" t="s">
        <v>976</v>
      </c>
      <c r="AK690" s="516" t="s">
        <v>1863</v>
      </c>
      <c r="AL690" s="544"/>
      <c r="AM690" s="544"/>
    </row>
    <row r="691" spans="3:39" ht="18" customHeight="1">
      <c r="C691" s="516">
        <v>671</v>
      </c>
      <c r="D691" s="516" t="s">
        <v>3985</v>
      </c>
      <c r="E691" s="516">
        <f t="shared" si="11"/>
        <v>629</v>
      </c>
      <c r="F691" s="534" t="s">
        <v>1822</v>
      </c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785</v>
      </c>
      <c r="L691" s="535" t="s">
        <v>3960</v>
      </c>
      <c r="M691" s="536" t="s">
        <v>3961</v>
      </c>
      <c r="N691" s="537"/>
      <c r="O691" s="537"/>
      <c r="P691" s="538" t="s">
        <v>3962</v>
      </c>
      <c r="Q691" s="539" t="s">
        <v>308</v>
      </c>
      <c r="R691" s="516"/>
      <c r="S691" s="516"/>
      <c r="T691" s="516"/>
      <c r="U691" s="516" t="s">
        <v>874</v>
      </c>
      <c r="V691" s="549" t="s">
        <v>3986</v>
      </c>
      <c r="W691" s="541" t="s">
        <v>3987</v>
      </c>
      <c r="X691" s="516" t="s">
        <v>876</v>
      </c>
      <c r="Y691" s="542">
        <v>22399</v>
      </c>
      <c r="Z691" s="543">
        <f t="shared" ca="1" si="10"/>
        <v>64</v>
      </c>
      <c r="AA691" s="534" t="s">
        <v>3988</v>
      </c>
      <c r="AB691" s="571"/>
      <c r="AC691" s="516" t="s">
        <v>842</v>
      </c>
      <c r="AD691" s="516" t="s">
        <v>843</v>
      </c>
      <c r="AE691" s="534" t="s">
        <v>809</v>
      </c>
      <c r="AF691" s="534" t="s">
        <v>809</v>
      </c>
      <c r="AG691" s="534" t="s">
        <v>2218</v>
      </c>
      <c r="AH691" s="516"/>
      <c r="AI691" s="516" t="s">
        <v>3989</v>
      </c>
      <c r="AJ691" s="516" t="s">
        <v>976</v>
      </c>
      <c r="AK691" s="516" t="s">
        <v>860</v>
      </c>
      <c r="AL691" s="544" t="s">
        <v>1083</v>
      </c>
      <c r="AM691" s="544"/>
    </row>
    <row r="692" spans="3:39" ht="18" customHeight="1">
      <c r="C692" s="516">
        <v>672</v>
      </c>
      <c r="D692" s="516" t="s">
        <v>3990</v>
      </c>
      <c r="E692" s="516">
        <f t="shared" si="11"/>
        <v>630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785</v>
      </c>
      <c r="L692" s="535" t="s">
        <v>3960</v>
      </c>
      <c r="M692" s="536" t="s">
        <v>3961</v>
      </c>
      <c r="N692" s="537"/>
      <c r="O692" s="537"/>
      <c r="P692" s="538" t="s">
        <v>3962</v>
      </c>
      <c r="Q692" s="539" t="s">
        <v>308</v>
      </c>
      <c r="R692" s="516"/>
      <c r="S692" s="516"/>
      <c r="T692" s="516"/>
      <c r="U692" s="516" t="s">
        <v>799</v>
      </c>
      <c r="V692" s="561" t="s">
        <v>698</v>
      </c>
      <c r="W692" s="541" t="s">
        <v>3991</v>
      </c>
      <c r="X692" s="516" t="s">
        <v>790</v>
      </c>
      <c r="Y692" s="542">
        <v>26765</v>
      </c>
      <c r="Z692" s="543">
        <f t="shared" ca="1" si="10"/>
        <v>52</v>
      </c>
      <c r="AA692" s="534" t="s">
        <v>3992</v>
      </c>
      <c r="AB692" s="516" t="s">
        <v>3993</v>
      </c>
      <c r="AC692" s="516" t="s">
        <v>842</v>
      </c>
      <c r="AD692" s="516" t="s">
        <v>843</v>
      </c>
      <c r="AE692" s="534" t="s">
        <v>713</v>
      </c>
      <c r="AF692" s="534" t="s">
        <v>713</v>
      </c>
      <c r="AG692" s="534" t="s">
        <v>3994</v>
      </c>
      <c r="AH692" s="516"/>
      <c r="AI692" s="516"/>
      <c r="AJ692" s="631" t="s">
        <v>1438</v>
      </c>
      <c r="AK692" s="516"/>
      <c r="AL692" s="544"/>
      <c r="AM692" s="544"/>
    </row>
    <row r="693" spans="3:39" ht="18" customHeight="1">
      <c r="C693" s="516">
        <v>673</v>
      </c>
      <c r="D693" s="516" t="s">
        <v>1159</v>
      </c>
      <c r="E693" s="516">
        <f t="shared" si="11"/>
        <v>630</v>
      </c>
      <c r="F693" s="534"/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48" t="s">
        <v>3995</v>
      </c>
      <c r="Q693" s="539"/>
      <c r="R693" s="516" t="s">
        <v>49</v>
      </c>
      <c r="S693" s="516" t="s">
        <v>168</v>
      </c>
      <c r="T693" s="516"/>
      <c r="U693" s="516"/>
      <c r="V693" s="548" t="s">
        <v>181</v>
      </c>
      <c r="W693" s="541" t="s">
        <v>1165</v>
      </c>
      <c r="X693" s="516" t="s">
        <v>790</v>
      </c>
      <c r="Y693" s="542">
        <v>19232</v>
      </c>
      <c r="Z693" s="543">
        <f t="shared" ca="1" si="10"/>
        <v>73</v>
      </c>
      <c r="AA693" s="534" t="s">
        <v>1166</v>
      </c>
      <c r="AB693" s="516" t="s">
        <v>3996</v>
      </c>
      <c r="AC693" s="516" t="s">
        <v>802</v>
      </c>
      <c r="AD693" s="516" t="s">
        <v>794</v>
      </c>
      <c r="AE693" s="534" t="s">
        <v>713</v>
      </c>
      <c r="AF693" s="534" t="s">
        <v>1163</v>
      </c>
      <c r="AG693" s="534" t="s">
        <v>1164</v>
      </c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3997</v>
      </c>
      <c r="E694" s="516">
        <f t="shared" si="11"/>
        <v>631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605</v>
      </c>
      <c r="W694" s="541" t="s">
        <v>3998</v>
      </c>
      <c r="X694" s="516" t="s">
        <v>790</v>
      </c>
      <c r="Y694" s="542">
        <v>22720</v>
      </c>
      <c r="Z694" s="543">
        <f t="shared" ca="1" si="10"/>
        <v>63</v>
      </c>
      <c r="AA694" s="534" t="s">
        <v>3999</v>
      </c>
      <c r="AB694" s="516" t="s">
        <v>4000</v>
      </c>
      <c r="AC694" s="516" t="s">
        <v>842</v>
      </c>
      <c r="AD694" s="516" t="s">
        <v>851</v>
      </c>
      <c r="AE694" s="534" t="s">
        <v>713</v>
      </c>
      <c r="AF694" s="566" t="s">
        <v>713</v>
      </c>
      <c r="AG694" s="534" t="s">
        <v>4001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675</v>
      </c>
      <c r="D695" s="516" t="s">
        <v>4002</v>
      </c>
      <c r="E695" s="516">
        <f t="shared" si="11"/>
        <v>632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799</v>
      </c>
      <c r="V695" s="538" t="s">
        <v>641</v>
      </c>
      <c r="W695" s="541" t="s">
        <v>4003</v>
      </c>
      <c r="X695" s="516" t="s">
        <v>790</v>
      </c>
      <c r="Y695" s="542">
        <v>35402</v>
      </c>
      <c r="Z695" s="543">
        <f t="shared" ca="1" si="10"/>
        <v>29</v>
      </c>
      <c r="AA695" s="534" t="s">
        <v>4004</v>
      </c>
      <c r="AB695" s="636"/>
      <c r="AC695" s="516" t="s">
        <v>842</v>
      </c>
      <c r="AD695" s="516" t="s">
        <v>851</v>
      </c>
      <c r="AE695" s="534" t="s">
        <v>713</v>
      </c>
      <c r="AF695" s="566" t="s">
        <v>713</v>
      </c>
      <c r="AG695" s="534" t="s">
        <v>4005</v>
      </c>
      <c r="AH695" s="516"/>
      <c r="AI695" s="516"/>
      <c r="AJ695" s="516" t="s">
        <v>1852</v>
      </c>
      <c r="AK695" s="516"/>
      <c r="AL695" s="544"/>
      <c r="AM695" s="544"/>
    </row>
    <row r="696" spans="3:39" ht="18" customHeight="1">
      <c r="C696" s="516">
        <v>676</v>
      </c>
      <c r="D696" s="516" t="s">
        <v>4006</v>
      </c>
      <c r="E696" s="516">
        <f t="shared" si="11"/>
        <v>633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660</v>
      </c>
      <c r="W696" s="541" t="s">
        <v>4007</v>
      </c>
      <c r="X696" s="516" t="s">
        <v>790</v>
      </c>
      <c r="Y696" s="542">
        <v>35555</v>
      </c>
      <c r="Z696" s="543">
        <f t="shared" ca="1" si="10"/>
        <v>28</v>
      </c>
      <c r="AA696" s="534" t="s">
        <v>4008</v>
      </c>
      <c r="AB696" s="516" t="s">
        <v>4009</v>
      </c>
      <c r="AC696" s="516" t="s">
        <v>842</v>
      </c>
      <c r="AD696" s="516" t="s">
        <v>843</v>
      </c>
      <c r="AE696" s="534" t="s">
        <v>713</v>
      </c>
      <c r="AF696" s="566" t="s">
        <v>713</v>
      </c>
      <c r="AG696" s="534" t="s">
        <v>4005</v>
      </c>
      <c r="AH696" s="516"/>
      <c r="AI696" s="516"/>
      <c r="AJ696" s="516" t="s">
        <v>1852</v>
      </c>
      <c r="AK696" s="516"/>
      <c r="AL696" s="544"/>
      <c r="AM696" s="544"/>
    </row>
    <row r="697" spans="3:39" ht="18" customHeight="1">
      <c r="C697" s="516">
        <v>677</v>
      </c>
      <c r="D697" s="516" t="s">
        <v>4010</v>
      </c>
      <c r="E697" s="516">
        <f t="shared" si="11"/>
        <v>634</v>
      </c>
      <c r="F697" s="534" t="s">
        <v>811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691</v>
      </c>
      <c r="W697" s="541" t="s">
        <v>4011</v>
      </c>
      <c r="X697" s="516" t="s">
        <v>790</v>
      </c>
      <c r="Y697" s="542">
        <v>18218</v>
      </c>
      <c r="Z697" s="543">
        <f t="shared" ca="1" si="10"/>
        <v>76</v>
      </c>
      <c r="AA697" s="534" t="s">
        <v>4012</v>
      </c>
      <c r="AB697" s="516" t="s">
        <v>4013</v>
      </c>
      <c r="AC697" s="516" t="s">
        <v>842</v>
      </c>
      <c r="AD697" s="516" t="s">
        <v>843</v>
      </c>
      <c r="AE697" s="534" t="s">
        <v>713</v>
      </c>
      <c r="AF697" s="566" t="s">
        <v>713</v>
      </c>
      <c r="AG697" s="534" t="s">
        <v>1729</v>
      </c>
      <c r="AH697" s="516"/>
      <c r="AI697" s="516"/>
      <c r="AJ697" s="516" t="s">
        <v>971</v>
      </c>
      <c r="AK697" s="516"/>
      <c r="AL697" s="544"/>
      <c r="AM697" s="544"/>
    </row>
    <row r="698" spans="3:39" ht="18" customHeight="1">
      <c r="C698" s="516">
        <v>678</v>
      </c>
      <c r="D698" s="516" t="s">
        <v>4014</v>
      </c>
      <c r="E698" s="516">
        <f t="shared" si="11"/>
        <v>635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4015</v>
      </c>
      <c r="W698" s="541" t="s">
        <v>4016</v>
      </c>
      <c r="X698" s="516" t="s">
        <v>790</v>
      </c>
      <c r="Y698" s="542">
        <v>22220</v>
      </c>
      <c r="Z698" s="543">
        <f t="shared" ca="1" si="10"/>
        <v>65</v>
      </c>
      <c r="AA698" s="534" t="s">
        <v>4017</v>
      </c>
      <c r="AB698" s="516" t="s">
        <v>4018</v>
      </c>
      <c r="AC698" s="516" t="s">
        <v>842</v>
      </c>
      <c r="AD698" s="516" t="s">
        <v>851</v>
      </c>
      <c r="AE698" s="534" t="s">
        <v>713</v>
      </c>
      <c r="AF698" s="534" t="s">
        <v>1735</v>
      </c>
      <c r="AG698" s="534" t="s">
        <v>4019</v>
      </c>
      <c r="AH698" s="516"/>
      <c r="AI698" s="516"/>
      <c r="AJ698" s="516" t="s">
        <v>971</v>
      </c>
      <c r="AK698" s="516"/>
      <c r="AL698" s="544"/>
      <c r="AM698" s="544"/>
    </row>
    <row r="699" spans="3:39" ht="18" customHeight="1">
      <c r="C699" s="516">
        <v>679</v>
      </c>
      <c r="D699" s="516" t="s">
        <v>4020</v>
      </c>
      <c r="E699" s="516">
        <f t="shared" si="11"/>
        <v>636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38" t="s">
        <v>3995</v>
      </c>
      <c r="Q699" s="539" t="s">
        <v>308</v>
      </c>
      <c r="R699" s="516"/>
      <c r="S699" s="516"/>
      <c r="T699" s="516"/>
      <c r="U699" s="516" t="s">
        <v>898</v>
      </c>
      <c r="V699" s="538" t="s">
        <v>4021</v>
      </c>
      <c r="W699" s="541" t="s">
        <v>4022</v>
      </c>
      <c r="X699" s="516" t="s">
        <v>790</v>
      </c>
      <c r="Y699" s="542">
        <v>18796</v>
      </c>
      <c r="Z699" s="543">
        <f t="shared" ca="1" si="10"/>
        <v>74</v>
      </c>
      <c r="AA699" s="534" t="s">
        <v>4023</v>
      </c>
      <c r="AB699" s="516" t="s">
        <v>4024</v>
      </c>
      <c r="AC699" s="516" t="s">
        <v>842</v>
      </c>
      <c r="AD699" s="516" t="s">
        <v>843</v>
      </c>
      <c r="AE699" s="534" t="s">
        <v>815</v>
      </c>
      <c r="AF699" s="534" t="s">
        <v>1735</v>
      </c>
      <c r="AG699" s="534" t="s">
        <v>4025</v>
      </c>
      <c r="AH699" s="516"/>
      <c r="AI699" s="516"/>
      <c r="AJ699" s="516" t="s">
        <v>1497</v>
      </c>
      <c r="AK699" s="516"/>
      <c r="AL699" s="544"/>
      <c r="AM699" s="544"/>
    </row>
    <row r="700" spans="3:39" ht="18" customHeight="1">
      <c r="C700" s="516">
        <v>680</v>
      </c>
      <c r="D700" s="516" t="s">
        <v>4026</v>
      </c>
      <c r="E700" s="516">
        <f t="shared" si="11"/>
        <v>637</v>
      </c>
      <c r="F700" s="534" t="s">
        <v>811</v>
      </c>
      <c r="G700" s="534" t="s">
        <v>846</v>
      </c>
      <c r="H700" s="535" t="s">
        <v>1106</v>
      </c>
      <c r="I700" s="535" t="s">
        <v>71</v>
      </c>
      <c r="J700" s="535" t="s">
        <v>827</v>
      </c>
      <c r="K700" s="535" t="s">
        <v>1159</v>
      </c>
      <c r="L700" s="535" t="s">
        <v>786</v>
      </c>
      <c r="M700" s="536"/>
      <c r="N700" s="537"/>
      <c r="O700" s="537"/>
      <c r="P700" s="538" t="s">
        <v>3995</v>
      </c>
      <c r="Q700" s="539" t="s">
        <v>308</v>
      </c>
      <c r="R700" s="516"/>
      <c r="S700" s="516"/>
      <c r="T700" s="516"/>
      <c r="U700" s="516" t="s">
        <v>799</v>
      </c>
      <c r="V700" s="538" t="s">
        <v>4027</v>
      </c>
      <c r="W700" s="541" t="s">
        <v>4028</v>
      </c>
      <c r="X700" s="516" t="s">
        <v>790</v>
      </c>
      <c r="Y700" s="542">
        <v>21313</v>
      </c>
      <c r="Z700" s="543">
        <f t="shared" ca="1" si="10"/>
        <v>67</v>
      </c>
      <c r="AA700" s="534" t="s">
        <v>4029</v>
      </c>
      <c r="AB700" s="516" t="s">
        <v>4030</v>
      </c>
      <c r="AC700" s="516" t="s">
        <v>842</v>
      </c>
      <c r="AD700" s="516" t="s">
        <v>843</v>
      </c>
      <c r="AE700" s="534" t="s">
        <v>713</v>
      </c>
      <c r="AF700" s="534" t="s">
        <v>713</v>
      </c>
      <c r="AG700" s="534" t="s">
        <v>1229</v>
      </c>
      <c r="AH700" s="516"/>
      <c r="AI700" s="516"/>
      <c r="AJ700" s="516" t="s">
        <v>1497</v>
      </c>
      <c r="AK700" s="516"/>
      <c r="AL700" s="544"/>
      <c r="AM700" s="544"/>
    </row>
    <row r="701" spans="3:39" ht="18" customHeight="1">
      <c r="C701" s="516">
        <v>681</v>
      </c>
      <c r="D701" s="516" t="s">
        <v>4031</v>
      </c>
      <c r="E701" s="516">
        <f t="shared" si="11"/>
        <v>638</v>
      </c>
      <c r="F701" s="534" t="s">
        <v>811</v>
      </c>
      <c r="G701" s="534" t="s">
        <v>846</v>
      </c>
      <c r="H701" s="535" t="s">
        <v>1106</v>
      </c>
      <c r="I701" s="535" t="s">
        <v>71</v>
      </c>
      <c r="J701" s="535" t="s">
        <v>827</v>
      </c>
      <c r="K701" s="535" t="s">
        <v>1159</v>
      </c>
      <c r="L701" s="535" t="s">
        <v>786</v>
      </c>
      <c r="M701" s="536"/>
      <c r="N701" s="537"/>
      <c r="O701" s="537"/>
      <c r="P701" s="559" t="s">
        <v>3995</v>
      </c>
      <c r="Q701" s="539" t="s">
        <v>308</v>
      </c>
      <c r="R701" s="516"/>
      <c r="S701" s="516"/>
      <c r="T701" s="516"/>
      <c r="U701" s="516" t="s">
        <v>799</v>
      </c>
      <c r="V701" s="559" t="s">
        <v>4032</v>
      </c>
      <c r="W701" s="541" t="s">
        <v>4033</v>
      </c>
      <c r="X701" s="516" t="s">
        <v>790</v>
      </c>
      <c r="Y701" s="542">
        <v>26711</v>
      </c>
      <c r="Z701" s="543">
        <f t="shared" ca="1" si="10"/>
        <v>52</v>
      </c>
      <c r="AA701" s="534" t="s">
        <v>4034</v>
      </c>
      <c r="AB701" s="571"/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4035</v>
      </c>
      <c r="AH701" s="516"/>
      <c r="AI701" s="516" t="s">
        <v>866</v>
      </c>
      <c r="AJ701" s="516" t="s">
        <v>1852</v>
      </c>
      <c r="AK701" s="516"/>
      <c r="AL701" s="544"/>
      <c r="AM701" s="544"/>
    </row>
    <row r="702" spans="3:39" ht="18" customHeight="1">
      <c r="C702" s="516">
        <v>682</v>
      </c>
      <c r="D702" s="516" t="s">
        <v>1186</v>
      </c>
      <c r="E702" s="516">
        <f t="shared" si="11"/>
        <v>638</v>
      </c>
      <c r="F702" s="534"/>
      <c r="G702" s="534" t="s">
        <v>4036</v>
      </c>
      <c r="H702" s="535" t="s">
        <v>1106</v>
      </c>
      <c r="I702" s="535" t="s">
        <v>80</v>
      </c>
      <c r="J702" s="535" t="s">
        <v>908</v>
      </c>
      <c r="K702" s="535" t="s">
        <v>1186</v>
      </c>
      <c r="L702" s="535"/>
      <c r="M702" s="536"/>
      <c r="N702" s="537"/>
      <c r="O702" s="537"/>
      <c r="P702" s="548" t="s">
        <v>4037</v>
      </c>
      <c r="Q702" s="539"/>
      <c r="R702" s="516" t="s">
        <v>49</v>
      </c>
      <c r="S702" s="516" t="s">
        <v>168</v>
      </c>
      <c r="T702" s="516"/>
      <c r="U702" s="516"/>
      <c r="V702" s="548" t="s">
        <v>275</v>
      </c>
      <c r="W702" s="541" t="s">
        <v>4038</v>
      </c>
      <c r="X702" s="516" t="s">
        <v>876</v>
      </c>
      <c r="Y702" s="542">
        <v>29090</v>
      </c>
      <c r="Z702" s="543">
        <f t="shared" ca="1" si="10"/>
        <v>46</v>
      </c>
      <c r="AA702" s="534" t="s">
        <v>1188</v>
      </c>
      <c r="AB702" s="516" t="s">
        <v>1189</v>
      </c>
      <c r="AC702" s="516" t="s">
        <v>802</v>
      </c>
      <c r="AD702" s="516" t="s">
        <v>794</v>
      </c>
      <c r="AE702" s="534" t="s">
        <v>713</v>
      </c>
      <c r="AF702" s="534" t="s">
        <v>1163</v>
      </c>
      <c r="AG702" s="534" t="s">
        <v>1172</v>
      </c>
      <c r="AH702" s="516" t="s">
        <v>872</v>
      </c>
      <c r="AI702" s="516"/>
      <c r="AJ702" s="516"/>
      <c r="AK702" s="516"/>
      <c r="AL702" s="544"/>
      <c r="AM702" s="544"/>
    </row>
    <row r="703" spans="3:39" ht="18" customHeight="1">
      <c r="C703" s="516">
        <v>683</v>
      </c>
      <c r="D703" s="516" t="s">
        <v>4039</v>
      </c>
      <c r="E703" s="516">
        <f t="shared" si="11"/>
        <v>639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1118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606</v>
      </c>
      <c r="W703" s="541" t="s">
        <v>4040</v>
      </c>
      <c r="X703" s="516" t="s">
        <v>876</v>
      </c>
      <c r="Y703" s="542">
        <v>24600</v>
      </c>
      <c r="Z703" s="543">
        <f t="shared" ca="1" si="10"/>
        <v>58</v>
      </c>
      <c r="AA703" s="534" t="s">
        <v>4041</v>
      </c>
      <c r="AB703" s="516" t="s">
        <v>4042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1229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4043</v>
      </c>
      <c r="E704" s="516">
        <f t="shared" si="11"/>
        <v>640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625</v>
      </c>
      <c r="W704" s="541" t="s">
        <v>4044</v>
      </c>
      <c r="X704" s="516" t="s">
        <v>876</v>
      </c>
      <c r="Y704" s="542">
        <v>26817</v>
      </c>
      <c r="Z704" s="543">
        <f t="shared" ca="1" si="10"/>
        <v>52</v>
      </c>
      <c r="AA704" s="534" t="s">
        <v>4045</v>
      </c>
      <c r="AB704" s="571"/>
      <c r="AC704" s="516" t="s">
        <v>842</v>
      </c>
      <c r="AD704" s="516" t="s">
        <v>843</v>
      </c>
      <c r="AE704" s="534" t="s">
        <v>713</v>
      </c>
      <c r="AF704" s="534" t="s">
        <v>713</v>
      </c>
      <c r="AG704" s="534" t="s">
        <v>1373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4046</v>
      </c>
      <c r="E705" s="516">
        <f t="shared" si="11"/>
        <v>641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38" t="s">
        <v>4037</v>
      </c>
      <c r="Q705" s="539" t="s">
        <v>308</v>
      </c>
      <c r="R705" s="516"/>
      <c r="S705" s="516"/>
      <c r="T705" s="516"/>
      <c r="U705" s="516" t="s">
        <v>874</v>
      </c>
      <c r="V705" s="538" t="s">
        <v>642</v>
      </c>
      <c r="W705" s="541" t="s">
        <v>4047</v>
      </c>
      <c r="X705" s="516" t="s">
        <v>876</v>
      </c>
      <c r="Y705" s="542">
        <v>27630</v>
      </c>
      <c r="Z705" s="543">
        <f t="shared" ca="1" si="10"/>
        <v>50</v>
      </c>
      <c r="AA705" s="534" t="s">
        <v>4048</v>
      </c>
      <c r="AB705" s="516" t="s">
        <v>4049</v>
      </c>
      <c r="AC705" s="516" t="s">
        <v>842</v>
      </c>
      <c r="AD705" s="516" t="s">
        <v>843</v>
      </c>
      <c r="AE705" s="534" t="s">
        <v>713</v>
      </c>
      <c r="AF705" s="534" t="s">
        <v>713</v>
      </c>
      <c r="AG705" s="534" t="s">
        <v>4050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4051</v>
      </c>
      <c r="E706" s="516">
        <f t="shared" si="11"/>
        <v>642</v>
      </c>
      <c r="F706" s="534" t="s">
        <v>811</v>
      </c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1186</v>
      </c>
      <c r="L706" s="535"/>
      <c r="M706" s="536"/>
      <c r="N706" s="537"/>
      <c r="O706" s="537"/>
      <c r="P706" s="538" t="s">
        <v>4037</v>
      </c>
      <c r="Q706" s="539" t="s">
        <v>308</v>
      </c>
      <c r="R706" s="516"/>
      <c r="S706" s="516"/>
      <c r="T706" s="516"/>
      <c r="U706" s="516" t="s">
        <v>874</v>
      </c>
      <c r="V706" s="538" t="s">
        <v>661</v>
      </c>
      <c r="W706" s="541" t="s">
        <v>4052</v>
      </c>
      <c r="X706" s="516" t="s">
        <v>876</v>
      </c>
      <c r="Y706" s="542">
        <v>29536</v>
      </c>
      <c r="Z706" s="543">
        <f t="shared" ca="1" si="10"/>
        <v>45</v>
      </c>
      <c r="AA706" s="534" t="s">
        <v>4053</v>
      </c>
      <c r="AB706" s="516"/>
      <c r="AC706" s="516" t="s">
        <v>842</v>
      </c>
      <c r="AD706" s="516" t="s">
        <v>843</v>
      </c>
      <c r="AE706" s="534" t="s">
        <v>2039</v>
      </c>
      <c r="AF706" s="534" t="s">
        <v>2039</v>
      </c>
      <c r="AG706" s="534" t="s">
        <v>4054</v>
      </c>
      <c r="AH706" s="516"/>
      <c r="AI706" s="516"/>
      <c r="AJ706" s="569" t="s">
        <v>1224</v>
      </c>
      <c r="AK706" s="516"/>
      <c r="AL706" s="544"/>
      <c r="AM706" s="544"/>
    </row>
    <row r="707" spans="3:39" ht="18" customHeight="1">
      <c r="C707" s="516">
        <v>687</v>
      </c>
      <c r="D707" s="516" t="s">
        <v>4055</v>
      </c>
      <c r="E707" s="516">
        <f t="shared" si="11"/>
        <v>643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1186</v>
      </c>
      <c r="L707" s="535"/>
      <c r="M707" s="536"/>
      <c r="N707" s="537"/>
      <c r="O707" s="537"/>
      <c r="P707" s="559" t="s">
        <v>4037</v>
      </c>
      <c r="Q707" s="539" t="s">
        <v>308</v>
      </c>
      <c r="R707" s="516"/>
      <c r="S707" s="516"/>
      <c r="T707" s="516"/>
      <c r="U707" s="516" t="s">
        <v>874</v>
      </c>
      <c r="V707" s="559" t="s">
        <v>677</v>
      </c>
      <c r="W707" s="541" t="s">
        <v>4056</v>
      </c>
      <c r="X707" s="516" t="s">
        <v>876</v>
      </c>
      <c r="Y707" s="542">
        <v>31881</v>
      </c>
      <c r="Z707" s="543">
        <f t="shared" ca="1" si="10"/>
        <v>38</v>
      </c>
      <c r="AA707" s="534" t="s">
        <v>4057</v>
      </c>
      <c r="AB707" s="516" t="s">
        <v>4058</v>
      </c>
      <c r="AC707" s="516" t="s">
        <v>842</v>
      </c>
      <c r="AD707" s="516" t="s">
        <v>843</v>
      </c>
      <c r="AE707" s="534" t="s">
        <v>2039</v>
      </c>
      <c r="AF707" s="534" t="s">
        <v>713</v>
      </c>
      <c r="AG707" s="534" t="s">
        <v>1229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3760</v>
      </c>
      <c r="E708" s="516">
        <f t="shared" si="11"/>
        <v>643</v>
      </c>
      <c r="F708" s="534"/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48" t="s">
        <v>4059</v>
      </c>
      <c r="Q708" s="539"/>
      <c r="R708" s="516" t="s">
        <v>49</v>
      </c>
      <c r="S708" s="516" t="s">
        <v>168</v>
      </c>
      <c r="T708" s="516"/>
      <c r="U708" s="516"/>
      <c r="V708" s="548" t="s">
        <v>590</v>
      </c>
      <c r="W708" s="541" t="s">
        <v>3762</v>
      </c>
      <c r="X708" s="516" t="s">
        <v>876</v>
      </c>
      <c r="Y708" s="542">
        <v>21524</v>
      </c>
      <c r="Z708" s="543">
        <f t="shared" ca="1" si="10"/>
        <v>67</v>
      </c>
      <c r="AA708" s="534" t="s">
        <v>3763</v>
      </c>
      <c r="AB708" s="516" t="s">
        <v>4060</v>
      </c>
      <c r="AC708" s="516" t="s">
        <v>802</v>
      </c>
      <c r="AD708" s="516" t="s">
        <v>794</v>
      </c>
      <c r="AE708" s="534"/>
      <c r="AF708" s="534"/>
      <c r="AG708" s="534"/>
      <c r="AH708" s="516" t="s">
        <v>872</v>
      </c>
      <c r="AI708" s="516"/>
      <c r="AJ708" s="516"/>
      <c r="AK708" s="516"/>
      <c r="AL708" s="544"/>
      <c r="AM708" s="544"/>
    </row>
    <row r="709" spans="3:39" ht="18" customHeight="1">
      <c r="C709" s="516">
        <v>689</v>
      </c>
      <c r="D709" s="516" t="s">
        <v>4061</v>
      </c>
      <c r="E709" s="516">
        <f t="shared" si="11"/>
        <v>644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607</v>
      </c>
      <c r="W709" s="541" t="s">
        <v>4062</v>
      </c>
      <c r="X709" s="516" t="s">
        <v>876</v>
      </c>
      <c r="Y709" s="542">
        <v>22993</v>
      </c>
      <c r="Z709" s="543">
        <f t="shared" ca="1" si="10"/>
        <v>63</v>
      </c>
      <c r="AA709" s="534" t="s">
        <v>4063</v>
      </c>
      <c r="AB709" s="516" t="s">
        <v>4064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1094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4065</v>
      </c>
      <c r="E710" s="516">
        <f t="shared" si="11"/>
        <v>645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626</v>
      </c>
      <c r="W710" s="541" t="s">
        <v>4066</v>
      </c>
      <c r="X710" s="516" t="s">
        <v>876</v>
      </c>
      <c r="Y710" s="542">
        <v>24691</v>
      </c>
      <c r="Z710" s="543">
        <f t="shared" ca="1" si="10"/>
        <v>58</v>
      </c>
      <c r="AA710" s="534" t="s">
        <v>4067</v>
      </c>
      <c r="AB710" s="516" t="s">
        <v>4068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1894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4069</v>
      </c>
      <c r="E711" s="516">
        <f t="shared" si="11"/>
        <v>646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3760</v>
      </c>
      <c r="L711" s="535"/>
      <c r="M711" s="536"/>
      <c r="N711" s="537"/>
      <c r="O711" s="537"/>
      <c r="P711" s="538" t="s">
        <v>4059</v>
      </c>
      <c r="Q711" s="539" t="s">
        <v>308</v>
      </c>
      <c r="R711" s="516"/>
      <c r="S711" s="516"/>
      <c r="T711" s="516"/>
      <c r="U711" s="516" t="s">
        <v>874</v>
      </c>
      <c r="V711" s="538" t="s">
        <v>643</v>
      </c>
      <c r="W711" s="541" t="s">
        <v>4070</v>
      </c>
      <c r="X711" s="516" t="s">
        <v>876</v>
      </c>
      <c r="Y711" s="542">
        <v>24929</v>
      </c>
      <c r="Z711" s="543">
        <f t="shared" ca="1" si="10"/>
        <v>57</v>
      </c>
      <c r="AA711" s="534" t="s">
        <v>4071</v>
      </c>
      <c r="AB711" s="516" t="s">
        <v>4072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1427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692</v>
      </c>
      <c r="D712" s="516" t="s">
        <v>4073</v>
      </c>
      <c r="E712" s="516">
        <f t="shared" si="11"/>
        <v>647</v>
      </c>
      <c r="F712" s="534" t="s">
        <v>811</v>
      </c>
      <c r="G712" s="534" t="s">
        <v>4036</v>
      </c>
      <c r="H712" s="535" t="s">
        <v>1106</v>
      </c>
      <c r="I712" s="535" t="s">
        <v>80</v>
      </c>
      <c r="J712" s="535" t="s">
        <v>3760</v>
      </c>
      <c r="K712" s="535" t="s">
        <v>3760</v>
      </c>
      <c r="L712" s="535"/>
      <c r="M712" s="536"/>
      <c r="N712" s="537"/>
      <c r="O712" s="537"/>
      <c r="P712" s="538" t="s">
        <v>4059</v>
      </c>
      <c r="Q712" s="539" t="s">
        <v>308</v>
      </c>
      <c r="R712" s="516"/>
      <c r="S712" s="516"/>
      <c r="T712" s="516"/>
      <c r="U712" s="516" t="s">
        <v>874</v>
      </c>
      <c r="V712" s="538" t="s">
        <v>662</v>
      </c>
      <c r="W712" s="541" t="s">
        <v>4074</v>
      </c>
      <c r="X712" s="516" t="s">
        <v>876</v>
      </c>
      <c r="Y712" s="542">
        <v>26306</v>
      </c>
      <c r="Z712" s="543">
        <f t="shared" ca="1" si="10"/>
        <v>54</v>
      </c>
      <c r="AA712" s="534" t="s">
        <v>4075</v>
      </c>
      <c r="AB712" s="516" t="s">
        <v>4076</v>
      </c>
      <c r="AC712" s="516" t="s">
        <v>842</v>
      </c>
      <c r="AD712" s="516" t="s">
        <v>843</v>
      </c>
      <c r="AE712" s="534" t="s">
        <v>713</v>
      </c>
      <c r="AF712" s="534" t="s">
        <v>713</v>
      </c>
      <c r="AG712" s="534" t="s">
        <v>4077</v>
      </c>
      <c r="AH712" s="516"/>
      <c r="AI712" s="516"/>
      <c r="AJ712" s="569" t="s">
        <v>1224</v>
      </c>
      <c r="AK712" s="516"/>
      <c r="AL712" s="544"/>
      <c r="AM712" s="544"/>
    </row>
    <row r="713" spans="3:39" ht="18" customHeight="1">
      <c r="C713" s="516">
        <v>693</v>
      </c>
      <c r="D713" s="516" t="s">
        <v>4078</v>
      </c>
      <c r="E713" s="516">
        <f t="shared" si="11"/>
        <v>648</v>
      </c>
      <c r="F713" s="534" t="s">
        <v>811</v>
      </c>
      <c r="G713" s="534" t="s">
        <v>4036</v>
      </c>
      <c r="H713" s="535" t="s">
        <v>1106</v>
      </c>
      <c r="I713" s="535" t="s">
        <v>80</v>
      </c>
      <c r="J713" s="535" t="s">
        <v>3760</v>
      </c>
      <c r="K713" s="535" t="s">
        <v>3760</v>
      </c>
      <c r="L713" s="535"/>
      <c r="M713" s="536"/>
      <c r="N713" s="537"/>
      <c r="O713" s="537"/>
      <c r="P713" s="559" t="s">
        <v>4059</v>
      </c>
      <c r="Q713" s="539" t="s">
        <v>308</v>
      </c>
      <c r="R713" s="516"/>
      <c r="S713" s="516"/>
      <c r="T713" s="516"/>
      <c r="U713" s="516" t="s">
        <v>874</v>
      </c>
      <c r="V713" s="559" t="s">
        <v>678</v>
      </c>
      <c r="W713" s="541" t="s">
        <v>4079</v>
      </c>
      <c r="X713" s="516" t="s">
        <v>876</v>
      </c>
      <c r="Y713" s="542">
        <v>28381</v>
      </c>
      <c r="Z713" s="543">
        <f t="shared" ca="1" si="10"/>
        <v>48</v>
      </c>
      <c r="AA713" s="534" t="s">
        <v>4080</v>
      </c>
      <c r="AB713" s="516" t="s">
        <v>4081</v>
      </c>
      <c r="AC713" s="516" t="s">
        <v>842</v>
      </c>
      <c r="AD713" s="516" t="s">
        <v>843</v>
      </c>
      <c r="AE713" s="534" t="s">
        <v>713</v>
      </c>
      <c r="AF713" s="534" t="s">
        <v>713</v>
      </c>
      <c r="AG713" s="534" t="s">
        <v>4082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694</v>
      </c>
      <c r="D714" s="516" t="s">
        <v>2520</v>
      </c>
      <c r="E714" s="516">
        <f t="shared" si="11"/>
        <v>648</v>
      </c>
      <c r="F714" s="534"/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48" t="s">
        <v>4083</v>
      </c>
      <c r="Q714" s="539"/>
      <c r="R714" s="516"/>
      <c r="S714" s="516" t="s">
        <v>168</v>
      </c>
      <c r="T714" s="516"/>
      <c r="U714" s="516"/>
      <c r="V714" s="548" t="s">
        <v>180</v>
      </c>
      <c r="W714" s="541" t="s">
        <v>2522</v>
      </c>
      <c r="X714" s="516" t="s">
        <v>876</v>
      </c>
      <c r="Y714" s="542">
        <v>25699</v>
      </c>
      <c r="Z714" s="543">
        <f t="shared" ca="1" si="10"/>
        <v>55</v>
      </c>
      <c r="AA714" s="534" t="s">
        <v>2523</v>
      </c>
      <c r="AB714" s="516"/>
      <c r="AC714" s="516" t="s">
        <v>802</v>
      </c>
      <c r="AD714" s="516" t="s">
        <v>794</v>
      </c>
      <c r="AE714" s="534" t="s">
        <v>815</v>
      </c>
      <c r="AF714" s="534" t="s">
        <v>815</v>
      </c>
      <c r="AG714" s="534" t="s">
        <v>2525</v>
      </c>
      <c r="AH714" s="516" t="s">
        <v>872</v>
      </c>
      <c r="AI714" s="516"/>
      <c r="AJ714" s="516"/>
      <c r="AK714" s="516"/>
      <c r="AL714" s="544"/>
      <c r="AM714" s="544"/>
    </row>
    <row r="715" spans="3:39" ht="18" customHeight="1">
      <c r="C715" s="516">
        <v>695</v>
      </c>
      <c r="D715" s="516" t="s">
        <v>4084</v>
      </c>
      <c r="E715" s="516">
        <f t="shared" si="11"/>
        <v>649</v>
      </c>
      <c r="F715" s="534" t="s">
        <v>811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4085</v>
      </c>
      <c r="W715" s="541" t="s">
        <v>4086</v>
      </c>
      <c r="X715" s="516" t="s">
        <v>876</v>
      </c>
      <c r="Y715" s="542">
        <v>20919</v>
      </c>
      <c r="Z715" s="543">
        <f t="shared" ca="1" si="10"/>
        <v>68</v>
      </c>
      <c r="AA715" s="534" t="s">
        <v>4087</v>
      </c>
      <c r="AB715" s="516" t="s">
        <v>4088</v>
      </c>
      <c r="AC715" s="516" t="s">
        <v>842</v>
      </c>
      <c r="AD715" s="516" t="s">
        <v>843</v>
      </c>
      <c r="AE715" s="534" t="s">
        <v>815</v>
      </c>
      <c r="AF715" s="534" t="s">
        <v>1400</v>
      </c>
      <c r="AG715" s="534" t="s">
        <v>2888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696</v>
      </c>
      <c r="D716" s="516" t="s">
        <v>4089</v>
      </c>
      <c r="E716" s="516">
        <f t="shared" si="11"/>
        <v>650</v>
      </c>
      <c r="F716" s="534" t="s">
        <v>811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627</v>
      </c>
      <c r="W716" s="541" t="s">
        <v>4090</v>
      </c>
      <c r="X716" s="516" t="s">
        <v>876</v>
      </c>
      <c r="Y716" s="542">
        <v>22040</v>
      </c>
      <c r="Z716" s="543">
        <f t="shared" ca="1" si="10"/>
        <v>65</v>
      </c>
      <c r="AA716" s="534" t="s">
        <v>4091</v>
      </c>
      <c r="AB716" s="516" t="s">
        <v>4092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4093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697</v>
      </c>
      <c r="D717" s="516" t="s">
        <v>4094</v>
      </c>
      <c r="E717" s="516">
        <f t="shared" si="11"/>
        <v>651</v>
      </c>
      <c r="F717" s="534" t="s">
        <v>811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38" t="s">
        <v>4083</v>
      </c>
      <c r="Q717" s="539" t="s">
        <v>308</v>
      </c>
      <c r="R717" s="516"/>
      <c r="S717" s="516"/>
      <c r="T717" s="516"/>
      <c r="U717" s="516" t="s">
        <v>874</v>
      </c>
      <c r="V717" s="538" t="s">
        <v>4219</v>
      </c>
      <c r="W717" s="541" t="s">
        <v>4095</v>
      </c>
      <c r="X717" s="516" t="s">
        <v>876</v>
      </c>
      <c r="Y717" s="542">
        <v>26478</v>
      </c>
      <c r="Z717" s="543">
        <f t="shared" ca="1" si="10"/>
        <v>53</v>
      </c>
      <c r="AA717" s="534" t="s">
        <v>4096</v>
      </c>
      <c r="AB717" s="516" t="s">
        <v>4097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4093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698</v>
      </c>
      <c r="D718" s="516" t="s">
        <v>4098</v>
      </c>
      <c r="E718" s="516">
        <f t="shared" si="11"/>
        <v>652</v>
      </c>
      <c r="F718" s="534" t="s">
        <v>811</v>
      </c>
      <c r="G718" s="534" t="s">
        <v>4036</v>
      </c>
      <c r="H718" s="535" t="s">
        <v>1106</v>
      </c>
      <c r="I718" s="535" t="s">
        <v>80</v>
      </c>
      <c r="J718" s="535" t="s">
        <v>2520</v>
      </c>
      <c r="K718" s="535" t="s">
        <v>2520</v>
      </c>
      <c r="L718" s="535"/>
      <c r="M718" s="536"/>
      <c r="N718" s="537"/>
      <c r="O718" s="537"/>
      <c r="P718" s="538" t="s">
        <v>4083</v>
      </c>
      <c r="Q718" s="539" t="s">
        <v>308</v>
      </c>
      <c r="R718" s="516"/>
      <c r="S718" s="516"/>
      <c r="T718" s="516"/>
      <c r="U718" s="516" t="s">
        <v>874</v>
      </c>
      <c r="V718" s="538" t="s">
        <v>663</v>
      </c>
      <c r="W718" s="541" t="s">
        <v>4099</v>
      </c>
      <c r="X718" s="516" t="s">
        <v>876</v>
      </c>
      <c r="Y718" s="542">
        <v>27186</v>
      </c>
      <c r="Z718" s="543">
        <f t="shared" ca="1" si="10"/>
        <v>51</v>
      </c>
      <c r="AA718" s="534" t="s">
        <v>4100</v>
      </c>
      <c r="AB718" s="516" t="s">
        <v>4101</v>
      </c>
      <c r="AC718" s="516" t="s">
        <v>842</v>
      </c>
      <c r="AD718" s="516" t="s">
        <v>843</v>
      </c>
      <c r="AE718" s="534" t="s">
        <v>815</v>
      </c>
      <c r="AF718" s="534" t="s">
        <v>815</v>
      </c>
      <c r="AG718" s="534" t="s">
        <v>1352</v>
      </c>
      <c r="AH718" s="516"/>
      <c r="AI718" s="516"/>
      <c r="AJ718" s="569" t="s">
        <v>1224</v>
      </c>
      <c r="AK718" s="516"/>
      <c r="AL718" s="544"/>
      <c r="AM718" s="544"/>
    </row>
    <row r="719" spans="3:39" ht="18" customHeight="1">
      <c r="C719" s="516">
        <v>699</v>
      </c>
      <c r="D719" s="516" t="s">
        <v>4102</v>
      </c>
      <c r="E719" s="516">
        <f t="shared" si="11"/>
        <v>653</v>
      </c>
      <c r="F719" s="534" t="s">
        <v>811</v>
      </c>
      <c r="G719" s="534" t="s">
        <v>4036</v>
      </c>
      <c r="H719" s="535" t="s">
        <v>1106</v>
      </c>
      <c r="I719" s="535" t="s">
        <v>80</v>
      </c>
      <c r="J719" s="535" t="s">
        <v>2520</v>
      </c>
      <c r="K719" s="535" t="s">
        <v>2520</v>
      </c>
      <c r="L719" s="535"/>
      <c r="M719" s="536"/>
      <c r="N719" s="537"/>
      <c r="O719" s="537"/>
      <c r="P719" s="559" t="s">
        <v>4083</v>
      </c>
      <c r="Q719" s="539" t="s">
        <v>308</v>
      </c>
      <c r="R719" s="516"/>
      <c r="S719" s="516"/>
      <c r="T719" s="516"/>
      <c r="U719" s="516" t="s">
        <v>874</v>
      </c>
      <c r="V719" s="559" t="s">
        <v>679</v>
      </c>
      <c r="W719" s="541" t="s">
        <v>4103</v>
      </c>
      <c r="X719" s="516" t="s">
        <v>876</v>
      </c>
      <c r="Y719" s="542">
        <v>28887</v>
      </c>
      <c r="Z719" s="543">
        <f t="shared" ca="1" si="10"/>
        <v>46</v>
      </c>
      <c r="AA719" s="534" t="s">
        <v>4104</v>
      </c>
      <c r="AB719" s="516" t="s">
        <v>4105</v>
      </c>
      <c r="AC719" s="516" t="s">
        <v>842</v>
      </c>
      <c r="AD719" s="516" t="s">
        <v>843</v>
      </c>
      <c r="AE719" s="534" t="s">
        <v>815</v>
      </c>
      <c r="AF719" s="534" t="s">
        <v>815</v>
      </c>
      <c r="AG719" s="534" t="s">
        <v>2411</v>
      </c>
      <c r="AH719" s="516"/>
      <c r="AI719" s="516"/>
      <c r="AJ719" s="569" t="s">
        <v>1224</v>
      </c>
      <c r="AK719" s="516"/>
      <c r="AL719" s="544"/>
      <c r="AM719" s="544"/>
    </row>
    <row r="720" spans="3:39" ht="18" customHeight="1">
      <c r="C720" s="516">
        <v>700</v>
      </c>
      <c r="D720" s="516" t="s">
        <v>2918</v>
      </c>
      <c r="E720" s="516">
        <f t="shared" si="11"/>
        <v>653</v>
      </c>
      <c r="F720" s="534"/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48" t="s">
        <v>4106</v>
      </c>
      <c r="Q720" s="539"/>
      <c r="R720" s="516" t="s">
        <v>163</v>
      </c>
      <c r="S720" s="516" t="s">
        <v>500</v>
      </c>
      <c r="T720" s="516" t="s">
        <v>49</v>
      </c>
      <c r="U720" s="516"/>
      <c r="V720" s="548" t="s">
        <v>498</v>
      </c>
      <c r="W720" s="541" t="s">
        <v>2919</v>
      </c>
      <c r="X720" s="516" t="s">
        <v>876</v>
      </c>
      <c r="Y720" s="542">
        <v>22147</v>
      </c>
      <c r="Z720" s="543">
        <f t="shared" ca="1" si="10"/>
        <v>65</v>
      </c>
      <c r="AA720" s="534" t="s">
        <v>2920</v>
      </c>
      <c r="AB720" s="516" t="s">
        <v>2921</v>
      </c>
      <c r="AC720" s="516" t="s">
        <v>842</v>
      </c>
      <c r="AD720" s="516" t="s">
        <v>794</v>
      </c>
      <c r="AE720" s="534" t="s">
        <v>236</v>
      </c>
      <c r="AF720" s="534" t="s">
        <v>236</v>
      </c>
      <c r="AG720" s="534" t="s">
        <v>865</v>
      </c>
      <c r="AH720" s="516" t="s">
        <v>872</v>
      </c>
      <c r="AI720" s="516"/>
      <c r="AJ720" s="516"/>
      <c r="AK720" s="516"/>
      <c r="AL720" s="544"/>
      <c r="AM720" s="544"/>
    </row>
    <row r="721" spans="3:39" ht="18" customHeight="1">
      <c r="C721" s="516">
        <v>701</v>
      </c>
      <c r="D721" s="516" t="s">
        <v>4107</v>
      </c>
      <c r="E721" s="516">
        <f t="shared" si="11"/>
        <v>654</v>
      </c>
      <c r="F721" s="534" t="s">
        <v>1001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609</v>
      </c>
      <c r="W721" s="541" t="s">
        <v>4108</v>
      </c>
      <c r="X721" s="516" t="s">
        <v>876</v>
      </c>
      <c r="Y721" s="542">
        <v>20956</v>
      </c>
      <c r="Z721" s="543">
        <f t="shared" ca="1" si="10"/>
        <v>68</v>
      </c>
      <c r="AA721" s="534" t="s">
        <v>4109</v>
      </c>
      <c r="AB721" s="516" t="s">
        <v>4110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865</v>
      </c>
      <c r="AH721" s="516"/>
      <c r="AI721" s="516"/>
      <c r="AJ721" s="569" t="s">
        <v>4111</v>
      </c>
      <c r="AK721" s="516"/>
      <c r="AL721" s="544"/>
      <c r="AM721" s="544"/>
    </row>
    <row r="722" spans="3:39" ht="18" customHeight="1">
      <c r="C722" s="516">
        <v>702</v>
      </c>
      <c r="D722" s="516" t="s">
        <v>4112</v>
      </c>
      <c r="E722" s="516">
        <f t="shared" si="11"/>
        <v>655</v>
      </c>
      <c r="F722" s="534" t="s">
        <v>811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628</v>
      </c>
      <c r="W722" s="541" t="s">
        <v>4113</v>
      </c>
      <c r="X722" s="516" t="s">
        <v>876</v>
      </c>
      <c r="Y722" s="542">
        <v>23295</v>
      </c>
      <c r="Z722" s="543">
        <f t="shared" ca="1" si="10"/>
        <v>62</v>
      </c>
      <c r="AA722" s="534" t="s">
        <v>4114</v>
      </c>
      <c r="AB722" s="516" t="s">
        <v>4115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1846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703</v>
      </c>
      <c r="D723" s="516" t="s">
        <v>4116</v>
      </c>
      <c r="E723" s="516">
        <f t="shared" si="11"/>
        <v>656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38" t="s">
        <v>4106</v>
      </c>
      <c r="Q723" s="539" t="s">
        <v>308</v>
      </c>
      <c r="R723" s="516"/>
      <c r="S723" s="516"/>
      <c r="T723" s="516"/>
      <c r="U723" s="516" t="s">
        <v>874</v>
      </c>
      <c r="V723" s="538" t="s">
        <v>645</v>
      </c>
      <c r="W723" s="541" t="s">
        <v>4117</v>
      </c>
      <c r="X723" s="516" t="s">
        <v>876</v>
      </c>
      <c r="Y723" s="542">
        <v>23392</v>
      </c>
      <c r="Z723" s="543">
        <f t="shared" ca="1" si="10"/>
        <v>62</v>
      </c>
      <c r="AA723" s="534" t="s">
        <v>4118</v>
      </c>
      <c r="AB723" s="516" t="s">
        <v>4119</v>
      </c>
      <c r="AC723" s="516" t="s">
        <v>842</v>
      </c>
      <c r="AD723" s="516" t="s">
        <v>843</v>
      </c>
      <c r="AE723" s="534" t="s">
        <v>236</v>
      </c>
      <c r="AF723" s="534" t="s">
        <v>236</v>
      </c>
      <c r="AG723" s="534" t="s">
        <v>743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704</v>
      </c>
      <c r="D724" s="516" t="s">
        <v>4120</v>
      </c>
      <c r="E724" s="516">
        <f t="shared" si="11"/>
        <v>657</v>
      </c>
      <c r="F724" s="534" t="s">
        <v>811</v>
      </c>
      <c r="G724" s="534" t="s">
        <v>4036</v>
      </c>
      <c r="H724" s="535" t="s">
        <v>1106</v>
      </c>
      <c r="I724" s="535" t="s">
        <v>80</v>
      </c>
      <c r="J724" s="535" t="s">
        <v>2918</v>
      </c>
      <c r="K724" s="535" t="s">
        <v>2918</v>
      </c>
      <c r="L724" s="535"/>
      <c r="M724" s="536"/>
      <c r="N724" s="537"/>
      <c r="O724" s="537"/>
      <c r="P724" s="538" t="s">
        <v>4106</v>
      </c>
      <c r="Q724" s="539" t="s">
        <v>308</v>
      </c>
      <c r="R724" s="516"/>
      <c r="S724" s="516"/>
      <c r="T724" s="516"/>
      <c r="U724" s="516" t="s">
        <v>874</v>
      </c>
      <c r="V724" s="538" t="s">
        <v>664</v>
      </c>
      <c r="W724" s="541" t="s">
        <v>4121</v>
      </c>
      <c r="X724" s="516" t="s">
        <v>876</v>
      </c>
      <c r="Y724" s="542">
        <v>23701</v>
      </c>
      <c r="Z724" s="543">
        <f t="shared" ca="1" si="10"/>
        <v>61</v>
      </c>
      <c r="AA724" s="534" t="s">
        <v>4122</v>
      </c>
      <c r="AB724" s="516" t="s">
        <v>4123</v>
      </c>
      <c r="AC724" s="516" t="s">
        <v>842</v>
      </c>
      <c r="AD724" s="516" t="s">
        <v>843</v>
      </c>
      <c r="AE724" s="534" t="s">
        <v>236</v>
      </c>
      <c r="AF724" s="534" t="s">
        <v>236</v>
      </c>
      <c r="AG724" s="534" t="s">
        <v>744</v>
      </c>
      <c r="AH724" s="516"/>
      <c r="AI724" s="516"/>
      <c r="AJ724" s="569" t="s">
        <v>1224</v>
      </c>
      <c r="AK724" s="516"/>
      <c r="AL724" s="544"/>
      <c r="AM724" s="544"/>
    </row>
    <row r="725" spans="3:39" ht="18" customHeight="1">
      <c r="C725" s="516">
        <v>705</v>
      </c>
      <c r="D725" s="516" t="s">
        <v>4124</v>
      </c>
      <c r="E725" s="516">
        <f t="shared" si="11"/>
        <v>658</v>
      </c>
      <c r="F725" s="534" t="s">
        <v>811</v>
      </c>
      <c r="G725" s="534" t="s">
        <v>4036</v>
      </c>
      <c r="H725" s="535" t="s">
        <v>1106</v>
      </c>
      <c r="I725" s="535" t="s">
        <v>80</v>
      </c>
      <c r="J725" s="535" t="s">
        <v>2918</v>
      </c>
      <c r="K725" s="535" t="s">
        <v>2918</v>
      </c>
      <c r="L725" s="535"/>
      <c r="M725" s="536"/>
      <c r="N725" s="537"/>
      <c r="O725" s="537"/>
      <c r="P725" s="559" t="s">
        <v>4106</v>
      </c>
      <c r="Q725" s="539" t="s">
        <v>308</v>
      </c>
      <c r="R725" s="516"/>
      <c r="S725" s="516"/>
      <c r="T725" s="516"/>
      <c r="U725" s="516" t="s">
        <v>874</v>
      </c>
      <c r="V725" s="540" t="s">
        <v>680</v>
      </c>
      <c r="W725" s="541" t="s">
        <v>4125</v>
      </c>
      <c r="X725" s="516" t="s">
        <v>876</v>
      </c>
      <c r="Y725" s="542">
        <v>24508</v>
      </c>
      <c r="Z725" s="543">
        <f t="shared" ca="1" si="10"/>
        <v>58</v>
      </c>
      <c r="AA725" s="534" t="s">
        <v>4126</v>
      </c>
      <c r="AB725" s="516"/>
      <c r="AC725" s="516" t="s">
        <v>842</v>
      </c>
      <c r="AD725" s="516" t="s">
        <v>843</v>
      </c>
      <c r="AE725" s="534" t="s">
        <v>942</v>
      </c>
      <c r="AF725" s="534" t="s">
        <v>942</v>
      </c>
      <c r="AG725" s="534" t="s">
        <v>4127</v>
      </c>
      <c r="AH725" s="516"/>
      <c r="AI725" s="516"/>
      <c r="AJ725" s="569" t="s">
        <v>1224</v>
      </c>
      <c r="AK725" s="516"/>
      <c r="AL725" s="544"/>
      <c r="AM725" s="544"/>
    </row>
    <row r="726" spans="3:39" ht="18" customHeight="1">
      <c r="C726" s="516">
        <v>706</v>
      </c>
      <c r="D726" s="516" t="s">
        <v>1679</v>
      </c>
      <c r="E726" s="516">
        <f t="shared" si="11"/>
        <v>658</v>
      </c>
      <c r="F726" s="534"/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48" t="s">
        <v>4129</v>
      </c>
      <c r="Q726" s="539"/>
      <c r="R726" s="516" t="s">
        <v>49</v>
      </c>
      <c r="S726" s="516" t="s">
        <v>168</v>
      </c>
      <c r="T726" s="516"/>
      <c r="U726" s="562"/>
      <c r="V726" s="548" t="s">
        <v>278</v>
      </c>
      <c r="W726" s="560" t="s">
        <v>1680</v>
      </c>
      <c r="X726" s="516" t="s">
        <v>876</v>
      </c>
      <c r="Y726" s="542">
        <v>28944</v>
      </c>
      <c r="Z726" s="543">
        <f t="shared" ca="1" si="10"/>
        <v>46</v>
      </c>
      <c r="AA726" s="534" t="s">
        <v>1681</v>
      </c>
      <c r="AB726" s="516" t="s">
        <v>3659</v>
      </c>
      <c r="AC726" s="516" t="s">
        <v>802</v>
      </c>
      <c r="AD726" s="516" t="s">
        <v>794</v>
      </c>
      <c r="AE726" s="534" t="s">
        <v>236</v>
      </c>
      <c r="AF726" s="534" t="s">
        <v>236</v>
      </c>
      <c r="AG726" s="534" t="s">
        <v>1683</v>
      </c>
      <c r="AH726" s="516" t="s">
        <v>872</v>
      </c>
      <c r="AI726" s="516"/>
      <c r="AJ726" s="516"/>
      <c r="AK726" s="516"/>
      <c r="AL726" s="544"/>
      <c r="AM726" s="544"/>
    </row>
    <row r="727" spans="3:39" ht="18" customHeight="1">
      <c r="C727" s="516">
        <v>707</v>
      </c>
      <c r="D727" s="516" t="s">
        <v>4130</v>
      </c>
      <c r="E727" s="516">
        <f t="shared" si="11"/>
        <v>659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610</v>
      </c>
      <c r="W727" s="560" t="s">
        <v>4131</v>
      </c>
      <c r="X727" s="516" t="s">
        <v>876</v>
      </c>
      <c r="Y727" s="542">
        <v>28386</v>
      </c>
      <c r="Z727" s="543">
        <f t="shared" ca="1" si="10"/>
        <v>48</v>
      </c>
      <c r="AA727" s="534" t="s">
        <v>4132</v>
      </c>
      <c r="AB727" s="516" t="s">
        <v>4133</v>
      </c>
      <c r="AC727" s="516" t="s">
        <v>842</v>
      </c>
      <c r="AD727" s="516" t="s">
        <v>843</v>
      </c>
      <c r="AE727" s="534" t="s">
        <v>2480</v>
      </c>
      <c r="AF727" s="534" t="s">
        <v>2480</v>
      </c>
      <c r="AG727" s="534" t="s">
        <v>4134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708</v>
      </c>
      <c r="D728" s="516" t="s">
        <v>4135</v>
      </c>
      <c r="E728" s="516">
        <f t="shared" si="11"/>
        <v>660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2" t="s">
        <v>629</v>
      </c>
      <c r="W728" s="560" t="s">
        <v>4136</v>
      </c>
      <c r="X728" s="516" t="s">
        <v>876</v>
      </c>
      <c r="Y728" s="542">
        <v>29120</v>
      </c>
      <c r="Z728" s="543">
        <f t="shared" ca="1" si="10"/>
        <v>46</v>
      </c>
      <c r="AA728" s="534" t="s">
        <v>4137</v>
      </c>
      <c r="AB728" s="516" t="s">
        <v>4138</v>
      </c>
      <c r="AC728" s="516" t="s">
        <v>842</v>
      </c>
      <c r="AD728" s="516" t="s">
        <v>843</v>
      </c>
      <c r="AE728" s="534" t="s">
        <v>1256</v>
      </c>
      <c r="AF728" s="534" t="s">
        <v>1256</v>
      </c>
      <c r="AG728" s="534" t="s">
        <v>1338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709</v>
      </c>
      <c r="D729" s="516" t="s">
        <v>4139</v>
      </c>
      <c r="E729" s="516">
        <f t="shared" si="11"/>
        <v>661</v>
      </c>
      <c r="F729" s="534" t="s">
        <v>811</v>
      </c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1679</v>
      </c>
      <c r="L729" s="535" t="s">
        <v>786</v>
      </c>
      <c r="M729" s="536"/>
      <c r="N729" s="537"/>
      <c r="O729" s="537"/>
      <c r="P729" s="538" t="s">
        <v>4129</v>
      </c>
      <c r="Q729" s="539" t="s">
        <v>308</v>
      </c>
      <c r="R729" s="516"/>
      <c r="S729" s="516"/>
      <c r="T729" s="516"/>
      <c r="U729" s="562" t="s">
        <v>874</v>
      </c>
      <c r="V729" s="502" t="s">
        <v>646</v>
      </c>
      <c r="W729" s="560" t="s">
        <v>4140</v>
      </c>
      <c r="X729" s="516" t="s">
        <v>876</v>
      </c>
      <c r="Y729" s="542">
        <v>30879</v>
      </c>
      <c r="Z729" s="543">
        <f t="shared" ca="1" si="10"/>
        <v>41</v>
      </c>
      <c r="AA729" s="637" t="s">
        <v>4141</v>
      </c>
      <c r="AB729" s="516" t="s">
        <v>4142</v>
      </c>
      <c r="AC729" s="516" t="s">
        <v>842</v>
      </c>
      <c r="AD729" s="516" t="s">
        <v>843</v>
      </c>
      <c r="AE729" s="534" t="s">
        <v>713</v>
      </c>
      <c r="AF729" s="534" t="s">
        <v>713</v>
      </c>
      <c r="AG729" s="534" t="s">
        <v>1177</v>
      </c>
      <c r="AH729" s="516"/>
      <c r="AI729" s="516"/>
      <c r="AJ729" s="575" t="s">
        <v>1438</v>
      </c>
      <c r="AK729" s="516"/>
      <c r="AL729" s="544"/>
      <c r="AM729" s="544"/>
    </row>
    <row r="730" spans="3:39" ht="18" customHeight="1">
      <c r="C730" s="516">
        <v>710</v>
      </c>
      <c r="D730" s="516" t="s">
        <v>4143</v>
      </c>
      <c r="E730" s="516">
        <f t="shared" si="11"/>
        <v>662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1679</v>
      </c>
      <c r="L730" s="535" t="s">
        <v>786</v>
      </c>
      <c r="M730" s="536"/>
      <c r="N730" s="537"/>
      <c r="O730" s="537"/>
      <c r="P730" s="538" t="s">
        <v>4129</v>
      </c>
      <c r="Q730" s="539" t="s">
        <v>308</v>
      </c>
      <c r="R730" s="516"/>
      <c r="S730" s="516"/>
      <c r="T730" s="516"/>
      <c r="U730" s="562" t="s">
        <v>874</v>
      </c>
      <c r="V730" s="503" t="s">
        <v>665</v>
      </c>
      <c r="W730" s="560" t="s">
        <v>4144</v>
      </c>
      <c r="X730" s="516" t="s">
        <v>876</v>
      </c>
      <c r="Y730" s="542">
        <v>31503</v>
      </c>
      <c r="Z730" s="543">
        <f t="shared" ca="1" si="10"/>
        <v>39</v>
      </c>
      <c r="AA730" s="534" t="s">
        <v>4145</v>
      </c>
      <c r="AB730" s="516" t="s">
        <v>4146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4147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711</v>
      </c>
      <c r="D731" s="516" t="s">
        <v>1439</v>
      </c>
      <c r="E731" s="516">
        <f t="shared" si="11"/>
        <v>662</v>
      </c>
      <c r="F731" s="534"/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48" t="s">
        <v>4157</v>
      </c>
      <c r="Q731" s="539"/>
      <c r="R731" s="516" t="s">
        <v>49</v>
      </c>
      <c r="S731" s="516" t="s">
        <v>168</v>
      </c>
      <c r="T731" s="516"/>
      <c r="U731" s="562"/>
      <c r="V731" s="548" t="s">
        <v>593</v>
      </c>
      <c r="W731" s="560" t="s">
        <v>1441</v>
      </c>
      <c r="X731" s="516" t="s">
        <v>876</v>
      </c>
      <c r="Y731" s="542">
        <v>23479</v>
      </c>
      <c r="Z731" s="543">
        <f t="shared" ca="1" si="10"/>
        <v>61</v>
      </c>
      <c r="AA731" s="534" t="s">
        <v>1442</v>
      </c>
      <c r="AB731" s="516" t="s">
        <v>1443</v>
      </c>
      <c r="AC731" s="516" t="s">
        <v>802</v>
      </c>
      <c r="AD731" s="516" t="s">
        <v>794</v>
      </c>
      <c r="AE731" s="534" t="s">
        <v>713</v>
      </c>
      <c r="AF731" s="534" t="s">
        <v>1163</v>
      </c>
      <c r="AG731" s="534" t="s">
        <v>1444</v>
      </c>
      <c r="AH731" s="516" t="s">
        <v>872</v>
      </c>
      <c r="AI731" s="516"/>
      <c r="AJ731" s="516"/>
      <c r="AK731" s="516"/>
      <c r="AL731" s="544"/>
      <c r="AM731" s="544"/>
    </row>
    <row r="732" spans="3:39" ht="18" customHeight="1">
      <c r="C732" s="516">
        <v>712</v>
      </c>
      <c r="D732" s="516" t="s">
        <v>4158</v>
      </c>
      <c r="E732" s="516">
        <f t="shared" si="11"/>
        <v>663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611</v>
      </c>
      <c r="W732" s="560" t="s">
        <v>4159</v>
      </c>
      <c r="X732" s="516" t="s">
        <v>876</v>
      </c>
      <c r="Y732" s="542">
        <v>23563</v>
      </c>
      <c r="Z732" s="543">
        <f t="shared" ca="1" si="10"/>
        <v>61</v>
      </c>
      <c r="AA732" s="534" t="s">
        <v>4160</v>
      </c>
      <c r="AB732" s="516" t="s">
        <v>4161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1313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713</v>
      </c>
      <c r="D733" s="516" t="s">
        <v>4162</v>
      </c>
      <c r="E733" s="516">
        <f t="shared" si="11"/>
        <v>664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9" t="s">
        <v>630</v>
      </c>
      <c r="W733" s="560" t="s">
        <v>4163</v>
      </c>
      <c r="X733" s="516" t="s">
        <v>876</v>
      </c>
      <c r="Y733" s="542">
        <v>25153</v>
      </c>
      <c r="Z733" s="543">
        <f t="shared" ca="1" si="10"/>
        <v>57</v>
      </c>
      <c r="AA733" s="534" t="s">
        <v>4164</v>
      </c>
      <c r="AB733" s="516" t="s">
        <v>4165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4166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714</v>
      </c>
      <c r="D734" s="516" t="s">
        <v>4167</v>
      </c>
      <c r="E734" s="516">
        <f t="shared" si="11"/>
        <v>665</v>
      </c>
      <c r="F734" s="534" t="s">
        <v>811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38" t="s">
        <v>647</v>
      </c>
      <c r="W734" s="560" t="s">
        <v>4168</v>
      </c>
      <c r="X734" s="516" t="s">
        <v>876</v>
      </c>
      <c r="Y734" s="542">
        <v>25850</v>
      </c>
      <c r="Z734" s="543">
        <f t="shared" ca="1" si="10"/>
        <v>55</v>
      </c>
      <c r="AA734" s="534" t="s">
        <v>4169</v>
      </c>
      <c r="AB734" s="516" t="s">
        <v>4170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4171</v>
      </c>
      <c r="AH734" s="516"/>
      <c r="AI734" s="516"/>
      <c r="AJ734" s="575" t="s">
        <v>1438</v>
      </c>
      <c r="AK734" s="516"/>
      <c r="AL734" s="544"/>
      <c r="AM734" s="544"/>
    </row>
    <row r="735" spans="3:39" ht="18" customHeight="1">
      <c r="C735" s="516">
        <v>715</v>
      </c>
      <c r="D735" s="516" t="s">
        <v>4172</v>
      </c>
      <c r="E735" s="516">
        <f t="shared" si="11"/>
        <v>666</v>
      </c>
      <c r="F735" s="534" t="s">
        <v>811</v>
      </c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1439</v>
      </c>
      <c r="L735" s="535" t="s">
        <v>786</v>
      </c>
      <c r="M735" s="536"/>
      <c r="N735" s="537"/>
      <c r="O735" s="537"/>
      <c r="P735" s="538" t="s">
        <v>4157</v>
      </c>
      <c r="Q735" s="539" t="s">
        <v>308</v>
      </c>
      <c r="R735" s="516"/>
      <c r="S735" s="516"/>
      <c r="T735" s="516"/>
      <c r="U735" s="562" t="s">
        <v>874</v>
      </c>
      <c r="V735" s="638" t="s">
        <v>666</v>
      </c>
      <c r="W735" s="560" t="s">
        <v>4173</v>
      </c>
      <c r="X735" s="516" t="s">
        <v>876</v>
      </c>
      <c r="Y735" s="542">
        <v>25908</v>
      </c>
      <c r="Z735" s="543">
        <f t="shared" ca="1" si="10"/>
        <v>55</v>
      </c>
      <c r="AA735" s="534" t="s">
        <v>4174</v>
      </c>
      <c r="AB735" s="516" t="s">
        <v>4175</v>
      </c>
      <c r="AC735" s="516" t="s">
        <v>842</v>
      </c>
      <c r="AD735" s="516" t="s">
        <v>843</v>
      </c>
      <c r="AE735" s="534" t="s">
        <v>713</v>
      </c>
      <c r="AF735" s="534" t="s">
        <v>713</v>
      </c>
      <c r="AG735" s="534" t="s">
        <v>4176</v>
      </c>
      <c r="AH735" s="516"/>
      <c r="AI735" s="516"/>
      <c r="AJ735" s="575" t="s">
        <v>1438</v>
      </c>
      <c r="AK735" s="516"/>
      <c r="AL735" s="544"/>
      <c r="AM735" s="544"/>
    </row>
    <row r="736" spans="3:39" ht="18" customHeight="1">
      <c r="C736" s="516">
        <v>716</v>
      </c>
      <c r="D736" s="516" t="s">
        <v>4177</v>
      </c>
      <c r="E736" s="516">
        <f t="shared" si="11"/>
        <v>667</v>
      </c>
      <c r="F736" s="534" t="s">
        <v>1310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1439</v>
      </c>
      <c r="L736" s="535" t="s">
        <v>786</v>
      </c>
      <c r="M736" s="536"/>
      <c r="N736" s="537"/>
      <c r="O736" s="537"/>
      <c r="P736" s="538" t="s">
        <v>4157</v>
      </c>
      <c r="Q736" s="539" t="s">
        <v>308</v>
      </c>
      <c r="R736" s="516"/>
      <c r="S736" s="516"/>
      <c r="T736" s="516"/>
      <c r="U736" s="562" t="s">
        <v>874</v>
      </c>
      <c r="V736" s="640" t="s">
        <v>681</v>
      </c>
      <c r="W736" s="560" t="s">
        <v>4178</v>
      </c>
      <c r="X736" s="516" t="s">
        <v>876</v>
      </c>
      <c r="Y736" s="542"/>
      <c r="Z736" s="543"/>
      <c r="AA736" s="534"/>
      <c r="AB736" s="516" t="s">
        <v>4180</v>
      </c>
      <c r="AC736" s="516"/>
      <c r="AD736" s="516" t="s">
        <v>843</v>
      </c>
      <c r="AE736" s="534"/>
      <c r="AF736" s="534"/>
      <c r="AG736" s="534"/>
      <c r="AH736" s="516"/>
      <c r="AI736" s="516"/>
      <c r="AJ736" s="575" t="s">
        <v>1224</v>
      </c>
      <c r="AK736" s="516"/>
      <c r="AL736" s="544"/>
      <c r="AM736" s="544"/>
    </row>
    <row r="737" spans="3:39" ht="18" customHeight="1">
      <c r="C737" s="516">
        <v>717</v>
      </c>
      <c r="D737" s="516" t="s">
        <v>2090</v>
      </c>
      <c r="E737" s="516">
        <f t="shared" si="11"/>
        <v>667</v>
      </c>
      <c r="F737" s="534"/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 t="s">
        <v>786</v>
      </c>
      <c r="M737" s="536"/>
      <c r="N737" s="537"/>
      <c r="O737" s="537"/>
      <c r="P737" s="548" t="s">
        <v>4181</v>
      </c>
      <c r="Q737" s="539"/>
      <c r="R737" s="516" t="s">
        <v>49</v>
      </c>
      <c r="S737" s="516" t="s">
        <v>168</v>
      </c>
      <c r="T737" s="516"/>
      <c r="U737" s="562"/>
      <c r="V737" s="548" t="s">
        <v>212</v>
      </c>
      <c r="W737" s="560" t="s">
        <v>2091</v>
      </c>
      <c r="X737" s="516" t="s">
        <v>876</v>
      </c>
      <c r="Y737" s="542">
        <v>21600</v>
      </c>
      <c r="Z737" s="543">
        <f t="shared" ref="Z737:Z743" ca="1" si="12">DATEDIF(Y737,TODAY(),"Y")</f>
        <v>66</v>
      </c>
      <c r="AA737" s="534" t="s">
        <v>2092</v>
      </c>
      <c r="AB737" s="516"/>
      <c r="AC737" s="516" t="s">
        <v>802</v>
      </c>
      <c r="AD737" s="516" t="s">
        <v>794</v>
      </c>
      <c r="AE737" s="534" t="s">
        <v>809</v>
      </c>
      <c r="AF737" s="534" t="s">
        <v>809</v>
      </c>
      <c r="AG737" s="534" t="s">
        <v>2085</v>
      </c>
      <c r="AH737" s="516" t="s">
        <v>872</v>
      </c>
      <c r="AI737" s="516"/>
      <c r="AJ737" s="516"/>
      <c r="AK737" s="516"/>
      <c r="AL737" s="544"/>
      <c r="AM737" s="544"/>
    </row>
    <row r="738" spans="3:39" ht="18" customHeight="1">
      <c r="C738" s="516">
        <v>718</v>
      </c>
      <c r="D738" s="516" t="s">
        <v>4182</v>
      </c>
      <c r="E738" s="516">
        <f t="shared" si="11"/>
        <v>668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3" t="s">
        <v>612</v>
      </c>
      <c r="W738" s="560" t="s">
        <v>4183</v>
      </c>
      <c r="X738" s="516" t="s">
        <v>876</v>
      </c>
      <c r="Y738" s="542">
        <v>21629</v>
      </c>
      <c r="Z738" s="543">
        <f t="shared" ca="1" si="12"/>
        <v>66</v>
      </c>
      <c r="AA738" s="534" t="s">
        <v>4184</v>
      </c>
      <c r="AB738" s="516"/>
      <c r="AC738" s="516" t="s">
        <v>842</v>
      </c>
      <c r="AD738" s="516" t="s">
        <v>843</v>
      </c>
      <c r="AE738" s="534" t="s">
        <v>809</v>
      </c>
      <c r="AF738" s="534" t="s">
        <v>809</v>
      </c>
      <c r="AG738" s="534" t="s">
        <v>2085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719</v>
      </c>
      <c r="D739" s="516" t="s">
        <v>4186</v>
      </c>
      <c r="E739" s="516">
        <f t="shared" si="11"/>
        <v>669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4" t="s">
        <v>631</v>
      </c>
      <c r="W739" s="560" t="s">
        <v>4187</v>
      </c>
      <c r="X739" s="516" t="s">
        <v>876</v>
      </c>
      <c r="Y739" s="542">
        <v>22009</v>
      </c>
      <c r="Z739" s="543">
        <f t="shared" ca="1" si="12"/>
        <v>65</v>
      </c>
      <c r="AA739" s="334" t="s">
        <v>4188</v>
      </c>
      <c r="AB739" s="516"/>
      <c r="AC739" s="516" t="s">
        <v>842</v>
      </c>
      <c r="AD739" s="516" t="s">
        <v>843</v>
      </c>
      <c r="AE739" s="534" t="s">
        <v>942</v>
      </c>
      <c r="AF739" s="534" t="s">
        <v>942</v>
      </c>
      <c r="AG739" s="534" t="s">
        <v>2179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720</v>
      </c>
      <c r="D740" s="516" t="s">
        <v>4190</v>
      </c>
      <c r="E740" s="516">
        <f t="shared" si="11"/>
        <v>670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648</v>
      </c>
      <c r="W740" s="560" t="s">
        <v>4191</v>
      </c>
      <c r="X740" s="516" t="s">
        <v>876</v>
      </c>
      <c r="Y740" s="542">
        <v>22260</v>
      </c>
      <c r="Z740" s="543">
        <f t="shared" ca="1" si="12"/>
        <v>65</v>
      </c>
      <c r="AA740" s="534" t="s">
        <v>4192</v>
      </c>
      <c r="AB740" s="516"/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721</v>
      </c>
      <c r="D741" s="516" t="s">
        <v>4194</v>
      </c>
      <c r="E741" s="516">
        <f t="shared" si="11"/>
        <v>671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2" t="s">
        <v>667</v>
      </c>
      <c r="W741" s="560" t="s">
        <v>4195</v>
      </c>
      <c r="X741" s="516" t="s">
        <v>876</v>
      </c>
      <c r="Y741" s="542">
        <v>22477</v>
      </c>
      <c r="Z741" s="543">
        <f t="shared" ca="1" si="12"/>
        <v>64</v>
      </c>
      <c r="AA741" s="534" t="s">
        <v>4196</v>
      </c>
      <c r="AB741" s="516"/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2085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16">
        <v>722</v>
      </c>
      <c r="D742" s="516" t="s">
        <v>4197</v>
      </c>
      <c r="E742" s="516">
        <f t="shared" si="11"/>
        <v>672</v>
      </c>
      <c r="F742" s="534" t="s">
        <v>811</v>
      </c>
      <c r="G742" s="534" t="s">
        <v>4128</v>
      </c>
      <c r="H742" s="535" t="s">
        <v>1106</v>
      </c>
      <c r="I742" s="535" t="s">
        <v>80</v>
      </c>
      <c r="J742" s="535" t="s">
        <v>1106</v>
      </c>
      <c r="K742" s="535" t="s">
        <v>2090</v>
      </c>
      <c r="L742" s="535"/>
      <c r="M742" s="536"/>
      <c r="N742" s="537"/>
      <c r="O742" s="537"/>
      <c r="P742" s="540" t="s">
        <v>4181</v>
      </c>
      <c r="Q742" s="539" t="s">
        <v>308</v>
      </c>
      <c r="R742" s="516"/>
      <c r="S742" s="516"/>
      <c r="T742" s="516"/>
      <c r="U742" s="562" t="s">
        <v>874</v>
      </c>
      <c r="V742" s="502" t="s">
        <v>682</v>
      </c>
      <c r="W742" s="560" t="s">
        <v>4198</v>
      </c>
      <c r="X742" s="516" t="s">
        <v>876</v>
      </c>
      <c r="Y742" s="542">
        <v>22929</v>
      </c>
      <c r="Z742" s="543">
        <f t="shared" ca="1" si="12"/>
        <v>63</v>
      </c>
      <c r="AA742" s="534" t="s">
        <v>4199</v>
      </c>
      <c r="AB742" s="516"/>
      <c r="AC742" s="516" t="s">
        <v>842</v>
      </c>
      <c r="AD742" s="516" t="s">
        <v>843</v>
      </c>
      <c r="AE742" s="534" t="s">
        <v>942</v>
      </c>
      <c r="AF742" s="534" t="s">
        <v>942</v>
      </c>
      <c r="AG742" s="534" t="s">
        <v>2179</v>
      </c>
      <c r="AH742" s="516"/>
      <c r="AI742" s="516"/>
      <c r="AJ742" s="575" t="s">
        <v>1438</v>
      </c>
      <c r="AK742" s="516"/>
      <c r="AL742" s="544"/>
      <c r="AM742" s="544"/>
    </row>
    <row r="743" spans="3:39" ht="18" customHeight="1">
      <c r="C743" s="516">
        <v>723</v>
      </c>
      <c r="D743" s="516" t="s">
        <v>4201</v>
      </c>
      <c r="E743" s="516">
        <f t="shared" si="11"/>
        <v>673</v>
      </c>
      <c r="F743" s="534" t="s">
        <v>811</v>
      </c>
      <c r="G743" s="534" t="s">
        <v>4128</v>
      </c>
      <c r="H743" s="535" t="s">
        <v>1106</v>
      </c>
      <c r="I743" s="535" t="s">
        <v>80</v>
      </c>
      <c r="J743" s="535" t="s">
        <v>1106</v>
      </c>
      <c r="K743" s="535" t="s">
        <v>2090</v>
      </c>
      <c r="L743" s="535"/>
      <c r="M743" s="536"/>
      <c r="N743" s="537"/>
      <c r="O743" s="537"/>
      <c r="P743" s="540" t="s">
        <v>4181</v>
      </c>
      <c r="Q743" s="539" t="s">
        <v>308</v>
      </c>
      <c r="R743" s="516"/>
      <c r="S743" s="516"/>
      <c r="T743" s="516"/>
      <c r="U743" s="562" t="s">
        <v>874</v>
      </c>
      <c r="V743" s="505" t="s">
        <v>692</v>
      </c>
      <c r="W743" s="560" t="s">
        <v>4202</v>
      </c>
      <c r="X743" s="516" t="s">
        <v>876</v>
      </c>
      <c r="Y743" s="542">
        <v>23749</v>
      </c>
      <c r="Z743" s="543">
        <f t="shared" ca="1" si="12"/>
        <v>61</v>
      </c>
      <c r="AA743" s="534" t="s">
        <v>4203</v>
      </c>
      <c r="AB743" s="516"/>
      <c r="AC743" s="516" t="s">
        <v>842</v>
      </c>
      <c r="AD743" s="516" t="s">
        <v>843</v>
      </c>
      <c r="AE743" s="534" t="s">
        <v>809</v>
      </c>
      <c r="AF743" s="534" t="s">
        <v>809</v>
      </c>
      <c r="AG743" s="534" t="s">
        <v>4205</v>
      </c>
      <c r="AH743" s="516"/>
      <c r="AI743" s="516"/>
      <c r="AJ743" s="575" t="s">
        <v>1438</v>
      </c>
      <c r="AK743" s="516"/>
      <c r="AL743" s="544"/>
      <c r="AM743" s="544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 t="s">
        <v>4206</v>
      </c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666">
        <v>558</v>
      </c>
      <c r="D746" s="666" t="s">
        <v>4213</v>
      </c>
      <c r="E746" s="666"/>
      <c r="F746" s="667"/>
      <c r="G746" s="667" t="s">
        <v>3451</v>
      </c>
      <c r="H746" s="668" t="s">
        <v>3291</v>
      </c>
      <c r="I746" s="668" t="s">
        <v>3324</v>
      </c>
      <c r="J746" s="668" t="s">
        <v>3450</v>
      </c>
      <c r="K746" s="668" t="s">
        <v>2910</v>
      </c>
      <c r="L746" s="668" t="s">
        <v>4213</v>
      </c>
      <c r="M746" s="669"/>
      <c r="N746" s="670"/>
      <c r="O746" s="670"/>
      <c r="P746" s="671" t="s">
        <v>828</v>
      </c>
      <c r="Q746" s="672"/>
      <c r="R746" s="666" t="s">
        <v>62</v>
      </c>
      <c r="S746" s="666" t="s">
        <v>548</v>
      </c>
      <c r="T746" s="666"/>
      <c r="U746" s="666" t="s">
        <v>898</v>
      </c>
      <c r="V746" s="671" t="s">
        <v>506</v>
      </c>
      <c r="W746" s="696" t="s">
        <v>4222</v>
      </c>
      <c r="X746" s="666" t="s">
        <v>876</v>
      </c>
      <c r="Y746" s="675">
        <v>19473</v>
      </c>
      <c r="Z746" s="676">
        <f ca="1">DATEDIF(Y746,TODAY(),"Y")</f>
        <v>72</v>
      </c>
      <c r="AA746" s="667" t="s">
        <v>4261</v>
      </c>
      <c r="AB746" s="666"/>
      <c r="AC746" s="666" t="s">
        <v>842</v>
      </c>
      <c r="AD746" s="666" t="s">
        <v>843</v>
      </c>
      <c r="AE746" s="667" t="s">
        <v>236</v>
      </c>
      <c r="AF746" s="667" t="s">
        <v>236</v>
      </c>
      <c r="AG746" s="667" t="s">
        <v>3409</v>
      </c>
      <c r="AH746" s="666"/>
      <c r="AI746" s="666" t="s">
        <v>4206</v>
      </c>
      <c r="AJ746" s="666" t="s">
        <v>976</v>
      </c>
      <c r="AK746" s="666" t="s">
        <v>1863</v>
      </c>
      <c r="AL746" s="544"/>
      <c r="AM746" s="544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515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515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515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  <row r="756" spans="3:39" ht="18" customHeight="1">
      <c r="C756" s="506"/>
      <c r="D756" s="506"/>
      <c r="E756" s="506"/>
      <c r="F756" s="641"/>
      <c r="G756" s="515"/>
      <c r="H756" s="641"/>
      <c r="I756" s="641"/>
      <c r="J756" s="641"/>
      <c r="K756" s="641"/>
      <c r="L756" s="641"/>
      <c r="M756" s="642"/>
      <c r="N756" s="642"/>
      <c r="O756" s="642"/>
      <c r="P756" s="515"/>
      <c r="Q756" s="506"/>
      <c r="R756" s="506"/>
      <c r="S756" s="506"/>
      <c r="T756" s="506"/>
      <c r="U756" s="506"/>
      <c r="V756" s="515"/>
      <c r="W756" s="643"/>
      <c r="X756" s="506"/>
      <c r="Y756" s="644"/>
      <c r="Z756" s="645"/>
      <c r="AA756" s="515"/>
      <c r="AB756" s="506"/>
      <c r="AC756" s="506"/>
      <c r="AD756" s="506"/>
      <c r="AE756" s="515"/>
      <c r="AF756" s="515"/>
      <c r="AG756" s="515"/>
      <c r="AH756" s="506"/>
      <c r="AI756" s="506"/>
      <c r="AJ756" s="646"/>
      <c r="AK756" s="506"/>
      <c r="AL756" s="647"/>
      <c r="AM756" s="647"/>
    </row>
    <row r="757" spans="3:39" ht="18" customHeight="1">
      <c r="C757" s="506"/>
      <c r="D757" s="506"/>
      <c r="E757" s="506"/>
      <c r="F757" s="641"/>
      <c r="G757" s="641"/>
      <c r="H757" s="641"/>
      <c r="I757" s="641"/>
      <c r="J757" s="641"/>
      <c r="K757" s="641"/>
      <c r="L757" s="641"/>
      <c r="M757" s="642"/>
      <c r="N757" s="642"/>
      <c r="O757" s="642"/>
      <c r="P757" s="515"/>
      <c r="Q757" s="506"/>
      <c r="R757" s="506"/>
      <c r="S757" s="506"/>
      <c r="T757" s="506"/>
      <c r="U757" s="506"/>
      <c r="V757" s="515"/>
      <c r="W757" s="643"/>
      <c r="X757" s="506"/>
      <c r="Y757" s="644"/>
      <c r="Z757" s="645"/>
      <c r="AA757" s="515"/>
      <c r="AB757" s="506"/>
      <c r="AC757" s="506"/>
      <c r="AD757" s="506"/>
      <c r="AE757" s="515"/>
      <c r="AF757" s="515"/>
      <c r="AG757" s="515"/>
      <c r="AH757" s="506"/>
      <c r="AI757" s="506"/>
      <c r="AJ757" s="646"/>
      <c r="AK757" s="506"/>
      <c r="AL757" s="647"/>
      <c r="AM757" s="647"/>
    </row>
    <row r="758" spans="3:39" ht="18" customHeight="1">
      <c r="C758" s="506"/>
      <c r="D758" s="506"/>
      <c r="E758" s="506"/>
      <c r="F758" s="641"/>
      <c r="G758" s="641"/>
      <c r="H758" s="641"/>
      <c r="I758" s="641"/>
      <c r="J758" s="641"/>
      <c r="K758" s="641"/>
      <c r="L758" s="641"/>
      <c r="M758" s="642"/>
      <c r="N758" s="642"/>
      <c r="O758" s="642"/>
      <c r="P758" s="515"/>
      <c r="Q758" s="506"/>
      <c r="R758" s="506"/>
      <c r="S758" s="506"/>
      <c r="T758" s="506"/>
      <c r="U758" s="506"/>
      <c r="V758" s="515"/>
      <c r="W758" s="643"/>
      <c r="X758" s="506"/>
      <c r="Y758" s="644"/>
      <c r="Z758" s="645"/>
      <c r="AA758" s="515"/>
      <c r="AB758" s="506"/>
      <c r="AC758" s="506"/>
      <c r="AD758" s="506"/>
      <c r="AE758" s="515"/>
      <c r="AF758" s="515"/>
      <c r="AG758" s="515"/>
      <c r="AH758" s="506"/>
      <c r="AI758" s="506"/>
      <c r="AJ758" s="646"/>
      <c r="AK758" s="506"/>
      <c r="AL758" s="647"/>
      <c r="AM758" s="647"/>
    </row>
    <row r="759" spans="3:39" ht="18" customHeight="1">
      <c r="C759" s="506"/>
      <c r="D759" s="506"/>
      <c r="E759" s="506"/>
      <c r="F759" s="641"/>
      <c r="G759" s="641"/>
      <c r="H759" s="641"/>
      <c r="I759" s="641"/>
      <c r="J759" s="641"/>
      <c r="K759" s="641"/>
      <c r="L759" s="641"/>
      <c r="M759" s="642"/>
      <c r="N759" s="642"/>
      <c r="O759" s="642"/>
      <c r="P759" s="515"/>
      <c r="Q759" s="506"/>
      <c r="R759" s="506"/>
      <c r="S759" s="506"/>
      <c r="T759" s="506"/>
      <c r="U759" s="506"/>
      <c r="V759" s="515"/>
      <c r="W759" s="643"/>
      <c r="X759" s="506"/>
      <c r="Y759" s="644"/>
      <c r="Z759" s="645"/>
      <c r="AA759" s="515"/>
      <c r="AB759" s="506"/>
      <c r="AC759" s="506"/>
      <c r="AD759" s="506"/>
      <c r="AE759" s="515"/>
      <c r="AF759" s="515"/>
      <c r="AG759" s="515"/>
      <c r="AH759" s="506"/>
      <c r="AI759" s="506"/>
      <c r="AJ759" s="646"/>
      <c r="AK759" s="506"/>
      <c r="AL759" s="647"/>
      <c r="AM759" s="647"/>
    </row>
    <row r="760" spans="3:39" ht="18" customHeight="1">
      <c r="C760" s="506"/>
      <c r="D760" s="506"/>
      <c r="E760" s="506"/>
      <c r="F760" s="641"/>
      <c r="G760" s="515"/>
      <c r="H760" s="641"/>
      <c r="I760" s="641"/>
      <c r="J760" s="641"/>
      <c r="K760" s="641"/>
      <c r="L760" s="641"/>
      <c r="M760" s="642"/>
      <c r="N760" s="642"/>
      <c r="O760" s="642"/>
      <c r="P760" s="515"/>
      <c r="Q760" s="506"/>
      <c r="R760" s="506"/>
      <c r="S760" s="506"/>
      <c r="T760" s="506"/>
      <c r="U760" s="506"/>
      <c r="V760" s="515"/>
      <c r="W760" s="643"/>
      <c r="X760" s="506"/>
      <c r="Y760" s="644"/>
      <c r="Z760" s="645"/>
      <c r="AA760" s="515"/>
      <c r="AB760" s="506"/>
      <c r="AC760" s="506"/>
      <c r="AD760" s="506"/>
      <c r="AE760" s="515"/>
      <c r="AF760" s="515"/>
      <c r="AG760" s="515"/>
      <c r="AH760" s="506"/>
      <c r="AI760" s="506"/>
      <c r="AJ760" s="646"/>
      <c r="AK760" s="506"/>
      <c r="AL760" s="647"/>
      <c r="AM760" s="647"/>
    </row>
    <row r="761" spans="3:39" ht="18" customHeight="1">
      <c r="C761" s="506"/>
      <c r="D761" s="506"/>
      <c r="E761" s="506"/>
      <c r="F761" s="641"/>
      <c r="G761" s="515"/>
      <c r="H761" s="641"/>
      <c r="I761" s="641"/>
      <c r="J761" s="641"/>
      <c r="K761" s="641"/>
      <c r="L761" s="641"/>
      <c r="M761" s="642"/>
      <c r="N761" s="642"/>
      <c r="O761" s="642"/>
      <c r="P761" s="515"/>
      <c r="Q761" s="506"/>
      <c r="R761" s="506"/>
      <c r="S761" s="506"/>
      <c r="T761" s="506"/>
      <c r="U761" s="506"/>
      <c r="V761" s="515"/>
      <c r="W761" s="643"/>
      <c r="X761" s="506"/>
      <c r="Y761" s="644"/>
      <c r="Z761" s="645"/>
      <c r="AA761" s="515"/>
      <c r="AB761" s="506"/>
      <c r="AC761" s="506"/>
      <c r="AD761" s="506"/>
      <c r="AE761" s="515"/>
      <c r="AF761" s="515"/>
      <c r="AG761" s="515"/>
      <c r="AH761" s="506"/>
      <c r="AI761" s="506"/>
      <c r="AJ761" s="646"/>
      <c r="AK761" s="506"/>
      <c r="AL761" s="647"/>
      <c r="AM761" s="647"/>
    </row>
  </sheetData>
  <autoFilter ref="C20:AM743" xr:uid="{00000000-0009-0000-0000-000006000000}"/>
  <mergeCells count="1">
    <mergeCell ref="A102:B102"/>
  </mergeCells>
  <phoneticPr fontId="139" type="noConversion"/>
  <conditionalFormatting sqref="C20:U761 AI20:AI386 V20:V726 W20:AH761 AJ20:AK761 AI388:AI761 V731 V737 V744:V761">
    <cfRule type="expression" dxfId="97" priority="15">
      <formula>$AH20="중복"</formula>
    </cfRule>
  </conditionalFormatting>
  <conditionalFormatting sqref="D19">
    <cfRule type="expression" dxfId="96" priority="2">
      <formula>$AI19="출결제외"</formula>
    </cfRule>
    <cfRule type="containsText" dxfId="95" priority="3" operator="containsText" text="출결제외">
      <formula>NOT(ISERROR(SEARCH(("출결제외"),(D19))))</formula>
    </cfRule>
  </conditionalFormatting>
  <conditionalFormatting sqref="E22 E24 E26 E28 E30 E32 E34:E36 E38:E42 E44 E46:E54 E56:E59 E61 E63 E65:E743 E746">
    <cfRule type="expression" dxfId="94" priority="4">
      <formula>$AH22="중복"</formula>
    </cfRule>
    <cfRule type="containsText" dxfId="93" priority="5" operator="containsText" text="출결제외">
      <formula>NOT(ISERROR(SEARCH(("출결제외"),(E22))))</formula>
    </cfRule>
    <cfRule type="expression" dxfId="92" priority="6">
      <formula>$AH22="출결제외"</formula>
    </cfRule>
  </conditionalFormatting>
  <conditionalFormatting sqref="F21:F761">
    <cfRule type="containsText" dxfId="91" priority="7" operator="containsText" text="카자흐스탄(악토베)">
      <formula>NOT(ISERROR(SEARCH(("카자흐스탄(악토베)"),(F21))))</formula>
    </cfRule>
    <cfRule type="containsText" dxfId="90" priority="8" operator="containsText" text="우즈베키스탄(타슈켄트)">
      <formula>NOT(ISERROR(SEARCH(("우즈베키스탄(타슈켄트)"),(F21))))</formula>
    </cfRule>
    <cfRule type="containsText" dxfId="89" priority="9" operator="containsText" text="러시아(모스크바)">
      <formula>NOT(ISERROR(SEARCH(("러시아(모스크바)"),(F21))))</formula>
    </cfRule>
    <cfRule type="containsText" dxfId="88" priority="10" operator="containsText" text="카자흐스탄(알마티)">
      <formula>NOT(ISERROR(SEARCH(("카자흐스탄(알마티)"),(F21))))</formula>
    </cfRule>
    <cfRule type="containsText" dxfId="87" priority="11" operator="containsText" text="우크라이나(키이우)">
      <formula>NOT(ISERROR(SEARCH(("우크라이나(키이우)"),(F21))))</formula>
    </cfRule>
    <cfRule type="containsText" dxfId="86" priority="12" operator="containsText" text="크림공화국">
      <formula>NOT(ISERROR(SEARCH(("크림공화국"),(F21))))</formula>
    </cfRule>
    <cfRule type="containsText" dxfId="85" priority="13" operator="containsText" text="해외개척">
      <formula>NOT(ISERROR(SEARCH(("해외개척"),(F21))))</formula>
    </cfRule>
    <cfRule type="containsText" dxfId="84" priority="14" operator="containsText" text="국내성도">
      <formula>NOT(ISERROR(SEARCH(("국내성도"),(F21))))</formula>
    </cfRule>
  </conditionalFormatting>
  <conditionalFormatting sqref="U21:U761">
    <cfRule type="containsText" dxfId="83" priority="17" operator="containsText" text="6유년">
      <formula>NOT(ISERROR(SEARCH(("6유년"),(U21))))</formula>
    </cfRule>
    <cfRule type="containsText" dxfId="82" priority="18" operator="containsText" text="5학생">
      <formula>NOT(ISERROR(SEARCH(("5학생"),(U21))))</formula>
    </cfRule>
    <cfRule type="containsText" dxfId="81" priority="19" operator="containsText" text="4청년">
      <formula>NOT(ISERROR(SEARCH(("4청년"),(U21))))</formula>
    </cfRule>
    <cfRule type="containsText" dxfId="80" priority="20" operator="containsText" text="3부녀">
      <formula>NOT(ISERROR(SEARCH(("3부녀"),(U21))))</formula>
    </cfRule>
    <cfRule type="containsText" dxfId="79" priority="21" operator="containsText" text="2장년">
      <formula>NOT(ISERROR(SEARCH(("2장년"),(U21))))</formula>
    </cfRule>
    <cfRule type="containsText" dxfId="78" priority="22" operator="containsText" text="1자문">
      <formula>NOT(ISERROR(SEARCH(("1자문"),(U21))))</formula>
    </cfRule>
  </conditionalFormatting>
  <conditionalFormatting sqref="AI20:AI386 V20:V726 C20:U761 W20:AH761 AJ20:AK761 AI388:AI761 V731 V737 V744:V761">
    <cfRule type="expression" dxfId="77" priority="1">
      <formula>$AH20="출결제외"</formula>
    </cfRule>
    <cfRule type="containsText" dxfId="76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3 F746 U21:U743 U746" xr:uid="{00000000-0002-0000-0600-000000000000}">
      <formula1>#REF!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2EFD9"/>
    <pageSetUpPr fitToPage="1"/>
  </sheetPr>
  <dimension ref="A1:DC344"/>
  <sheetViews>
    <sheetView workbookViewId="0"/>
  </sheetViews>
  <sheetFormatPr defaultColWidth="14.44140625" defaultRowHeight="15" customHeight="1"/>
  <cols>
    <col min="1" max="1" width="5.44140625" customWidth="1"/>
    <col min="2" max="2" width="24.109375" customWidth="1"/>
    <col min="3" max="3" width="4.88671875" customWidth="1"/>
    <col min="4" max="4" width="1.88671875" customWidth="1"/>
    <col min="5" max="5" width="17" customWidth="1"/>
    <col min="6" max="6" width="4.88671875" customWidth="1"/>
    <col min="7" max="7" width="1.44140625" customWidth="1"/>
    <col min="8" max="8" width="17.88671875" customWidth="1"/>
    <col min="9" max="9" width="4.88671875" customWidth="1"/>
    <col min="10" max="10" width="1.44140625" customWidth="1"/>
    <col min="11" max="11" width="23.109375" customWidth="1"/>
    <col min="12" max="12" width="4.88671875" customWidth="1"/>
    <col min="13" max="13" width="1.44140625" customWidth="1"/>
    <col min="14" max="14" width="24.88671875" customWidth="1"/>
    <col min="15" max="15" width="4.6640625" customWidth="1"/>
    <col min="16" max="16" width="3.33203125" customWidth="1"/>
    <col min="17" max="17" width="17.88671875" customWidth="1"/>
    <col min="18" max="18" width="4.88671875" customWidth="1"/>
    <col min="19" max="19" width="2.44140625" customWidth="1"/>
    <col min="20" max="20" width="20.88671875" customWidth="1"/>
    <col min="21" max="21" width="4.88671875" customWidth="1"/>
    <col min="22" max="22" width="1.44140625" customWidth="1"/>
    <col min="23" max="23" width="17.6640625" customWidth="1"/>
    <col min="24" max="24" width="5.6640625" customWidth="1"/>
    <col min="25" max="25" width="2" customWidth="1"/>
    <col min="26" max="26" width="18.88671875" customWidth="1"/>
    <col min="27" max="27" width="4.88671875" customWidth="1"/>
    <col min="28" max="28" width="1.44140625" customWidth="1"/>
    <col min="29" max="29" width="16.5546875" customWidth="1"/>
    <col min="30" max="30" width="4.88671875" customWidth="1"/>
    <col min="31" max="31" width="1.44140625" customWidth="1"/>
    <col min="32" max="32" width="15.109375" customWidth="1"/>
    <col min="33" max="33" width="5.44140625" customWidth="1"/>
    <col min="34" max="34" width="2.44140625" customWidth="1"/>
    <col min="35" max="35" width="13.5546875" customWidth="1"/>
    <col min="36" max="36" width="4.88671875" customWidth="1"/>
    <col min="37" max="37" width="1.6640625" customWidth="1"/>
    <col min="38" max="38" width="14.5546875" customWidth="1"/>
    <col min="39" max="39" width="4.88671875" customWidth="1"/>
    <col min="40" max="40" width="1.5546875" customWidth="1"/>
    <col min="41" max="41" width="21.33203125" customWidth="1"/>
    <col min="42" max="42" width="4.88671875" customWidth="1"/>
    <col min="43" max="43" width="2.109375" customWidth="1"/>
    <col min="44" max="44" width="13.5546875" customWidth="1"/>
    <col min="45" max="45" width="4.88671875" customWidth="1"/>
    <col min="46" max="46" width="2.33203125" customWidth="1"/>
    <col min="47" max="47" width="14.44140625" customWidth="1"/>
    <col min="48" max="48" width="4.88671875" customWidth="1"/>
    <col min="49" max="49" width="2.33203125" customWidth="1"/>
    <col min="50" max="50" width="15.44140625" customWidth="1"/>
    <col min="51" max="51" width="6.88671875" customWidth="1"/>
    <col min="52" max="52" width="3.109375" customWidth="1"/>
    <col min="53" max="53" width="18.5546875" customWidth="1"/>
    <col min="54" max="54" width="6.44140625" customWidth="1"/>
    <col min="55" max="55" width="2.88671875" customWidth="1"/>
    <col min="56" max="56" width="17.6640625" customWidth="1"/>
    <col min="57" max="57" width="5.109375" customWidth="1"/>
    <col min="58" max="58" width="3.109375" customWidth="1"/>
    <col min="59" max="59" width="19.109375" customWidth="1"/>
    <col min="60" max="60" width="5.6640625" customWidth="1"/>
    <col min="61" max="61" width="19.109375" customWidth="1"/>
    <col min="62" max="63" width="3.33203125" customWidth="1"/>
    <col min="64" max="64" width="21.6640625" customWidth="1"/>
    <col min="65" max="65" width="7.109375" customWidth="1"/>
    <col min="66" max="66" width="3.109375" customWidth="1"/>
    <col min="67" max="67" width="18" customWidth="1"/>
    <col min="68" max="68" width="5.6640625" customWidth="1"/>
    <col min="69" max="69" width="3.109375" customWidth="1"/>
    <col min="70" max="70" width="21.109375" customWidth="1"/>
    <col min="71" max="71" width="5.6640625" customWidth="1"/>
    <col min="72" max="72" width="3.109375" customWidth="1"/>
    <col min="73" max="73" width="21.5546875" customWidth="1"/>
    <col min="74" max="74" width="6.44140625" customWidth="1"/>
    <col min="75" max="75" width="3" customWidth="1"/>
    <col min="76" max="76" width="21.5546875" customWidth="1"/>
    <col min="77" max="77" width="6.6640625" customWidth="1"/>
    <col min="78" max="78" width="3" customWidth="1"/>
    <col min="79" max="79" width="20.44140625" customWidth="1"/>
    <col min="80" max="80" width="5.6640625" customWidth="1"/>
    <col min="81" max="81" width="3.109375" customWidth="1"/>
    <col min="82" max="82" width="18" customWidth="1"/>
    <col min="83" max="83" width="5.6640625" customWidth="1"/>
    <col min="84" max="84" width="3.109375" customWidth="1"/>
    <col min="85" max="85" width="18" customWidth="1"/>
    <col min="86" max="86" width="5.6640625" customWidth="1"/>
    <col min="87" max="87" width="3.109375" customWidth="1"/>
    <col min="88" max="88" width="15.109375" customWidth="1"/>
    <col min="89" max="90" width="3.109375" customWidth="1"/>
    <col min="91" max="91" width="22.33203125" customWidth="1"/>
    <col min="92" max="92" width="6.88671875" customWidth="1"/>
    <col min="93" max="93" width="3.5546875" customWidth="1"/>
    <col min="94" max="94" width="20.44140625" customWidth="1"/>
    <col min="95" max="95" width="5.6640625" customWidth="1"/>
    <col min="96" max="96" width="3.88671875" customWidth="1"/>
    <col min="97" max="97" width="20.44140625" customWidth="1"/>
    <col min="98" max="98" width="5.6640625" customWidth="1"/>
    <col min="99" max="99" width="3.109375" customWidth="1"/>
    <col min="100" max="100" width="18" customWidth="1"/>
    <col min="101" max="101" width="5.6640625" customWidth="1"/>
    <col min="102" max="102" width="3.109375" customWidth="1"/>
    <col min="103" max="103" width="18" customWidth="1"/>
    <col min="104" max="104" width="5.6640625" customWidth="1"/>
    <col min="105" max="105" width="3.109375" customWidth="1"/>
    <col min="106" max="106" width="18" customWidth="1"/>
    <col min="107" max="107" width="5.6640625" customWidth="1"/>
  </cols>
  <sheetData>
    <row r="1" spans="1:107" ht="9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40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95" t="s">
        <v>0</v>
      </c>
      <c r="AI2" s="754"/>
      <c r="AJ2" s="754"/>
      <c r="AK2" s="754"/>
      <c r="AL2" s="754"/>
      <c r="AM2" s="754"/>
      <c r="AN2" s="754"/>
      <c r="AO2" s="754"/>
      <c r="AP2" s="754"/>
      <c r="AQ2" s="754"/>
      <c r="AR2" s="754"/>
      <c r="AS2" s="3"/>
      <c r="AT2" s="3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9.75" customHeight="1">
      <c r="A3" s="1"/>
      <c r="B3" s="4"/>
      <c r="C3" s="3"/>
      <c r="D3" s="3"/>
      <c r="E3" s="3"/>
      <c r="F3" s="3"/>
      <c r="G3" s="3"/>
      <c r="H3" s="1"/>
      <c r="I3" s="2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754"/>
      <c r="AI3" s="754"/>
      <c r="AJ3" s="754"/>
      <c r="AK3" s="754"/>
      <c r="AL3" s="754"/>
      <c r="AM3" s="754"/>
      <c r="AN3" s="754"/>
      <c r="AO3" s="754"/>
      <c r="AP3" s="754"/>
      <c r="AQ3" s="754"/>
      <c r="AR3" s="754"/>
      <c r="AS3" s="4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9.75" customHeight="1">
      <c r="A4" s="1"/>
      <c r="B4" s="2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2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5"/>
      <c r="AV4" s="796"/>
      <c r="AW4" s="754"/>
      <c r="AX4" s="796" t="s">
        <v>4262</v>
      </c>
      <c r="AY4" s="754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9.75" customHeight="1">
      <c r="A5" s="8"/>
      <c r="B5" s="9"/>
      <c r="C5" s="8"/>
      <c r="D5" s="8"/>
      <c r="E5" s="8"/>
      <c r="F5" s="8"/>
      <c r="G5" s="9"/>
      <c r="H5" s="8"/>
      <c r="I5" s="9"/>
      <c r="J5" s="8"/>
      <c r="K5" s="8"/>
      <c r="L5" s="8"/>
      <c r="M5" s="8"/>
      <c r="N5" s="9"/>
      <c r="O5" s="8"/>
      <c r="P5" s="8"/>
      <c r="Q5" s="9"/>
      <c r="R5" s="9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</row>
    <row r="6" spans="1:107" ht="15" customHeight="1">
      <c r="A6" s="8"/>
      <c r="B6" s="9"/>
      <c r="C6" s="8"/>
      <c r="D6" s="8"/>
      <c r="E6" s="8"/>
      <c r="F6" s="8"/>
      <c r="G6" s="8"/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797" t="s">
        <v>1</v>
      </c>
      <c r="AK6" s="788"/>
      <c r="AL6" s="788"/>
      <c r="AM6" s="788"/>
      <c r="AN6" s="789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</row>
    <row r="7" spans="1:107" ht="15" customHeight="1">
      <c r="A7" s="8"/>
      <c r="B7" s="9"/>
      <c r="C7" s="8"/>
      <c r="D7" s="8"/>
      <c r="E7" s="8"/>
      <c r="F7" s="8"/>
      <c r="G7" s="8"/>
      <c r="H7" s="8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798" t="s">
        <v>2</v>
      </c>
      <c r="AF7" s="767"/>
      <c r="AG7" s="767"/>
      <c r="AH7" s="9"/>
      <c r="AI7" s="9"/>
      <c r="AJ7" s="10" t="s">
        <v>3</v>
      </c>
      <c r="AK7" s="799" t="s">
        <v>4</v>
      </c>
      <c r="AL7" s="791"/>
      <c r="AM7" s="791"/>
      <c r="AN7" s="800"/>
      <c r="AO7" s="9"/>
      <c r="AP7" s="801" t="s">
        <v>5</v>
      </c>
      <c r="AQ7" s="754"/>
      <c r="AR7" s="754"/>
      <c r="AS7" s="754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6"/>
      <c r="BN7" s="6"/>
      <c r="BO7" s="6"/>
      <c r="BP7" s="6"/>
      <c r="BQ7" s="6"/>
      <c r="BR7" s="6"/>
      <c r="BS7" s="8"/>
      <c r="BT7" s="6"/>
      <c r="BU7" s="6"/>
      <c r="BV7" s="6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8"/>
      <c r="CW7" s="6"/>
      <c r="CX7" s="8"/>
      <c r="CY7" s="6"/>
      <c r="CZ7" s="6"/>
      <c r="DA7" s="6"/>
      <c r="DB7" s="6"/>
      <c r="DC7" s="6"/>
    </row>
    <row r="8" spans="1:107" ht="15" customHeight="1">
      <c r="A8" s="8"/>
      <c r="B8" s="9"/>
      <c r="C8" s="8"/>
      <c r="D8" s="8"/>
      <c r="E8" s="8"/>
      <c r="F8" s="8"/>
      <c r="G8" s="8"/>
      <c r="H8" s="8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797" t="s">
        <v>6</v>
      </c>
      <c r="AF8" s="789"/>
      <c r="AG8" s="802" t="s">
        <v>7</v>
      </c>
      <c r="AH8" s="789"/>
      <c r="AI8" s="12"/>
      <c r="AJ8" s="9"/>
      <c r="AK8" s="9"/>
      <c r="AL8" s="9"/>
      <c r="AM8" s="13"/>
      <c r="AN8" s="12"/>
      <c r="AO8" s="12"/>
      <c r="AP8" s="803" t="s">
        <v>8</v>
      </c>
      <c r="AQ8" s="757"/>
      <c r="AR8" s="758"/>
      <c r="AS8" s="804" t="s">
        <v>9</v>
      </c>
      <c r="AT8" s="75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6"/>
      <c r="BN8" s="6"/>
      <c r="BO8" s="6"/>
      <c r="BP8" s="6"/>
      <c r="BQ8" s="6"/>
      <c r="BR8" s="6"/>
      <c r="BS8" s="8"/>
      <c r="BT8" s="6"/>
      <c r="BU8" s="6"/>
      <c r="BV8" s="6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8"/>
      <c r="CW8" s="6"/>
      <c r="CX8" s="8"/>
      <c r="CY8" s="6"/>
      <c r="CZ8" s="6"/>
      <c r="DA8" s="6"/>
      <c r="DB8" s="6"/>
      <c r="DC8" s="6"/>
    </row>
    <row r="9" spans="1:107" ht="15" customHeight="1">
      <c r="A9" s="8"/>
      <c r="B9" s="9"/>
      <c r="C9" s="8"/>
      <c r="D9" s="8"/>
      <c r="E9" s="8"/>
      <c r="F9" s="8"/>
      <c r="G9" s="8"/>
      <c r="H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09" t="s">
        <v>10</v>
      </c>
      <c r="AF9" s="806"/>
      <c r="AG9" s="805" t="s">
        <v>9</v>
      </c>
      <c r="AH9" s="806"/>
      <c r="AI9" s="9"/>
      <c r="AJ9" s="9"/>
      <c r="AK9" s="9"/>
      <c r="AL9" s="9"/>
      <c r="AM9" s="13"/>
      <c r="AN9" s="9"/>
      <c r="AO9" s="9"/>
      <c r="AP9" s="807" t="s">
        <v>11</v>
      </c>
      <c r="AQ9" s="773"/>
      <c r="AR9" s="762"/>
      <c r="AS9" s="808" t="s">
        <v>12</v>
      </c>
      <c r="AT9" s="758"/>
      <c r="AU9" s="9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6"/>
      <c r="BN9" s="6"/>
      <c r="BO9" s="6"/>
      <c r="BP9" s="6"/>
      <c r="BQ9" s="6"/>
      <c r="BR9" s="6"/>
      <c r="BS9" s="8"/>
      <c r="BT9" s="6"/>
      <c r="BU9" s="6"/>
      <c r="BV9" s="6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8"/>
      <c r="CW9" s="6"/>
      <c r="CX9" s="8"/>
      <c r="CY9" s="6"/>
      <c r="CZ9" s="6"/>
      <c r="DA9" s="6"/>
      <c r="DB9" s="6"/>
      <c r="DC9" s="6"/>
    </row>
    <row r="10" spans="1:107" ht="15" customHeight="1">
      <c r="A10" s="8"/>
      <c r="B10" s="9"/>
      <c r="C10" s="8"/>
      <c r="D10" s="8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10" t="s">
        <v>13</v>
      </c>
      <c r="AF10" s="770"/>
      <c r="AG10" s="776" t="s">
        <v>14</v>
      </c>
      <c r="AH10" s="770"/>
      <c r="AI10" s="9"/>
      <c r="AJ10" s="9"/>
      <c r="AK10" s="9"/>
      <c r="AL10" s="9"/>
      <c r="AM10" s="13"/>
      <c r="AN10" s="9"/>
      <c r="AO10" s="9"/>
      <c r="AP10" s="756" t="s">
        <v>11</v>
      </c>
      <c r="AQ10" s="757"/>
      <c r="AR10" s="758"/>
      <c r="AS10" s="759" t="s">
        <v>15</v>
      </c>
      <c r="AT10" s="760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6"/>
      <c r="BN10" s="6"/>
      <c r="BO10" s="6"/>
      <c r="BP10" s="6"/>
      <c r="BQ10" s="6"/>
      <c r="BR10" s="6"/>
      <c r="BS10" s="8"/>
      <c r="BT10" s="6"/>
      <c r="BU10" s="6"/>
      <c r="BV10" s="6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8"/>
      <c r="CW10" s="6"/>
      <c r="CX10" s="8"/>
      <c r="CY10" s="6"/>
      <c r="CZ10" s="6"/>
      <c r="DA10" s="6"/>
      <c r="DB10" s="6"/>
      <c r="DC10" s="6"/>
    </row>
    <row r="11" spans="1:107" ht="15" customHeight="1">
      <c r="A11" s="8"/>
      <c r="B11" s="9"/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3"/>
      <c r="AN11" s="9"/>
      <c r="AO11" s="9"/>
      <c r="AP11" s="756" t="s">
        <v>16</v>
      </c>
      <c r="AQ11" s="757"/>
      <c r="AR11" s="758"/>
      <c r="AS11" s="759" t="s">
        <v>17</v>
      </c>
      <c r="AT11" s="760"/>
      <c r="AU11" s="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6"/>
      <c r="BN11" s="6"/>
      <c r="BO11" s="6"/>
      <c r="BP11" s="6"/>
      <c r="BQ11" s="6"/>
      <c r="BR11" s="6"/>
      <c r="BS11" s="8"/>
      <c r="BT11" s="6"/>
      <c r="BU11" s="6"/>
      <c r="BV11" s="6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8"/>
      <c r="CW11" s="6"/>
      <c r="CX11" s="8"/>
      <c r="CY11" s="6"/>
      <c r="CZ11" s="6"/>
      <c r="DA11" s="6"/>
      <c r="DB11" s="6"/>
      <c r="DC11" s="6"/>
    </row>
    <row r="12" spans="1:107" ht="15" customHeight="1">
      <c r="A12" s="8"/>
      <c r="B12" s="9"/>
      <c r="C12" s="8"/>
      <c r="D12" s="8"/>
      <c r="E12" s="8"/>
      <c r="F12" s="8"/>
      <c r="G12" s="8"/>
      <c r="H12" s="8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9"/>
      <c r="AF12" s="9"/>
      <c r="AG12" s="9"/>
      <c r="AH12" s="9"/>
      <c r="AI12" s="9"/>
      <c r="AJ12" s="9"/>
      <c r="AK12" s="9"/>
      <c r="AL12" s="9"/>
      <c r="AM12" s="13"/>
      <c r="AN12" s="9"/>
      <c r="AO12" s="9"/>
      <c r="AP12" s="9"/>
      <c r="AQ12" s="9"/>
      <c r="AR12" s="9"/>
      <c r="AS12" s="9"/>
      <c r="AT12" s="9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6"/>
      <c r="BN12" s="6"/>
      <c r="BO12" s="6"/>
      <c r="BP12" s="6"/>
      <c r="BQ12" s="6"/>
      <c r="BR12" s="6"/>
      <c r="BS12" s="8"/>
      <c r="BT12" s="6"/>
      <c r="BU12" s="6"/>
      <c r="BV12" s="6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8"/>
      <c r="CW12" s="6"/>
      <c r="CX12" s="8"/>
      <c r="CY12" s="6"/>
      <c r="CZ12" s="6"/>
      <c r="DA12" s="6"/>
      <c r="DB12" s="6"/>
      <c r="DC12" s="6"/>
    </row>
    <row r="13" spans="1:107" ht="15" customHeight="1">
      <c r="A13" s="8"/>
      <c r="B13" s="9"/>
      <c r="C13" s="8"/>
      <c r="D13" s="8"/>
      <c r="E13" s="8"/>
      <c r="F13" s="8"/>
      <c r="G13" s="8"/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9"/>
      <c r="AF13" s="9"/>
      <c r="AG13" s="9"/>
      <c r="AH13" s="9"/>
      <c r="AI13" s="9"/>
      <c r="AJ13" s="14"/>
      <c r="AK13" s="9"/>
      <c r="AL13" s="9"/>
      <c r="AM13" s="13"/>
      <c r="AN13" s="9"/>
      <c r="AO13" s="9"/>
      <c r="AP13" s="9"/>
      <c r="AQ13" s="9"/>
      <c r="AR13" s="9"/>
      <c r="AS13" s="9"/>
      <c r="AT13" s="9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6"/>
      <c r="BN13" s="6"/>
      <c r="BO13" s="6"/>
      <c r="BP13" s="6"/>
      <c r="BQ13" s="6"/>
      <c r="BR13" s="6"/>
      <c r="BS13" s="8"/>
      <c r="BT13" s="6"/>
      <c r="BU13" s="6"/>
      <c r="BV13" s="6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8"/>
      <c r="CW13" s="6"/>
      <c r="CX13" s="8"/>
      <c r="CY13" s="6"/>
      <c r="CZ13" s="6"/>
      <c r="DA13" s="6"/>
      <c r="DB13" s="6"/>
      <c r="DC13" s="6"/>
    </row>
    <row r="14" spans="1:107" ht="15" customHeight="1">
      <c r="A14" s="8"/>
      <c r="B14" s="9"/>
      <c r="C14" s="8"/>
      <c r="D14" s="8"/>
      <c r="E14" s="8"/>
      <c r="F14" s="8"/>
      <c r="G14" s="8"/>
      <c r="H14" s="8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5" t="s">
        <v>4263</v>
      </c>
      <c r="AD14" s="802" t="s">
        <v>7</v>
      </c>
      <c r="AE14" s="789"/>
      <c r="AF14" s="18" t="s">
        <v>4264</v>
      </c>
      <c r="AG14" s="775" t="s">
        <v>20</v>
      </c>
      <c r="AH14" s="758"/>
      <c r="AI14" s="12"/>
      <c r="AJ14" s="12"/>
      <c r="AK14" s="12"/>
      <c r="AL14" s="17"/>
      <c r="AM14" s="12"/>
      <c r="AN14" s="12"/>
      <c r="AO14" s="12"/>
      <c r="AP14" s="772" t="s">
        <v>4265</v>
      </c>
      <c r="AQ14" s="773"/>
      <c r="AR14" s="762"/>
      <c r="AS14" s="761" t="s">
        <v>9</v>
      </c>
      <c r="AT14" s="762"/>
      <c r="AU14" s="19" t="s">
        <v>4266</v>
      </c>
      <c r="AV14" s="761" t="s">
        <v>20</v>
      </c>
      <c r="AW14" s="762"/>
      <c r="AX14" s="697" t="s">
        <v>21</v>
      </c>
      <c r="AY14" s="771" t="s">
        <v>22</v>
      </c>
      <c r="AZ14" s="75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6"/>
      <c r="BN14" s="6"/>
      <c r="BO14" s="6"/>
      <c r="BP14" s="6"/>
      <c r="BQ14" s="6"/>
      <c r="BR14" s="6"/>
      <c r="BS14" s="8"/>
      <c r="BT14" s="6"/>
      <c r="BU14" s="6"/>
      <c r="BV14" s="6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8"/>
      <c r="CW14" s="6"/>
      <c r="CX14" s="8"/>
      <c r="CY14" s="6"/>
      <c r="CZ14" s="6"/>
      <c r="DA14" s="6"/>
      <c r="DB14" s="6"/>
      <c r="DC14" s="6"/>
    </row>
    <row r="15" spans="1:107" ht="15" customHeight="1">
      <c r="A15" s="8"/>
      <c r="B15" s="9"/>
      <c r="C15" s="8"/>
      <c r="D15" s="8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0" t="s">
        <v>23</v>
      </c>
      <c r="AD15" s="811" t="s">
        <v>24</v>
      </c>
      <c r="AE15" s="812"/>
      <c r="AF15" s="16" t="s">
        <v>4267</v>
      </c>
      <c r="AG15" s="775" t="s">
        <v>19</v>
      </c>
      <c r="AH15" s="758"/>
      <c r="AI15" s="9"/>
      <c r="AJ15" s="9"/>
      <c r="AK15" s="9"/>
      <c r="AL15" s="9"/>
      <c r="AM15" s="13"/>
      <c r="AN15" s="9"/>
      <c r="AO15" s="9"/>
      <c r="AP15" s="774" t="s">
        <v>4268</v>
      </c>
      <c r="AQ15" s="757"/>
      <c r="AR15" s="758"/>
      <c r="AS15" s="775" t="s">
        <v>26</v>
      </c>
      <c r="AT15" s="758"/>
      <c r="AU15" s="22" t="s">
        <v>27</v>
      </c>
      <c r="AV15" s="776" t="s">
        <v>28</v>
      </c>
      <c r="AW15" s="770"/>
      <c r="AX15" s="697" t="s">
        <v>29</v>
      </c>
      <c r="AY15" s="777" t="s">
        <v>30</v>
      </c>
      <c r="AZ15" s="760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6"/>
      <c r="BN15" s="6"/>
      <c r="BO15" s="6"/>
      <c r="BP15" s="6"/>
      <c r="BQ15" s="6"/>
      <c r="BR15" s="6"/>
      <c r="BS15" s="8"/>
      <c r="BT15" s="6"/>
      <c r="BU15" s="6"/>
      <c r="BV15" s="6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8"/>
      <c r="CW15" s="6"/>
      <c r="CX15" s="8"/>
      <c r="CY15" s="6"/>
      <c r="CZ15" s="6"/>
      <c r="DA15" s="6"/>
      <c r="DB15" s="6"/>
      <c r="DC15" s="6"/>
    </row>
    <row r="16" spans="1:107" ht="15" customHeight="1">
      <c r="A16" s="8"/>
      <c r="B16" s="9"/>
      <c r="C16" s="8"/>
      <c r="D16" s="8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0" t="s">
        <v>23</v>
      </c>
      <c r="AD16" s="813" t="s">
        <v>4269</v>
      </c>
      <c r="AE16" s="770"/>
      <c r="AF16" s="21" t="s">
        <v>32</v>
      </c>
      <c r="AG16" s="775" t="s">
        <v>25</v>
      </c>
      <c r="AH16" s="758"/>
      <c r="AI16" s="9"/>
      <c r="AJ16" s="9"/>
      <c r="AK16" s="9"/>
      <c r="AL16" s="9"/>
      <c r="AM16" s="13"/>
      <c r="AN16" s="9"/>
      <c r="AO16" s="9"/>
      <c r="AP16" s="814" t="s">
        <v>4270</v>
      </c>
      <c r="AQ16" s="784"/>
      <c r="AR16" s="785"/>
      <c r="AS16" s="815" t="s">
        <v>4271</v>
      </c>
      <c r="AT16" s="785"/>
      <c r="AU16" s="19" t="s">
        <v>4272</v>
      </c>
      <c r="AV16" s="815" t="s">
        <v>34</v>
      </c>
      <c r="AW16" s="785"/>
      <c r="AX16" s="697" t="s">
        <v>29</v>
      </c>
      <c r="AY16" s="769" t="s">
        <v>35</v>
      </c>
      <c r="AZ16" s="770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6"/>
      <c r="BW16" s="8"/>
      <c r="BX16" s="8"/>
      <c r="BY16" s="6"/>
      <c r="BZ16" s="8"/>
      <c r="CA16" s="8"/>
      <c r="CB16" s="8"/>
      <c r="CC16" s="8"/>
      <c r="CD16" s="8"/>
      <c r="CE16" s="8"/>
      <c r="CF16" s="8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8"/>
      <c r="CT16" s="8"/>
      <c r="CU16" s="8"/>
      <c r="CV16" s="8"/>
      <c r="CW16" s="8"/>
      <c r="CX16" s="8"/>
      <c r="CY16" s="6"/>
      <c r="CZ16" s="6"/>
      <c r="DA16" s="6"/>
      <c r="DB16" s="6"/>
      <c r="DC16" s="6"/>
    </row>
    <row r="17" spans="1:107" ht="15" customHeight="1">
      <c r="A17" s="8"/>
      <c r="B17" s="9"/>
      <c r="C17" s="8"/>
      <c r="D17" s="8"/>
      <c r="E17" s="8"/>
      <c r="F17" s="8"/>
      <c r="G17" s="8"/>
      <c r="H17" s="8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0" t="s">
        <v>23</v>
      </c>
      <c r="AD17" s="775" t="s">
        <v>31</v>
      </c>
      <c r="AE17" s="758"/>
      <c r="AF17" s="23" t="s">
        <v>32</v>
      </c>
      <c r="AG17" s="775" t="s">
        <v>33</v>
      </c>
      <c r="AH17" s="758"/>
      <c r="AI17" s="9"/>
      <c r="AJ17" s="9"/>
      <c r="AK17" s="9"/>
      <c r="AL17" s="9"/>
      <c r="AM17" s="13"/>
      <c r="AN17" s="9"/>
      <c r="AO17" s="9"/>
      <c r="AP17" s="9"/>
      <c r="AQ17" s="9"/>
      <c r="AR17" s="9"/>
      <c r="AS17" s="9"/>
      <c r="AT17" s="9"/>
      <c r="AU17" s="19" t="s">
        <v>4273</v>
      </c>
      <c r="AV17" s="776" t="s">
        <v>77</v>
      </c>
      <c r="AW17" s="770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6"/>
      <c r="BU17" s="8"/>
      <c r="BV17" s="6"/>
      <c r="BW17" s="6"/>
      <c r="BX17" s="8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6"/>
      <c r="CZ17" s="6"/>
      <c r="DA17" s="6"/>
      <c r="DB17" s="6"/>
      <c r="DC17" s="6"/>
    </row>
    <row r="18" spans="1:107" ht="15" customHeight="1">
      <c r="A18" s="8"/>
      <c r="B18" s="9"/>
      <c r="C18" s="8"/>
      <c r="D18" s="8"/>
      <c r="E18" s="8"/>
      <c r="F18" s="8"/>
      <c r="G18" s="8"/>
      <c r="H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0" t="s">
        <v>23</v>
      </c>
      <c r="AD18" s="775" t="s">
        <v>4274</v>
      </c>
      <c r="AE18" s="758"/>
      <c r="AF18" s="23" t="s">
        <v>18</v>
      </c>
      <c r="AG18" s="775" t="s">
        <v>36</v>
      </c>
      <c r="AH18" s="758"/>
      <c r="AI18" s="9"/>
      <c r="AJ18" s="8"/>
      <c r="AK18" s="9"/>
      <c r="AL18" s="9"/>
      <c r="AM18" s="13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6"/>
      <c r="BU18" s="8"/>
      <c r="BV18" s="6"/>
      <c r="BW18" s="6"/>
      <c r="BX18" s="8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6"/>
      <c r="CZ18" s="6"/>
      <c r="DA18" s="6"/>
      <c r="DB18" s="6"/>
      <c r="DC18" s="6"/>
    </row>
    <row r="19" spans="1:107" ht="15" customHeight="1">
      <c r="A19" s="8"/>
      <c r="B19" s="9"/>
      <c r="C19" s="8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9"/>
      <c r="AM19" s="13"/>
      <c r="AN19" s="8"/>
      <c r="AO19" s="8"/>
      <c r="AP19" s="8"/>
      <c r="AQ19" s="8"/>
      <c r="AR19" s="8"/>
      <c r="AS19" s="8"/>
      <c r="AT19" s="9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6"/>
      <c r="BU19" s="8"/>
      <c r="BV19" s="6"/>
      <c r="BW19" s="6"/>
      <c r="BX19" s="8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6"/>
      <c r="CZ19" s="6"/>
      <c r="DA19" s="6"/>
      <c r="DB19" s="6"/>
      <c r="DC19" s="6"/>
    </row>
    <row r="20" spans="1:107" ht="15" customHeight="1">
      <c r="A20" s="8"/>
      <c r="B20" s="9"/>
      <c r="C20" s="8"/>
      <c r="D20" s="8"/>
      <c r="E20" s="8"/>
      <c r="F20" s="8"/>
      <c r="G20" s="8"/>
      <c r="H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8"/>
      <c r="AK20" s="9"/>
      <c r="AL20" s="9"/>
      <c r="AM20" s="13"/>
      <c r="AN20" s="8"/>
      <c r="AO20" s="8"/>
      <c r="AP20" s="8"/>
      <c r="AQ20" s="8"/>
      <c r="AR20" s="8"/>
      <c r="AS20" s="8"/>
      <c r="AT20" s="9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6"/>
      <c r="BU20" s="8"/>
      <c r="BV20" s="6"/>
      <c r="BW20" s="6"/>
      <c r="BX20" s="8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6"/>
      <c r="CZ20" s="6"/>
      <c r="DA20" s="6"/>
      <c r="DB20" s="6"/>
      <c r="DC20" s="6"/>
    </row>
    <row r="21" spans="1:107" ht="15" customHeight="1">
      <c r="A21" s="8"/>
      <c r="B21" s="9"/>
      <c r="C21" s="8"/>
      <c r="D21" s="8"/>
      <c r="E21" s="8"/>
      <c r="F21" s="8"/>
      <c r="G21" s="8"/>
      <c r="H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8"/>
      <c r="AK21" s="9"/>
      <c r="AL21" s="9"/>
      <c r="AM21" s="13"/>
      <c r="AN21" s="8"/>
      <c r="AO21" s="8"/>
      <c r="AP21" s="8"/>
      <c r="AQ21" s="8"/>
      <c r="AR21" s="8"/>
      <c r="AS21" s="8"/>
      <c r="AT21" s="9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6"/>
      <c r="BU21" s="8"/>
      <c r="BV21" s="6"/>
      <c r="BW21" s="6"/>
      <c r="BX21" s="8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6"/>
      <c r="CZ21" s="6"/>
      <c r="DA21" s="6"/>
      <c r="DB21" s="6"/>
      <c r="DC21" s="6"/>
    </row>
    <row r="22" spans="1:107" ht="15" customHeight="1">
      <c r="A22" s="8"/>
      <c r="B22" s="9"/>
      <c r="C22" s="8"/>
      <c r="D22" s="8"/>
      <c r="E22" s="8"/>
      <c r="F22" s="8"/>
      <c r="G22" s="8"/>
      <c r="H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8"/>
      <c r="AK22" s="9"/>
      <c r="AL22" s="9"/>
      <c r="AM22" s="1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6"/>
      <c r="BU22" s="8"/>
      <c r="BV22" s="6"/>
      <c r="BW22" s="6"/>
      <c r="BX22" s="8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6"/>
      <c r="CZ22" s="6"/>
      <c r="DA22" s="6"/>
      <c r="DB22" s="6"/>
      <c r="DC22" s="6"/>
    </row>
    <row r="23" spans="1:107" ht="18" customHeight="1">
      <c r="A23" s="8"/>
      <c r="B23" s="9"/>
      <c r="C23" s="9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1"/>
      <c r="AA23" s="24"/>
      <c r="AB23" s="8"/>
      <c r="AC23" s="25"/>
      <c r="AD23" s="24"/>
      <c r="AE23" s="8"/>
      <c r="AF23" s="24"/>
      <c r="AG23" s="763" t="s">
        <v>4275</v>
      </c>
      <c r="AH23" s="764"/>
      <c r="AI23" s="764"/>
      <c r="AJ23" s="764"/>
      <c r="AK23" s="764"/>
      <c r="AL23" s="764"/>
      <c r="AM23" s="764"/>
      <c r="AN23" s="764"/>
      <c r="AO23" s="764"/>
      <c r="AP23" s="764"/>
      <c r="AQ23" s="764"/>
      <c r="AR23" s="765"/>
      <c r="AS23" s="2"/>
      <c r="AT23" s="8"/>
      <c r="AU23" s="26"/>
      <c r="AV23" s="24"/>
      <c r="AW23" s="27"/>
      <c r="AX23" s="28"/>
      <c r="AY23" s="24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</row>
    <row r="24" spans="1:107" ht="12.75" customHeight="1">
      <c r="A24" s="8"/>
      <c r="B24" s="9"/>
      <c r="C24" s="9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24"/>
      <c r="AA24" s="29"/>
      <c r="AB24" s="8"/>
      <c r="AC24" s="25"/>
      <c r="AD24" s="24"/>
      <c r="AE24" s="8"/>
      <c r="AF24" s="24"/>
      <c r="AG24" s="766"/>
      <c r="AH24" s="767"/>
      <c r="AI24" s="767"/>
      <c r="AJ24" s="767"/>
      <c r="AK24" s="767"/>
      <c r="AL24" s="767"/>
      <c r="AM24" s="767"/>
      <c r="AN24" s="767"/>
      <c r="AO24" s="767"/>
      <c r="AP24" s="767"/>
      <c r="AQ24" s="767"/>
      <c r="AR24" s="760"/>
      <c r="AS24" s="2"/>
      <c r="AT24" s="8"/>
      <c r="AU24" s="24"/>
      <c r="AV24" s="24"/>
      <c r="AW24" s="27"/>
      <c r="AX24" s="28"/>
      <c r="AY24" s="24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</row>
    <row r="25" spans="1:107" ht="30" customHeight="1">
      <c r="A25" s="8"/>
      <c r="B25" s="9"/>
      <c r="C25" s="9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7"/>
      <c r="T25" s="27"/>
      <c r="U25" s="27"/>
      <c r="V25" s="27"/>
      <c r="W25" s="27"/>
      <c r="X25" s="27"/>
      <c r="Y25" s="27"/>
      <c r="Z25" s="24"/>
      <c r="AA25" s="29"/>
      <c r="AB25" s="24"/>
      <c r="AC25" s="25"/>
      <c r="AD25" s="24"/>
      <c r="AE25" s="8"/>
      <c r="AF25" s="24"/>
      <c r="AG25" s="30"/>
      <c r="AH25" s="8"/>
      <c r="AI25" s="9"/>
      <c r="AJ25" s="8"/>
      <c r="AK25" s="8"/>
      <c r="AL25" s="31"/>
      <c r="AM25" s="8"/>
      <c r="AN25" s="27"/>
      <c r="AO25" s="9"/>
      <c r="AP25" s="8"/>
      <c r="AQ25" s="27"/>
      <c r="AR25" s="29"/>
      <c r="AS25" s="2"/>
      <c r="AT25" s="8"/>
      <c r="AU25" s="32"/>
      <c r="AV25" s="24"/>
      <c r="AW25" s="27"/>
      <c r="AX25" s="28"/>
      <c r="AY25" s="24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</row>
    <row r="26" spans="1:107" ht="20.25" customHeight="1">
      <c r="A26" s="8"/>
      <c r="B26" s="9"/>
      <c r="C26" s="9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24"/>
      <c r="AA26" s="29"/>
      <c r="AB26" s="24"/>
      <c r="AC26" s="25"/>
      <c r="AD26" s="24"/>
      <c r="AE26" s="8"/>
      <c r="AF26" s="25"/>
      <c r="AG26" s="24"/>
      <c r="AH26" s="8"/>
      <c r="AI26" s="9"/>
      <c r="AJ26" s="778" t="s">
        <v>37</v>
      </c>
      <c r="AK26" s="757"/>
      <c r="AL26" s="757"/>
      <c r="AM26" s="757"/>
      <c r="AN26" s="757"/>
      <c r="AO26" s="758"/>
      <c r="AP26" s="8"/>
      <c r="AQ26" s="33"/>
      <c r="AR26" s="29"/>
      <c r="AS26" s="2"/>
      <c r="AT26" s="8"/>
      <c r="AU26" s="32"/>
      <c r="AV26" s="24"/>
      <c r="AW26" s="33"/>
      <c r="AX26" s="34"/>
      <c r="AY26" s="24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</row>
    <row r="27" spans="1:107" ht="23.25" customHeight="1">
      <c r="A27" s="8"/>
      <c r="B27" s="9"/>
      <c r="C27" s="9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7"/>
      <c r="T27" s="27"/>
      <c r="U27" s="27"/>
      <c r="V27" s="27"/>
      <c r="W27" s="27"/>
      <c r="X27" s="27"/>
      <c r="Y27" s="27"/>
      <c r="Z27" s="24"/>
      <c r="AA27" s="29"/>
      <c r="AB27" s="24"/>
      <c r="AC27" s="25"/>
      <c r="AD27" s="24"/>
      <c r="AE27" s="8"/>
      <c r="AF27" s="25"/>
      <c r="AG27" s="29"/>
      <c r="AH27" s="8"/>
      <c r="AI27" s="9"/>
      <c r="AJ27" s="778" t="s">
        <v>4276</v>
      </c>
      <c r="AK27" s="757"/>
      <c r="AL27" s="757"/>
      <c r="AM27" s="757"/>
      <c r="AN27" s="757"/>
      <c r="AO27" s="758"/>
      <c r="AP27" s="8"/>
      <c r="AQ27" s="8"/>
      <c r="AR27" s="30"/>
      <c r="AS27" s="8"/>
      <c r="AT27" s="8"/>
      <c r="AU27" s="30"/>
      <c r="AV27" s="8"/>
      <c r="AW27" s="8"/>
      <c r="AX27" s="30"/>
      <c r="AY27" s="24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</row>
    <row r="28" spans="1:107" ht="19.5" customHeight="1">
      <c r="A28" s="8"/>
      <c r="B28" s="9"/>
      <c r="C28" s="9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7"/>
      <c r="T28" s="27"/>
      <c r="U28" s="27"/>
      <c r="V28" s="27"/>
      <c r="W28" s="27"/>
      <c r="X28" s="24"/>
      <c r="Y28" s="29"/>
      <c r="Z28" s="24"/>
      <c r="AA28" s="25"/>
      <c r="AB28" s="24"/>
      <c r="AC28" s="8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8"/>
      <c r="BC28" s="8"/>
      <c r="BD28" s="8"/>
      <c r="BE28" s="8"/>
      <c r="BF28" s="8"/>
      <c r="BG28" s="8"/>
      <c r="BH28" s="8"/>
      <c r="BI28" s="9"/>
      <c r="BJ28" s="9"/>
      <c r="BK28" s="9"/>
      <c r="BL28" s="9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</row>
    <row r="29" spans="1:107" ht="20.25" customHeight="1">
      <c r="A29" s="8"/>
      <c r="B29" s="9"/>
      <c r="C29" s="9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7"/>
      <c r="T29" s="25"/>
      <c r="U29" s="35"/>
      <c r="V29" s="36"/>
      <c r="W29" s="36"/>
      <c r="X29" s="35"/>
      <c r="Y29" s="36"/>
      <c r="Z29" s="37"/>
      <c r="AA29" s="35"/>
      <c r="AB29" s="36"/>
      <c r="AC29" s="17"/>
      <c r="AD29" s="36"/>
      <c r="AE29" s="36"/>
      <c r="AF29" s="38"/>
      <c r="AG29" s="36"/>
      <c r="AH29" s="36"/>
      <c r="AI29" s="36"/>
      <c r="AJ29" s="36"/>
      <c r="AK29" s="36"/>
      <c r="AL29" s="36"/>
      <c r="AM29" s="35"/>
      <c r="AN29" s="36"/>
      <c r="AO29" s="36"/>
      <c r="AP29" s="35"/>
      <c r="AQ29" s="36"/>
      <c r="AR29" s="36"/>
      <c r="AS29" s="35"/>
      <c r="AT29" s="36"/>
      <c r="AU29" s="36"/>
      <c r="AV29" s="35"/>
      <c r="AW29" s="36"/>
      <c r="AX29" s="37"/>
      <c r="AY29" s="35"/>
      <c r="AZ29" s="36"/>
      <c r="BA29" s="37"/>
      <c r="BB29" s="9"/>
      <c r="BC29" s="8"/>
      <c r="BD29" s="8"/>
      <c r="BE29" s="9"/>
      <c r="BF29" s="9"/>
      <c r="BG29" s="9"/>
      <c r="BH29" s="9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</row>
    <row r="30" spans="1:107" ht="30" customHeight="1">
      <c r="A30" s="8"/>
      <c r="B30" s="9"/>
      <c r="C30" s="9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7"/>
      <c r="T30" s="39" t="s">
        <v>38</v>
      </c>
      <c r="U30" s="40">
        <f>COUNTA(U31:U43)</f>
        <v>8</v>
      </c>
      <c r="V30" s="8"/>
      <c r="W30" s="41" t="s">
        <v>39</v>
      </c>
      <c r="X30" s="42">
        <f>COUNTA(X31:X41)</f>
        <v>5</v>
      </c>
      <c r="Y30" s="8"/>
      <c r="Z30" s="41" t="s">
        <v>40</v>
      </c>
      <c r="AA30" s="42">
        <f>COUNTA(AA31:AA41)</f>
        <v>7</v>
      </c>
      <c r="AB30" s="43"/>
      <c r="AC30" s="41" t="s">
        <v>41</v>
      </c>
      <c r="AD30" s="42">
        <f>COUNTA(AD31:AD43)</f>
        <v>13</v>
      </c>
      <c r="AE30" s="8"/>
      <c r="AF30" s="41" t="s">
        <v>42</v>
      </c>
      <c r="AG30" s="44">
        <f>COUNTA(AG31:AG41)</f>
        <v>7</v>
      </c>
      <c r="AH30" s="8"/>
      <c r="AI30" s="41" t="s">
        <v>4277</v>
      </c>
      <c r="AJ30" s="44">
        <f>COUNTA(AJ31:AJ41)</f>
        <v>7</v>
      </c>
      <c r="AK30" s="8"/>
      <c r="AL30" s="41" t="s">
        <v>4278</v>
      </c>
      <c r="AM30" s="44">
        <f>COUNTA(AM31:AM41)</f>
        <v>7</v>
      </c>
      <c r="AN30" s="8"/>
      <c r="AO30" s="41" t="s">
        <v>43</v>
      </c>
      <c r="AP30" s="44">
        <f>COUNTA(AP31:AP41)</f>
        <v>5</v>
      </c>
      <c r="AQ30" s="8"/>
      <c r="AR30" s="41" t="s">
        <v>44</v>
      </c>
      <c r="AS30" s="44">
        <f>COUNTA(AS31:AS41)</f>
        <v>7</v>
      </c>
      <c r="AT30" s="8"/>
      <c r="AU30" s="41" t="s">
        <v>45</v>
      </c>
      <c r="AV30" s="44">
        <f>COUNTA(AV31:AV41)</f>
        <v>4</v>
      </c>
      <c r="AW30" s="8"/>
      <c r="AX30" s="41" t="s">
        <v>4279</v>
      </c>
      <c r="AY30" s="44">
        <f>COUNTA(AY31:AY41)</f>
        <v>2</v>
      </c>
      <c r="AZ30" s="1"/>
      <c r="BA30" s="39" t="s">
        <v>4280</v>
      </c>
      <c r="BB30" s="40">
        <f>COUNTA(BB31:BB43)</f>
        <v>5</v>
      </c>
      <c r="BC30" s="8"/>
      <c r="BD30" s="8"/>
      <c r="BE30" s="9"/>
      <c r="BF30" s="9"/>
      <c r="BG30" s="9"/>
      <c r="BH30" s="9"/>
      <c r="BI30" s="8"/>
      <c r="BJ30" s="8"/>
      <c r="BK30" s="8"/>
      <c r="BL30" s="45" t="s">
        <v>46</v>
      </c>
      <c r="BM30" s="46">
        <f>COUNTA(BM31:BM43)</f>
        <v>12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</row>
    <row r="31" spans="1:107" ht="30" customHeight="1">
      <c r="A31" s="8"/>
      <c r="B31" s="9"/>
      <c r="C31" s="9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7"/>
      <c r="T31" s="698" t="s">
        <v>57</v>
      </c>
      <c r="U31" s="64" t="s">
        <v>58</v>
      </c>
      <c r="V31" s="8"/>
      <c r="W31" s="51" t="s">
        <v>95</v>
      </c>
      <c r="X31" s="52" t="s">
        <v>52</v>
      </c>
      <c r="Y31" s="8" t="s">
        <v>49</v>
      </c>
      <c r="Z31" s="51" t="s">
        <v>51</v>
      </c>
      <c r="AA31" s="52" t="s">
        <v>52</v>
      </c>
      <c r="AB31" s="8" t="s">
        <v>49</v>
      </c>
      <c r="AC31" s="65" t="s">
        <v>1075</v>
      </c>
      <c r="AD31" s="54" t="s">
        <v>52</v>
      </c>
      <c r="AE31" s="8" t="s">
        <v>49</v>
      </c>
      <c r="AF31" s="55" t="s">
        <v>64</v>
      </c>
      <c r="AG31" s="699" t="s">
        <v>53</v>
      </c>
      <c r="AH31" s="8" t="s">
        <v>49</v>
      </c>
      <c r="AI31" s="53" t="s">
        <v>54</v>
      </c>
      <c r="AJ31" s="54" t="s">
        <v>52</v>
      </c>
      <c r="AK31" s="8" t="s">
        <v>49</v>
      </c>
      <c r="AL31" s="53" t="s">
        <v>65</v>
      </c>
      <c r="AM31" s="54" t="s">
        <v>52</v>
      </c>
      <c r="AN31" s="8" t="s">
        <v>49</v>
      </c>
      <c r="AO31" s="51" t="s">
        <v>55</v>
      </c>
      <c r="AP31" s="52" t="s">
        <v>52</v>
      </c>
      <c r="AQ31" s="8" t="s">
        <v>49</v>
      </c>
      <c r="AR31" s="81" t="s">
        <v>9</v>
      </c>
      <c r="AS31" s="58" t="s">
        <v>48</v>
      </c>
      <c r="AT31" s="8" t="s">
        <v>49</v>
      </c>
      <c r="AU31" s="59" t="s">
        <v>7</v>
      </c>
      <c r="AV31" s="58" t="s">
        <v>48</v>
      </c>
      <c r="AW31" s="8" t="s">
        <v>49</v>
      </c>
      <c r="AX31" s="700" t="s">
        <v>107</v>
      </c>
      <c r="AY31" s="58" t="s">
        <v>48</v>
      </c>
      <c r="AZ31" s="403" t="s">
        <v>49</v>
      </c>
      <c r="BA31" s="49" t="s">
        <v>50</v>
      </c>
      <c r="BB31" s="50" t="s">
        <v>48</v>
      </c>
      <c r="BC31" s="8"/>
      <c r="BD31" s="8"/>
      <c r="BE31" s="9"/>
      <c r="BF31" s="9"/>
      <c r="BG31" s="9"/>
      <c r="BH31" s="9"/>
      <c r="BI31" s="8"/>
      <c r="BJ31" s="8"/>
      <c r="BK31" s="8"/>
      <c r="BL31" s="60" t="s">
        <v>34</v>
      </c>
      <c r="BM31" s="61" t="s">
        <v>56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</row>
    <row r="32" spans="1:107" ht="30" customHeight="1">
      <c r="A32" s="8"/>
      <c r="B32" s="9"/>
      <c r="C32" s="9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27"/>
      <c r="T32" s="62" t="s">
        <v>70</v>
      </c>
      <c r="U32" s="142" t="s">
        <v>58</v>
      </c>
      <c r="V32" s="8" t="s">
        <v>49</v>
      </c>
      <c r="W32" s="53" t="s">
        <v>63</v>
      </c>
      <c r="X32" s="52" t="s">
        <v>52</v>
      </c>
      <c r="Y32" s="8" t="s">
        <v>62</v>
      </c>
      <c r="Z32" s="65" t="s">
        <v>61</v>
      </c>
      <c r="AA32" s="54" t="s">
        <v>52</v>
      </c>
      <c r="AB32" s="8" t="s">
        <v>62</v>
      </c>
      <c r="AC32" s="53" t="s">
        <v>74</v>
      </c>
      <c r="AD32" s="54" t="s">
        <v>52</v>
      </c>
      <c r="AE32" s="8" t="s">
        <v>62</v>
      </c>
      <c r="AF32" s="55" t="s">
        <v>4</v>
      </c>
      <c r="AG32" s="56" t="s">
        <v>53</v>
      </c>
      <c r="AH32" s="8"/>
      <c r="AI32" s="53" t="s">
        <v>22</v>
      </c>
      <c r="AJ32" s="54" t="s">
        <v>52</v>
      </c>
      <c r="AK32" s="8" t="s">
        <v>62</v>
      </c>
      <c r="AL32" s="53" t="s">
        <v>78</v>
      </c>
      <c r="AM32" s="54" t="s">
        <v>52</v>
      </c>
      <c r="AN32" s="8" t="s">
        <v>62</v>
      </c>
      <c r="AO32" s="701" t="s">
        <v>66</v>
      </c>
      <c r="AP32" s="52" t="s">
        <v>52</v>
      </c>
      <c r="AQ32" s="8" t="s">
        <v>62</v>
      </c>
      <c r="AR32" s="57" t="s">
        <v>20</v>
      </c>
      <c r="AS32" s="67" t="s">
        <v>48</v>
      </c>
      <c r="AT32" s="8" t="s">
        <v>62</v>
      </c>
      <c r="AU32" s="57" t="s">
        <v>68</v>
      </c>
      <c r="AV32" s="67" t="s">
        <v>48</v>
      </c>
      <c r="AW32" s="8" t="s">
        <v>62</v>
      </c>
      <c r="AX32" s="86" t="s">
        <v>116</v>
      </c>
      <c r="AY32" s="77" t="s">
        <v>48</v>
      </c>
      <c r="AZ32" s="27"/>
      <c r="BA32" s="47" t="s">
        <v>47</v>
      </c>
      <c r="BB32" s="48" t="s">
        <v>48</v>
      </c>
      <c r="BC32" s="8"/>
      <c r="BD32" s="8"/>
      <c r="BE32" s="9"/>
      <c r="BF32" s="9"/>
      <c r="BG32" s="9"/>
      <c r="BH32" s="9"/>
      <c r="BI32" s="8"/>
      <c r="BJ32" s="8"/>
      <c r="BK32" s="8"/>
      <c r="BL32" s="68" t="s">
        <v>24</v>
      </c>
      <c r="BM32" s="69" t="s">
        <v>69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</row>
    <row r="33" spans="1:107" ht="30" customHeight="1">
      <c r="A33" s="8"/>
      <c r="B33" s="9"/>
      <c r="C33" s="9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7"/>
      <c r="T33" s="62" t="s">
        <v>83</v>
      </c>
      <c r="U33" s="142" t="s">
        <v>58</v>
      </c>
      <c r="V33" s="8" t="s">
        <v>62</v>
      </c>
      <c r="W33" s="65" t="s">
        <v>60</v>
      </c>
      <c r="X33" s="66" t="s">
        <v>52</v>
      </c>
      <c r="Y33" s="8"/>
      <c r="Z33" s="71" t="s">
        <v>73</v>
      </c>
      <c r="AA33" s="72" t="s">
        <v>52</v>
      </c>
      <c r="AB33" s="8"/>
      <c r="AC33" s="70" t="s">
        <v>86</v>
      </c>
      <c r="AD33" s="54" t="s">
        <v>52</v>
      </c>
      <c r="AE33" s="8" t="s">
        <v>62</v>
      </c>
      <c r="AF33" s="73" t="s">
        <v>75</v>
      </c>
      <c r="AG33" s="74" t="s">
        <v>76</v>
      </c>
      <c r="AH33" s="8"/>
      <c r="AI33" s="53" t="s">
        <v>77</v>
      </c>
      <c r="AJ33" s="54" t="s">
        <v>52</v>
      </c>
      <c r="AK33" s="8"/>
      <c r="AL33" s="73" t="s">
        <v>88</v>
      </c>
      <c r="AM33" s="74" t="s">
        <v>76</v>
      </c>
      <c r="AN33" s="8"/>
      <c r="AO33" s="702" t="s">
        <v>79</v>
      </c>
      <c r="AP33" s="52" t="s">
        <v>52</v>
      </c>
      <c r="AQ33" s="8"/>
      <c r="AR33" s="57" t="s">
        <v>67</v>
      </c>
      <c r="AS33" s="48" t="s">
        <v>48</v>
      </c>
      <c r="AT33" s="8"/>
      <c r="AU33" s="86" t="s">
        <v>110</v>
      </c>
      <c r="AV33" s="75" t="s">
        <v>48</v>
      </c>
      <c r="AW33" s="27"/>
      <c r="AX33" s="344" t="s">
        <v>174</v>
      </c>
      <c r="AY33" s="67"/>
      <c r="AZ33" s="27"/>
      <c r="BA33" s="78" t="s">
        <v>84</v>
      </c>
      <c r="BB33" s="67" t="s">
        <v>48</v>
      </c>
      <c r="BC33" s="8"/>
      <c r="BD33" s="8"/>
      <c r="BE33" s="9"/>
      <c r="BF33" s="9"/>
      <c r="BG33" s="9"/>
      <c r="BH33" s="9"/>
      <c r="BI33" s="8"/>
      <c r="BJ33" s="8"/>
      <c r="BK33" s="8"/>
      <c r="BL33" s="76" t="s">
        <v>33</v>
      </c>
      <c r="BM33" s="77" t="s">
        <v>82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</row>
    <row r="34" spans="1:107" ht="30" customHeight="1">
      <c r="A34" s="8"/>
      <c r="B34" s="9"/>
      <c r="C34" s="9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7"/>
      <c r="T34" s="63" t="s">
        <v>92</v>
      </c>
      <c r="U34" s="142" t="s">
        <v>58</v>
      </c>
      <c r="V34" s="8"/>
      <c r="W34" s="70" t="s">
        <v>72</v>
      </c>
      <c r="X34" s="54" t="s">
        <v>52</v>
      </c>
      <c r="Y34" s="8"/>
      <c r="Z34" s="65" t="s">
        <v>94</v>
      </c>
      <c r="AA34" s="66" t="s">
        <v>52</v>
      </c>
      <c r="AB34" s="8"/>
      <c r="AC34" s="73" t="s">
        <v>96</v>
      </c>
      <c r="AD34" s="74" t="s">
        <v>76</v>
      </c>
      <c r="AE34" s="8"/>
      <c r="AF34" s="73" t="s">
        <v>87</v>
      </c>
      <c r="AG34" s="74" t="s">
        <v>76</v>
      </c>
      <c r="AH34" s="8"/>
      <c r="AI34" s="53" t="s">
        <v>19</v>
      </c>
      <c r="AJ34" s="54" t="s">
        <v>52</v>
      </c>
      <c r="AK34" s="8"/>
      <c r="AL34" s="53" t="s">
        <v>98</v>
      </c>
      <c r="AM34" s="54" t="s">
        <v>52</v>
      </c>
      <c r="AN34" s="8"/>
      <c r="AO34" s="702" t="s">
        <v>89</v>
      </c>
      <c r="AP34" s="52" t="s">
        <v>52</v>
      </c>
      <c r="AQ34" s="8"/>
      <c r="AR34" s="57" t="s">
        <v>80</v>
      </c>
      <c r="AS34" s="75" t="s">
        <v>48</v>
      </c>
      <c r="AT34" s="8"/>
      <c r="AU34" s="83" t="s">
        <v>120</v>
      </c>
      <c r="AV34" s="75" t="s">
        <v>48</v>
      </c>
      <c r="AW34" s="27"/>
      <c r="AX34" s="168" t="s">
        <v>289</v>
      </c>
      <c r="AY34" s="67"/>
      <c r="AZ34" s="27"/>
      <c r="BA34" s="84" t="s">
        <v>102</v>
      </c>
      <c r="BB34" s="50" t="s">
        <v>48</v>
      </c>
      <c r="BC34" s="8"/>
      <c r="BD34" s="8"/>
      <c r="BE34" s="9"/>
      <c r="BF34" s="9"/>
      <c r="BG34" s="9"/>
      <c r="BH34" s="9"/>
      <c r="BI34" s="8"/>
      <c r="BJ34" s="8"/>
      <c r="BK34" s="8"/>
      <c r="BL34" s="79" t="s">
        <v>30</v>
      </c>
      <c r="BM34" s="80" t="s">
        <v>91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</row>
    <row r="35" spans="1:107" ht="30" customHeight="1">
      <c r="A35" s="8"/>
      <c r="B35" s="9"/>
      <c r="C35" s="9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7"/>
      <c r="T35" s="63" t="s">
        <v>59</v>
      </c>
      <c r="U35" s="142" t="s">
        <v>58</v>
      </c>
      <c r="V35" s="8"/>
      <c r="W35" s="51" t="s">
        <v>4281</v>
      </c>
      <c r="X35" s="66" t="s">
        <v>52</v>
      </c>
      <c r="Y35" s="8"/>
      <c r="Z35" s="70" t="s">
        <v>85</v>
      </c>
      <c r="AA35" s="66" t="s">
        <v>52</v>
      </c>
      <c r="AB35" s="8"/>
      <c r="AC35" s="65" t="s">
        <v>104</v>
      </c>
      <c r="AD35" s="66" t="s">
        <v>52</v>
      </c>
      <c r="AE35" s="8"/>
      <c r="AF35" s="73" t="s">
        <v>97</v>
      </c>
      <c r="AG35" s="74" t="s">
        <v>76</v>
      </c>
      <c r="AH35" s="8"/>
      <c r="AI35" s="53" t="s">
        <v>12</v>
      </c>
      <c r="AJ35" s="54" t="s">
        <v>52</v>
      </c>
      <c r="AK35" s="8" t="s">
        <v>62</v>
      </c>
      <c r="AL35" s="53" t="s">
        <v>106</v>
      </c>
      <c r="AM35" s="54" t="s">
        <v>52</v>
      </c>
      <c r="AN35" s="8"/>
      <c r="AO35" s="702" t="s">
        <v>99</v>
      </c>
      <c r="AP35" s="52" t="s">
        <v>52</v>
      </c>
      <c r="AQ35" s="8"/>
      <c r="AR35" s="81" t="s">
        <v>90</v>
      </c>
      <c r="AS35" s="75" t="s">
        <v>48</v>
      </c>
      <c r="AT35" s="8"/>
      <c r="AU35" s="92" t="s">
        <v>118</v>
      </c>
      <c r="AV35" s="67"/>
      <c r="AW35" s="33"/>
      <c r="AX35" s="166" t="s">
        <v>368</v>
      </c>
      <c r="AY35" s="67"/>
      <c r="AZ35" s="1"/>
      <c r="BA35" s="86" t="s">
        <v>4282</v>
      </c>
      <c r="BB35" s="75" t="s">
        <v>48</v>
      </c>
      <c r="BC35" s="8"/>
      <c r="BD35" s="8"/>
      <c r="BE35" s="9"/>
      <c r="BF35" s="9"/>
      <c r="BG35" s="9"/>
      <c r="BH35" s="9"/>
      <c r="BI35" s="8"/>
      <c r="BJ35" s="8"/>
      <c r="BK35" s="8"/>
      <c r="BL35" s="79" t="s">
        <v>35</v>
      </c>
      <c r="BM35" s="80" t="s">
        <v>91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</row>
    <row r="36" spans="1:107" ht="30" customHeight="1">
      <c r="A36" s="8"/>
      <c r="B36" s="9"/>
      <c r="C36" s="9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7"/>
      <c r="T36" s="703" t="s">
        <v>4227</v>
      </c>
      <c r="U36" s="142" t="s">
        <v>58</v>
      </c>
      <c r="V36" s="8"/>
      <c r="W36" s="88"/>
      <c r="X36" s="119"/>
      <c r="Y36" s="8"/>
      <c r="Z36" s="65" t="s">
        <v>4283</v>
      </c>
      <c r="AA36" s="72" t="s">
        <v>52</v>
      </c>
      <c r="AB36" s="8"/>
      <c r="AC36" s="65" t="s">
        <v>111</v>
      </c>
      <c r="AD36" s="54" t="s">
        <v>52</v>
      </c>
      <c r="AE36" s="8"/>
      <c r="AF36" s="65" t="s">
        <v>105</v>
      </c>
      <c r="AG36" s="54" t="s">
        <v>52</v>
      </c>
      <c r="AH36" s="8"/>
      <c r="AI36" s="53" t="s">
        <v>15</v>
      </c>
      <c r="AJ36" s="54" t="s">
        <v>52</v>
      </c>
      <c r="AK36" s="9"/>
      <c r="AL36" s="53" t="s">
        <v>114</v>
      </c>
      <c r="AM36" s="54" t="s">
        <v>52</v>
      </c>
      <c r="AN36" s="8"/>
      <c r="AO36" s="86"/>
      <c r="AP36" s="75"/>
      <c r="AQ36" s="8"/>
      <c r="AR36" s="87" t="s">
        <v>81</v>
      </c>
      <c r="AS36" s="75" t="s">
        <v>48</v>
      </c>
      <c r="AT36" s="8"/>
      <c r="AU36" s="86"/>
      <c r="AV36" s="75"/>
      <c r="AW36" s="8"/>
      <c r="AX36" s="325" t="s">
        <v>381</v>
      </c>
      <c r="AY36" s="67"/>
      <c r="AZ36" s="1"/>
      <c r="BA36" s="78"/>
      <c r="BB36" s="67"/>
      <c r="BC36" s="8"/>
      <c r="BD36" s="8"/>
      <c r="BE36" s="9"/>
      <c r="BF36" s="9"/>
      <c r="BG36" s="9"/>
      <c r="BH36" s="9"/>
      <c r="BI36" s="8"/>
      <c r="BJ36" s="8"/>
      <c r="BK36" s="8"/>
      <c r="BL36" s="88" t="s">
        <v>14</v>
      </c>
      <c r="BM36" s="69" t="s">
        <v>108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"/>
      <c r="CC36" s="1"/>
      <c r="CD36" s="1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1"/>
      <c r="CW36" s="8"/>
      <c r="CX36" s="8"/>
      <c r="CY36" s="8"/>
      <c r="CZ36" s="8"/>
      <c r="DA36" s="8"/>
      <c r="DB36" s="8"/>
      <c r="DC36" s="8"/>
    </row>
    <row r="37" spans="1:107" ht="30" customHeight="1">
      <c r="A37" s="1"/>
      <c r="B37" s="9"/>
      <c r="C37" s="9"/>
      <c r="D37" s="8"/>
      <c r="E37" s="8"/>
      <c r="F37" s="8"/>
      <c r="G37" s="1"/>
      <c r="H37" s="1"/>
      <c r="I37" s="1"/>
      <c r="J37" s="1"/>
      <c r="K37" s="1"/>
      <c r="L37" s="1"/>
      <c r="M37" s="1"/>
      <c r="N37" s="8"/>
      <c r="O37" s="1"/>
      <c r="P37" s="1"/>
      <c r="Q37" s="8"/>
      <c r="R37" s="8"/>
      <c r="S37" s="27"/>
      <c r="T37" s="704" t="s">
        <v>71</v>
      </c>
      <c r="U37" s="142" t="s">
        <v>58</v>
      </c>
      <c r="V37" s="8"/>
      <c r="W37" s="88"/>
      <c r="X37" s="119"/>
      <c r="Y37" s="1"/>
      <c r="Z37" s="85" t="s">
        <v>103</v>
      </c>
      <c r="AA37" s="72" t="s">
        <v>52</v>
      </c>
      <c r="AB37" s="8"/>
      <c r="AC37" s="65" t="s">
        <v>117</v>
      </c>
      <c r="AD37" s="54" t="s">
        <v>52</v>
      </c>
      <c r="AE37" s="1"/>
      <c r="AF37" s="85" t="s">
        <v>112</v>
      </c>
      <c r="AG37" s="54" t="s">
        <v>52</v>
      </c>
      <c r="AH37" s="1"/>
      <c r="AI37" s="53" t="s">
        <v>305</v>
      </c>
      <c r="AJ37" s="54" t="s">
        <v>52</v>
      </c>
      <c r="AK37" s="8"/>
      <c r="AL37" s="53" t="s">
        <v>119</v>
      </c>
      <c r="AM37" s="54" t="s">
        <v>52</v>
      </c>
      <c r="AN37" s="8"/>
      <c r="AO37" s="86"/>
      <c r="AP37" s="75"/>
      <c r="AQ37" s="8"/>
      <c r="AR37" s="87" t="s">
        <v>28</v>
      </c>
      <c r="AS37" s="75" t="s">
        <v>48</v>
      </c>
      <c r="AT37" s="8"/>
      <c r="AU37" s="92"/>
      <c r="AV37" s="67"/>
      <c r="AW37" s="8"/>
      <c r="AX37" s="325"/>
      <c r="AY37" s="67"/>
      <c r="AZ37" s="1"/>
      <c r="BA37" s="89"/>
      <c r="BB37" s="56"/>
      <c r="BC37" s="8"/>
      <c r="BD37" s="8"/>
      <c r="BE37" s="9"/>
      <c r="BF37" s="9"/>
      <c r="BG37" s="9"/>
      <c r="BH37" s="9"/>
      <c r="BI37" s="8"/>
      <c r="BJ37" s="8"/>
      <c r="BK37" s="8"/>
      <c r="BL37" s="57" t="s">
        <v>25</v>
      </c>
      <c r="BM37" s="91" t="s">
        <v>82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8"/>
      <c r="CT37" s="8"/>
      <c r="CU37" s="8"/>
      <c r="CV37" s="1"/>
      <c r="CW37" s="1"/>
      <c r="CX37" s="1"/>
      <c r="CY37" s="1"/>
      <c r="CZ37" s="1"/>
      <c r="DA37" s="1"/>
      <c r="DB37" s="1"/>
      <c r="DC37" s="1"/>
    </row>
    <row r="38" spans="1:107" ht="30" customHeight="1">
      <c r="A38" s="1"/>
      <c r="B38" s="9"/>
      <c r="C38" s="9"/>
      <c r="D38" s="8"/>
      <c r="E38" s="8"/>
      <c r="F38" s="8"/>
      <c r="G38" s="1"/>
      <c r="H38" s="1"/>
      <c r="I38" s="1"/>
      <c r="J38" s="1"/>
      <c r="K38" s="1"/>
      <c r="L38" s="1"/>
      <c r="M38" s="1"/>
      <c r="N38" s="8"/>
      <c r="O38" s="1"/>
      <c r="P38" s="1"/>
      <c r="Q38" s="8"/>
      <c r="R38" s="8"/>
      <c r="S38" s="27"/>
      <c r="T38" s="63" t="s">
        <v>101</v>
      </c>
      <c r="U38" s="142" t="s">
        <v>58</v>
      </c>
      <c r="V38" s="1"/>
      <c r="W38" s="89"/>
      <c r="X38" s="56"/>
      <c r="Y38" s="1"/>
      <c r="Z38" s="113"/>
      <c r="AA38" s="119"/>
      <c r="AB38" s="8"/>
      <c r="AC38" s="94" t="s">
        <v>121</v>
      </c>
      <c r="AD38" s="93" t="s">
        <v>48</v>
      </c>
      <c r="AE38" s="1"/>
      <c r="AF38" s="89"/>
      <c r="AG38" s="56"/>
      <c r="AH38" s="1"/>
      <c r="AI38" s="86"/>
      <c r="AJ38" s="75"/>
      <c r="AK38" s="8"/>
      <c r="AL38" s="86"/>
      <c r="AM38" s="75"/>
      <c r="AN38" s="8"/>
      <c r="AO38" s="86"/>
      <c r="AP38" s="75"/>
      <c r="AQ38" s="8"/>
      <c r="AR38" s="86"/>
      <c r="AS38" s="75"/>
      <c r="AT38" s="8"/>
      <c r="AU38" s="92"/>
      <c r="AV38" s="67"/>
      <c r="AW38" s="8"/>
      <c r="AX38" s="168"/>
      <c r="AY38" s="298"/>
      <c r="AZ38" s="1"/>
      <c r="BA38" s="89"/>
      <c r="BB38" s="56"/>
      <c r="BC38" s="8"/>
      <c r="BD38" s="8"/>
      <c r="BE38" s="9"/>
      <c r="BF38" s="9"/>
      <c r="BG38" s="9"/>
      <c r="BH38" s="9"/>
      <c r="BI38" s="8"/>
      <c r="BJ38" s="8"/>
      <c r="BK38" s="8"/>
      <c r="BL38" s="13" t="s">
        <v>31</v>
      </c>
      <c r="BM38" s="91" t="s">
        <v>69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8"/>
      <c r="CT38" s="8"/>
      <c r="CU38" s="8"/>
      <c r="CV38" s="1"/>
      <c r="CW38" s="1"/>
      <c r="CX38" s="1"/>
      <c r="CY38" s="1"/>
      <c r="CZ38" s="1"/>
      <c r="DA38" s="1"/>
      <c r="DB38" s="1"/>
      <c r="DC38" s="1"/>
    </row>
    <row r="39" spans="1:107" ht="30" customHeight="1">
      <c r="A39" s="1"/>
      <c r="B39" s="9"/>
      <c r="C39" s="9"/>
      <c r="D39" s="8"/>
      <c r="E39" s="8"/>
      <c r="F39" s="8"/>
      <c r="G39" s="1"/>
      <c r="H39" s="1"/>
      <c r="I39" s="1"/>
      <c r="J39" s="1"/>
      <c r="K39" s="1"/>
      <c r="L39" s="1"/>
      <c r="M39" s="1"/>
      <c r="N39" s="8"/>
      <c r="O39" s="1"/>
      <c r="P39" s="1"/>
      <c r="Q39" s="8"/>
      <c r="R39" s="8"/>
      <c r="S39" s="27"/>
      <c r="T39" s="89"/>
      <c r="U39" s="56"/>
      <c r="V39" s="8"/>
      <c r="W39" s="89"/>
      <c r="X39" s="56"/>
      <c r="Y39" s="1"/>
      <c r="Z39" s="89"/>
      <c r="AA39" s="56"/>
      <c r="AB39" s="8"/>
      <c r="AC39" s="96" t="s">
        <v>122</v>
      </c>
      <c r="AD39" s="54" t="s">
        <v>52</v>
      </c>
      <c r="AE39" s="1"/>
      <c r="AF39" s="89"/>
      <c r="AG39" s="56"/>
      <c r="AH39" s="1"/>
      <c r="AI39" s="89"/>
      <c r="AJ39" s="56"/>
      <c r="AK39" s="8"/>
      <c r="AL39" s="86"/>
      <c r="AM39" s="75"/>
      <c r="AN39" s="8"/>
      <c r="AO39" s="95"/>
      <c r="AP39" s="75"/>
      <c r="AQ39" s="8"/>
      <c r="AR39" s="86"/>
      <c r="AS39" s="75"/>
      <c r="AT39" s="8"/>
      <c r="AU39" s="86"/>
      <c r="AV39" s="67"/>
      <c r="AW39" s="8"/>
      <c r="AX39" s="166"/>
      <c r="AY39" s="67"/>
      <c r="AZ39" s="1"/>
      <c r="BA39" s="89"/>
      <c r="BB39" s="56"/>
      <c r="BC39" s="8"/>
      <c r="BD39" s="8"/>
      <c r="BE39" s="9"/>
      <c r="BF39" s="9"/>
      <c r="BG39" s="9"/>
      <c r="BH39" s="9"/>
      <c r="BI39" s="8"/>
      <c r="BJ39" s="8"/>
      <c r="BK39" s="8"/>
      <c r="BL39" s="13" t="s">
        <v>26</v>
      </c>
      <c r="BM39" s="97" t="s">
        <v>124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8"/>
      <c r="CT39" s="8"/>
      <c r="CU39" s="8"/>
      <c r="CV39" s="1"/>
      <c r="CW39" s="1"/>
      <c r="CX39" s="1"/>
      <c r="CY39" s="1"/>
      <c r="CZ39" s="1"/>
      <c r="DA39" s="1"/>
      <c r="DB39" s="1"/>
      <c r="DC39" s="1"/>
    </row>
    <row r="40" spans="1:107" ht="30" customHeight="1">
      <c r="A40" s="1"/>
      <c r="B40" s="9"/>
      <c r="C40" s="9"/>
      <c r="D40" s="8"/>
      <c r="E40" s="8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27"/>
      <c r="T40" s="89"/>
      <c r="U40" s="56"/>
      <c r="V40" s="1"/>
      <c r="W40" s="89"/>
      <c r="X40" s="56"/>
      <c r="Y40" s="1"/>
      <c r="Z40" s="89"/>
      <c r="AA40" s="56"/>
      <c r="AB40" s="8"/>
      <c r="AC40" s="90" t="s">
        <v>109</v>
      </c>
      <c r="AD40" s="54" t="s">
        <v>52</v>
      </c>
      <c r="AE40" s="1"/>
      <c r="AF40" s="89"/>
      <c r="AG40" s="56"/>
      <c r="AH40" s="1"/>
      <c r="AI40" s="86"/>
      <c r="AJ40" s="98"/>
      <c r="AK40" s="8"/>
      <c r="AL40" s="86"/>
      <c r="AM40" s="98"/>
      <c r="AN40" s="8"/>
      <c r="AO40" s="86"/>
      <c r="AP40" s="98"/>
      <c r="AQ40" s="8"/>
      <c r="AR40" s="86"/>
      <c r="AS40" s="98"/>
      <c r="AT40" s="8"/>
      <c r="AU40" s="86"/>
      <c r="AV40" s="67"/>
      <c r="AW40" s="8"/>
      <c r="AX40" s="166"/>
      <c r="AY40" s="67"/>
      <c r="AZ40" s="1"/>
      <c r="BA40" s="89"/>
      <c r="BB40" s="56"/>
      <c r="BC40" s="8"/>
      <c r="BD40" s="8"/>
      <c r="BE40" s="9"/>
      <c r="BF40" s="9"/>
      <c r="BG40" s="9"/>
      <c r="BH40" s="9"/>
      <c r="BI40" s="1"/>
      <c r="BJ40" s="1"/>
      <c r="BK40" s="1"/>
      <c r="BL40" s="368" t="s">
        <v>4271</v>
      </c>
      <c r="BM40" s="705" t="s">
        <v>4284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8"/>
      <c r="CT40" s="8"/>
      <c r="CU40" s="8"/>
      <c r="CV40" s="1"/>
      <c r="CW40" s="1"/>
      <c r="CX40" s="1"/>
      <c r="CY40" s="1"/>
      <c r="CZ40" s="1"/>
      <c r="DA40" s="1"/>
      <c r="DB40" s="1"/>
      <c r="DC40" s="1"/>
    </row>
    <row r="41" spans="1:107" ht="30" customHeight="1">
      <c r="A41" s="1"/>
      <c r="B41" s="9"/>
      <c r="C41" s="9"/>
      <c r="D41" s="8"/>
      <c r="E41" s="8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27"/>
      <c r="T41" s="79"/>
      <c r="U41" s="56"/>
      <c r="V41" s="1"/>
      <c r="W41" s="79"/>
      <c r="X41" s="56"/>
      <c r="Y41" s="1"/>
      <c r="Z41" s="79"/>
      <c r="AA41" s="56"/>
      <c r="AB41" s="8"/>
      <c r="AC41" s="79" t="s">
        <v>4285</v>
      </c>
      <c r="AD41" s="74" t="s">
        <v>76</v>
      </c>
      <c r="AE41" s="1"/>
      <c r="AF41" s="89"/>
      <c r="AG41" s="56"/>
      <c r="AH41" s="1"/>
      <c r="AI41" s="95"/>
      <c r="AJ41" s="706"/>
      <c r="AK41" s="103"/>
      <c r="AL41" s="95"/>
      <c r="AM41" s="706"/>
      <c r="AN41" s="103"/>
      <c r="AO41" s="95"/>
      <c r="AP41" s="706"/>
      <c r="AQ41" s="103"/>
      <c r="AR41" s="95"/>
      <c r="AS41" s="706"/>
      <c r="AT41" s="103"/>
      <c r="AU41" s="95"/>
      <c r="AV41" s="706"/>
      <c r="AW41" s="103"/>
      <c r="AX41" s="325"/>
      <c r="AY41" s="706"/>
      <c r="AZ41" s="1"/>
      <c r="BA41" s="79"/>
      <c r="BB41" s="56"/>
      <c r="BC41" s="8"/>
      <c r="BD41" s="8"/>
      <c r="BE41" s="9"/>
      <c r="BF41" s="9"/>
      <c r="BG41" s="9"/>
      <c r="BH41" s="9"/>
      <c r="BI41" s="1"/>
      <c r="BJ41" s="1"/>
      <c r="BK41" s="1"/>
      <c r="BL41" s="13" t="s">
        <v>17</v>
      </c>
      <c r="BM41" s="77" t="s">
        <v>126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8"/>
      <c r="CT41" s="8"/>
      <c r="CU41" s="8"/>
      <c r="CV41" s="1"/>
      <c r="CW41" s="1"/>
      <c r="CX41" s="1"/>
      <c r="CY41" s="1"/>
      <c r="CZ41" s="1"/>
      <c r="DA41" s="1"/>
      <c r="DB41" s="1"/>
      <c r="DC41" s="1"/>
    </row>
    <row r="42" spans="1:107" ht="30" customHeight="1">
      <c r="A42" s="1"/>
      <c r="B42" s="9"/>
      <c r="C42" s="9"/>
      <c r="D42" s="8"/>
      <c r="E42" s="8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27"/>
      <c r="T42" s="95"/>
      <c r="U42" s="56"/>
      <c r="V42" s="1"/>
      <c r="W42" s="95"/>
      <c r="X42" s="56"/>
      <c r="Y42" s="8"/>
      <c r="Z42" s="95"/>
      <c r="AA42" s="56"/>
      <c r="AB42" s="1"/>
      <c r="AC42" s="209" t="s">
        <v>233</v>
      </c>
      <c r="AD42" s="74" t="s">
        <v>76</v>
      </c>
      <c r="AE42" s="1"/>
      <c r="AF42" s="95"/>
      <c r="AG42" s="706"/>
      <c r="AH42" s="8"/>
      <c r="AI42" s="95"/>
      <c r="AJ42" s="706"/>
      <c r="AK42" s="8"/>
      <c r="AL42" s="95"/>
      <c r="AM42" s="706"/>
      <c r="AN42" s="8"/>
      <c r="AO42" s="95"/>
      <c r="AP42" s="706"/>
      <c r="AQ42" s="1"/>
      <c r="AR42" s="95"/>
      <c r="AS42" s="706"/>
      <c r="AT42" s="1"/>
      <c r="AU42" s="95"/>
      <c r="AV42" s="706"/>
      <c r="AW42" s="1"/>
      <c r="AX42" s="95"/>
      <c r="AY42" s="706"/>
      <c r="AZ42" s="2"/>
      <c r="BA42" s="95"/>
      <c r="BB42" s="56"/>
      <c r="BC42" s="8"/>
      <c r="BD42" s="8"/>
      <c r="BE42" s="9"/>
      <c r="BF42" s="9"/>
      <c r="BG42" s="9"/>
      <c r="BH42" s="9"/>
      <c r="BI42" s="1"/>
      <c r="BJ42" s="1"/>
      <c r="BK42" s="1"/>
      <c r="BL42" s="104" t="s">
        <v>36</v>
      </c>
      <c r="BM42" s="105" t="s">
        <v>91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8"/>
      <c r="CT42" s="8"/>
      <c r="CU42" s="8"/>
      <c r="CV42" s="1"/>
      <c r="CW42" s="1"/>
      <c r="CX42" s="1"/>
      <c r="CY42" s="1"/>
      <c r="CZ42" s="1"/>
      <c r="DA42" s="1"/>
      <c r="DB42" s="1"/>
      <c r="DC42" s="1"/>
    </row>
    <row r="43" spans="1:107" ht="30" customHeight="1">
      <c r="A43" s="1"/>
      <c r="B43" s="9"/>
      <c r="C43" s="9"/>
      <c r="D43" s="8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27"/>
      <c r="T43" s="99"/>
      <c r="U43" s="100"/>
      <c r="V43" s="1"/>
      <c r="W43" s="99"/>
      <c r="X43" s="100"/>
      <c r="Y43" s="8"/>
      <c r="Z43" s="99"/>
      <c r="AA43" s="100"/>
      <c r="AB43" s="1"/>
      <c r="AC43" s="707" t="s">
        <v>125</v>
      </c>
      <c r="AD43" s="419" t="s">
        <v>52</v>
      </c>
      <c r="AE43" s="1"/>
      <c r="AF43" s="99"/>
      <c r="AG43" s="100"/>
      <c r="AH43" s="8"/>
      <c r="AI43" s="99"/>
      <c r="AJ43" s="100"/>
      <c r="AK43" s="8"/>
      <c r="AL43" s="99"/>
      <c r="AM43" s="100"/>
      <c r="AN43" s="8"/>
      <c r="AO43" s="99"/>
      <c r="AP43" s="100"/>
      <c r="AQ43" s="1"/>
      <c r="AR43" s="99"/>
      <c r="AS43" s="100"/>
      <c r="AT43" s="1"/>
      <c r="AU43" s="99"/>
      <c r="AV43" s="100"/>
      <c r="AW43" s="1"/>
      <c r="AX43" s="99"/>
      <c r="AY43" s="100"/>
      <c r="AZ43" s="2"/>
      <c r="BA43" s="99"/>
      <c r="BB43" s="100"/>
      <c r="BC43" s="8"/>
      <c r="BD43" s="8"/>
      <c r="BE43" s="9"/>
      <c r="BF43" s="9"/>
      <c r="BG43" s="9"/>
      <c r="BH43" s="9"/>
      <c r="BI43" s="1"/>
      <c r="BJ43" s="1"/>
      <c r="BK43" s="1"/>
      <c r="BL43" s="106" t="s">
        <v>4286</v>
      </c>
      <c r="BM43" s="107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8"/>
      <c r="CT43" s="8"/>
      <c r="CU43" s="8"/>
      <c r="CV43" s="1"/>
      <c r="CW43" s="1"/>
      <c r="CX43" s="1"/>
      <c r="CY43" s="1"/>
      <c r="CZ43" s="1"/>
      <c r="DA43" s="1"/>
      <c r="DB43" s="1"/>
      <c r="DC43" s="1"/>
    </row>
    <row r="44" spans="1:107" ht="30" customHeight="1">
      <c r="A44" s="1"/>
      <c r="B44" s="9"/>
      <c r="C44" s="9"/>
      <c r="D44" s="8"/>
      <c r="E44" s="8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27"/>
      <c r="T44" s="24"/>
      <c r="U44" s="29"/>
      <c r="V44" s="1"/>
      <c r="W44" s="8"/>
      <c r="X44" s="8"/>
      <c r="Y44" s="8"/>
      <c r="Z44" s="8"/>
      <c r="AA44" s="8"/>
      <c r="AB44" s="8"/>
      <c r="AC44" s="9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"/>
      <c r="AV44" s="1"/>
      <c r="AW44" s="1"/>
      <c r="AX44" s="8"/>
      <c r="AY44" s="8"/>
      <c r="AZ44" s="8"/>
      <c r="BA44" s="8"/>
      <c r="BB44" s="8"/>
      <c r="BC44" s="8"/>
      <c r="BD44" s="8"/>
      <c r="BE44" s="9"/>
      <c r="BF44" s="9"/>
      <c r="BG44" s="9"/>
      <c r="BH44" s="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8"/>
      <c r="CT44" s="8"/>
      <c r="CU44" s="8"/>
      <c r="CV44" s="1"/>
      <c r="CW44" s="1"/>
      <c r="CX44" s="1"/>
      <c r="CY44" s="1"/>
      <c r="CZ44" s="1"/>
      <c r="DA44" s="1"/>
      <c r="DB44" s="1"/>
      <c r="DC44" s="1"/>
    </row>
    <row r="45" spans="1:107" ht="30" customHeight="1">
      <c r="A45" s="1"/>
      <c r="B45" s="9"/>
      <c r="C45" s="9"/>
      <c r="D45" s="8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27"/>
      <c r="T45" s="24"/>
      <c r="U45" s="29"/>
      <c r="V45" s="1"/>
      <c r="W45" s="8"/>
      <c r="X45" s="8"/>
      <c r="Y45" s="8"/>
      <c r="Z45" s="8"/>
      <c r="AA45" s="8"/>
      <c r="AB45" s="8"/>
      <c r="AC45" s="9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"/>
      <c r="AV45" s="1"/>
      <c r="AW45" s="1"/>
      <c r="AX45" s="8"/>
      <c r="AY45" s="8"/>
      <c r="AZ45" s="8"/>
      <c r="BA45" s="8"/>
      <c r="BB45" s="8"/>
      <c r="BC45" s="8"/>
      <c r="BD45" s="8"/>
      <c r="BE45" s="9"/>
      <c r="BF45" s="9"/>
      <c r="BG45" s="9"/>
      <c r="BH45" s="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8"/>
      <c r="CT45" s="8"/>
      <c r="CU45" s="8"/>
      <c r="CV45" s="1"/>
      <c r="CW45" s="1"/>
      <c r="CX45" s="1"/>
      <c r="CY45" s="1"/>
      <c r="CZ45" s="1"/>
      <c r="DA45" s="1"/>
      <c r="DB45" s="1"/>
      <c r="DC45" s="1"/>
    </row>
    <row r="46" spans="1:107" ht="37.5" customHeight="1">
      <c r="A46" s="1"/>
      <c r="B46" s="9"/>
      <c r="C46" s="9"/>
      <c r="D46" s="8"/>
      <c r="E46" s="8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"/>
      <c r="X46" s="8"/>
      <c r="Y46" s="8"/>
      <c r="Z46" s="8"/>
      <c r="AA46" s="8"/>
      <c r="AB46" s="8"/>
      <c r="AC46" s="9"/>
      <c r="AD46" s="8"/>
      <c r="AE46" s="8"/>
      <c r="AF46" s="8"/>
      <c r="AG46" s="8"/>
      <c r="AH46" s="8"/>
      <c r="AI46" s="8"/>
      <c r="AJ46" s="8"/>
      <c r="AK46" s="8"/>
      <c r="AL46" s="786" t="s">
        <v>127</v>
      </c>
      <c r="AM46" s="757"/>
      <c r="AN46" s="757"/>
      <c r="AO46" s="757"/>
      <c r="AP46" s="757"/>
      <c r="AQ46" s="757"/>
      <c r="AR46" s="757"/>
      <c r="AS46" s="757"/>
      <c r="AT46" s="757"/>
      <c r="AU46" s="758"/>
      <c r="AV46" s="8"/>
      <c r="AW46" s="8"/>
      <c r="AX46" s="1"/>
      <c r="AY46" s="1"/>
      <c r="AZ46" s="1"/>
      <c r="BA46" s="1"/>
      <c r="BB46" s="1"/>
      <c r="BC46" s="1"/>
      <c r="BD46" s="8"/>
      <c r="BE46" s="9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8"/>
      <c r="CT46" s="8"/>
      <c r="CU46" s="8"/>
      <c r="CV46" s="1"/>
      <c r="CW46" s="1"/>
      <c r="CX46" s="1"/>
      <c r="CY46" s="1"/>
      <c r="CZ46" s="1"/>
      <c r="DA46" s="1"/>
      <c r="DB46" s="1"/>
      <c r="DC46" s="1"/>
    </row>
    <row r="47" spans="1:107" ht="21.75" customHeight="1">
      <c r="A47" s="1"/>
      <c r="B47" s="9"/>
      <c r="C47" s="9"/>
      <c r="D47" s="8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"/>
      <c r="X47" s="8"/>
      <c r="Y47" s="8"/>
      <c r="Z47" s="8"/>
      <c r="AA47" s="8"/>
      <c r="AB47" s="8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6"/>
      <c r="AW47" s="1"/>
      <c r="AX47" s="1"/>
      <c r="AY47" s="1"/>
      <c r="AZ47" s="1"/>
      <c r="BA47" s="1"/>
      <c r="BB47" s="1"/>
      <c r="BC47" s="1"/>
      <c r="BD47" s="8"/>
      <c r="BE47" s="9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763" t="s">
        <v>128</v>
      </c>
      <c r="BS47" s="764"/>
      <c r="BT47" s="764"/>
      <c r="BU47" s="764"/>
      <c r="BV47" s="764"/>
      <c r="BW47" s="765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ht="9.75" customHeight="1">
      <c r="A48" s="8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9"/>
      <c r="R48" s="9"/>
      <c r="S48" s="9"/>
      <c r="T48" s="9"/>
      <c r="U48" s="9"/>
      <c r="V48" s="9"/>
      <c r="W48" s="8"/>
      <c r="X48" s="8"/>
      <c r="Y48" s="8"/>
      <c r="Z48" s="8"/>
      <c r="AA48" s="8"/>
      <c r="AB48" s="8"/>
      <c r="AC48" s="9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1"/>
      <c r="BA48" s="8"/>
      <c r="BB48" s="8"/>
      <c r="BC48" s="8"/>
      <c r="BD48" s="8"/>
      <c r="BE48" s="9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766"/>
      <c r="BS48" s="767"/>
      <c r="BT48" s="767"/>
      <c r="BU48" s="767"/>
      <c r="BV48" s="767"/>
      <c r="BW48" s="760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24" customHeight="1">
      <c r="A49" s="8"/>
      <c r="B49" s="9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  <c r="Q49" s="9"/>
      <c r="R49" s="9"/>
      <c r="S49" s="9"/>
      <c r="T49" s="9"/>
      <c r="U49" s="9"/>
      <c r="V49" s="9"/>
      <c r="W49" s="8"/>
      <c r="X49" s="8"/>
      <c r="Y49" s="8"/>
      <c r="Z49" s="8"/>
      <c r="AA49" s="8"/>
      <c r="AB49" s="8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1"/>
      <c r="BA49" s="8"/>
      <c r="BB49" s="8"/>
      <c r="BC49" s="8"/>
      <c r="BD49" s="8"/>
      <c r="BE49" s="9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778" t="s">
        <v>129</v>
      </c>
      <c r="BS49" s="757"/>
      <c r="BT49" s="757"/>
      <c r="BU49" s="757"/>
      <c r="BV49" s="757"/>
      <c r="BW49" s="758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29.25" customHeight="1">
      <c r="A50" s="8"/>
      <c r="B50" s="9"/>
      <c r="C50" s="9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08"/>
      <c r="V50" s="108"/>
      <c r="W50" s="108"/>
      <c r="X50" s="8"/>
      <c r="Y50" s="8"/>
      <c r="Z50" s="8"/>
      <c r="AA50" s="8"/>
      <c r="AB50" s="8"/>
      <c r="AC50" s="9"/>
      <c r="AD50" s="8"/>
      <c r="AE50" s="8"/>
      <c r="AF50" s="8"/>
      <c r="AG50" s="8"/>
      <c r="AH50" s="8"/>
      <c r="AI50" s="8"/>
      <c r="AJ50" s="8"/>
      <c r="AK50" s="8"/>
      <c r="AL50" s="9"/>
      <c r="AM50" s="8"/>
      <c r="AN50" s="8"/>
      <c r="AO50" s="9"/>
      <c r="AP50" s="8"/>
      <c r="AQ50" s="8"/>
      <c r="AR50" s="9"/>
      <c r="AS50" s="6"/>
      <c r="AT50" s="8"/>
      <c r="AU50" s="8"/>
      <c r="AV50" s="8"/>
      <c r="AW50" s="8"/>
      <c r="AX50" s="8"/>
      <c r="AY50" s="8"/>
      <c r="AZ50" s="1"/>
      <c r="BA50" s="8"/>
      <c r="BB50" s="8"/>
      <c r="BC50" s="8"/>
      <c r="BD50" s="8"/>
      <c r="BE50" s="9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8"/>
      <c r="BT50" s="8"/>
      <c r="BU50" s="8"/>
      <c r="BV50" s="8"/>
      <c r="BW50" s="8"/>
      <c r="BX50" s="8"/>
      <c r="BY50" s="8"/>
      <c r="BZ50" s="8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ht="17.25" customHeight="1">
      <c r="A51" s="8"/>
      <c r="B51" s="9"/>
      <c r="C51" s="9"/>
      <c r="D51" s="8"/>
      <c r="E51" s="8"/>
      <c r="F51" s="8"/>
      <c r="G51" s="8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12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5"/>
      <c r="AQ51" s="36"/>
      <c r="AR51" s="36"/>
      <c r="AS51" s="36"/>
      <c r="AT51" s="36"/>
      <c r="AU51" s="36"/>
      <c r="AV51" s="36"/>
      <c r="AW51" s="36"/>
      <c r="AX51" s="37"/>
      <c r="AY51" s="8"/>
      <c r="AZ51" s="8"/>
      <c r="BA51" s="8"/>
      <c r="BB51" s="8"/>
      <c r="BC51" s="1"/>
      <c r="BD51" s="8"/>
      <c r="BE51" s="8"/>
      <c r="BF51" s="1"/>
      <c r="BG51" s="1"/>
      <c r="BH51" s="1"/>
      <c r="BI51" s="1"/>
      <c r="BJ51" s="1"/>
      <c r="BK51" s="1"/>
      <c r="BL51" s="8"/>
      <c r="BM51" s="8"/>
      <c r="BN51" s="8"/>
      <c r="BO51" s="109"/>
      <c r="BP51" s="110"/>
      <c r="BQ51" s="110"/>
      <c r="BR51" s="110"/>
      <c r="BS51" s="111"/>
      <c r="BT51" s="111"/>
      <c r="BU51" s="111"/>
      <c r="BV51" s="111"/>
      <c r="BW51" s="111"/>
      <c r="BX51" s="111"/>
      <c r="BY51" s="111"/>
      <c r="BZ51" s="111"/>
      <c r="CA51" s="112"/>
      <c r="CB51" s="6"/>
      <c r="CC51" s="6"/>
      <c r="CD51" s="6"/>
      <c r="CE51" s="6"/>
      <c r="CF51" s="6"/>
      <c r="CG51" s="6"/>
      <c r="CH51" s="6"/>
      <c r="CI51" s="6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21.75" customHeight="1">
      <c r="A52" s="8"/>
      <c r="B52" s="9"/>
      <c r="C52" s="9"/>
      <c r="D52" s="8"/>
      <c r="E52" s="778" t="s">
        <v>130</v>
      </c>
      <c r="F52" s="757"/>
      <c r="G52" s="757"/>
      <c r="H52" s="75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78" t="s">
        <v>131</v>
      </c>
      <c r="AB52" s="757"/>
      <c r="AC52" s="757"/>
      <c r="AD52" s="757"/>
      <c r="AE52" s="757"/>
      <c r="AF52" s="758"/>
      <c r="AG52" s="9"/>
      <c r="AH52" s="9"/>
      <c r="AI52" s="9"/>
      <c r="AJ52" s="9"/>
      <c r="AK52" s="9"/>
      <c r="AL52" s="9"/>
      <c r="AM52" s="8"/>
      <c r="AN52" s="8"/>
      <c r="AO52" s="9"/>
      <c r="AP52" s="113"/>
      <c r="AQ52" s="8"/>
      <c r="AR52" s="8"/>
      <c r="AS52" s="8"/>
      <c r="AT52" s="8"/>
      <c r="AU52" s="8"/>
      <c r="AV52" s="8"/>
      <c r="AW52" s="8"/>
      <c r="AX52" s="778" t="s">
        <v>132</v>
      </c>
      <c r="AY52" s="757"/>
      <c r="AZ52" s="758"/>
      <c r="BA52" s="8"/>
      <c r="BB52" s="8"/>
      <c r="BC52" s="1"/>
      <c r="BD52" s="8"/>
      <c r="BE52" s="8"/>
      <c r="BF52" s="1"/>
      <c r="BG52" s="1"/>
      <c r="BH52" s="1"/>
      <c r="BI52" s="1"/>
      <c r="BJ52" s="1"/>
      <c r="BK52" s="1"/>
      <c r="BL52" s="1"/>
      <c r="BM52" s="787" t="s">
        <v>133</v>
      </c>
      <c r="BN52" s="788"/>
      <c r="BO52" s="789"/>
      <c r="BP52" s="6"/>
      <c r="BQ52" s="8"/>
      <c r="BR52" s="8"/>
      <c r="BS52" s="6"/>
      <c r="BT52" s="8"/>
      <c r="BU52" s="1"/>
      <c r="BV52" s="1"/>
      <c r="BW52" s="8"/>
      <c r="BX52" s="6"/>
      <c r="BY52" s="6"/>
      <c r="BZ52" s="8"/>
      <c r="CA52" s="787" t="s">
        <v>134</v>
      </c>
      <c r="CB52" s="788"/>
      <c r="CC52" s="789"/>
      <c r="CD52" s="6"/>
      <c r="CE52" s="6"/>
      <c r="CF52" s="6"/>
      <c r="CG52" s="6"/>
      <c r="CH52" s="2"/>
      <c r="CI52" s="6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ht="19.5" customHeight="1">
      <c r="A53" s="8"/>
      <c r="B53" s="9"/>
      <c r="C53" s="9"/>
      <c r="D53" s="8"/>
      <c r="E53" s="778" t="s">
        <v>135</v>
      </c>
      <c r="F53" s="757"/>
      <c r="G53" s="757"/>
      <c r="H53" s="758"/>
      <c r="I53" s="8"/>
      <c r="J53" s="8"/>
      <c r="K53" s="8"/>
      <c r="L53" s="8"/>
      <c r="M53" s="8"/>
      <c r="N53" s="8"/>
      <c r="O53" s="8">
        <f>SUM(C56,F56,I56,L56)</f>
        <v>27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9"/>
      <c r="AP53" s="113"/>
      <c r="AQ53" s="8"/>
      <c r="AR53" s="8"/>
      <c r="AS53" s="8"/>
      <c r="AT53" s="8"/>
      <c r="AU53" s="114"/>
      <c r="AV53" s="114"/>
      <c r="AW53" s="8"/>
      <c r="AX53" s="783" t="s">
        <v>135</v>
      </c>
      <c r="AY53" s="784"/>
      <c r="AZ53" s="785"/>
      <c r="BA53" s="8"/>
      <c r="BB53" s="8"/>
      <c r="BC53" s="1"/>
      <c r="BD53" s="8"/>
      <c r="BE53" s="8"/>
      <c r="BF53" s="1"/>
      <c r="BG53" s="1"/>
      <c r="BH53" s="1"/>
      <c r="BI53" s="1"/>
      <c r="BJ53" s="1"/>
      <c r="BK53" s="1"/>
      <c r="BL53" s="6"/>
      <c r="BM53" s="790" t="s">
        <v>136</v>
      </c>
      <c r="BN53" s="791"/>
      <c r="BO53" s="770"/>
      <c r="BP53" s="6"/>
      <c r="BQ53" s="8"/>
      <c r="BR53" s="8"/>
      <c r="BS53" s="6"/>
      <c r="BT53" s="8"/>
      <c r="BU53" s="1"/>
      <c r="BV53" s="1"/>
      <c r="BW53" s="8"/>
      <c r="BX53" s="6"/>
      <c r="BY53" s="6"/>
      <c r="BZ53" s="8"/>
      <c r="CA53" s="790" t="s">
        <v>137</v>
      </c>
      <c r="CB53" s="791"/>
      <c r="CC53" s="770"/>
      <c r="CD53" s="6"/>
      <c r="CE53" s="6"/>
      <c r="CF53" s="6"/>
      <c r="CG53" s="6"/>
      <c r="CH53" s="6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ht="10.5" customHeight="1">
      <c r="A54" s="8"/>
      <c r="B54" s="9"/>
      <c r="C54" s="9"/>
      <c r="D54" s="8"/>
      <c r="E54" s="8"/>
      <c r="F54" s="115"/>
      <c r="G54" s="8"/>
      <c r="H54" s="108"/>
      <c r="I54" s="108"/>
      <c r="J54" s="108"/>
      <c r="K54" s="108"/>
      <c r="L54" s="8"/>
      <c r="M54" s="8"/>
      <c r="N54" s="8"/>
      <c r="O54" s="8"/>
      <c r="P54" s="8"/>
      <c r="Q54" s="8"/>
      <c r="R54" s="8"/>
      <c r="S54" s="8"/>
      <c r="T54" s="8"/>
      <c r="U54" s="116"/>
      <c r="V54" s="116"/>
      <c r="W54" s="116"/>
      <c r="X54" s="116"/>
      <c r="Y54" s="116"/>
      <c r="Z54" s="116"/>
      <c r="AA54" s="116"/>
      <c r="AB54" s="116"/>
      <c r="AC54" s="117"/>
      <c r="AD54" s="116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9"/>
      <c r="AP54" s="113"/>
      <c r="AQ54" s="8"/>
      <c r="AR54" s="8"/>
      <c r="AS54" s="8"/>
      <c r="AT54" s="8"/>
      <c r="AU54" s="114"/>
      <c r="AV54" s="114"/>
      <c r="AW54" s="8"/>
      <c r="AX54" s="114"/>
      <c r="AY54" s="114"/>
      <c r="AZ54" s="8"/>
      <c r="BA54" s="8"/>
      <c r="BB54" s="8"/>
      <c r="BC54" s="1"/>
      <c r="BD54" s="8"/>
      <c r="BE54" s="8"/>
      <c r="BF54" s="1"/>
      <c r="BG54" s="1"/>
      <c r="BH54" s="1"/>
      <c r="BI54" s="1"/>
      <c r="BJ54" s="1"/>
      <c r="BK54" s="1"/>
      <c r="BL54" s="6"/>
      <c r="BM54" s="6"/>
      <c r="BN54" s="6"/>
      <c r="BO54" s="6"/>
      <c r="BP54" s="6"/>
      <c r="BQ54" s="8"/>
      <c r="BR54" s="6"/>
      <c r="BS54" s="6"/>
      <c r="BT54" s="8"/>
      <c r="BU54" s="1"/>
      <c r="BV54" s="1"/>
      <c r="BW54" s="1"/>
      <c r="BX54" s="1"/>
      <c r="BY54" s="1"/>
      <c r="BZ54" s="8"/>
      <c r="CA54" s="1"/>
      <c r="CB54" s="6"/>
      <c r="CC54" s="8"/>
      <c r="CD54" s="6"/>
      <c r="CE54" s="6"/>
      <c r="CF54" s="6"/>
      <c r="CG54" s="6"/>
      <c r="CH54" s="6"/>
      <c r="CI54" s="6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ht="9.75" customHeight="1">
      <c r="A55" s="8"/>
      <c r="B55" s="9"/>
      <c r="C55" s="118"/>
      <c r="D55" s="36"/>
      <c r="E55" s="37"/>
      <c r="F55" s="35"/>
      <c r="G55" s="36"/>
      <c r="H55" s="37"/>
      <c r="I55" s="35"/>
      <c r="J55" s="35"/>
      <c r="K55" s="35"/>
      <c r="L55" s="35"/>
      <c r="M55" s="35"/>
      <c r="N55" s="35"/>
      <c r="O55" s="8"/>
      <c r="P55" s="8"/>
      <c r="Q55" s="8"/>
      <c r="R55" s="8"/>
      <c r="S55" s="8"/>
      <c r="T55" s="8"/>
      <c r="U55" s="35"/>
      <c r="V55" s="36"/>
      <c r="W55" s="36"/>
      <c r="X55" s="35"/>
      <c r="Y55" s="36"/>
      <c r="Z55" s="36"/>
      <c r="AA55" s="35"/>
      <c r="AB55" s="36"/>
      <c r="AC55" s="17"/>
      <c r="AD55" s="35"/>
      <c r="AE55" s="36"/>
      <c r="AF55" s="36"/>
      <c r="AG55" s="35" t="s">
        <v>138</v>
      </c>
      <c r="AH55" s="36"/>
      <c r="AI55" s="36"/>
      <c r="AJ55" s="36"/>
      <c r="AK55" s="36"/>
      <c r="AL55" s="8"/>
      <c r="AM55" s="8"/>
      <c r="AN55" s="8"/>
      <c r="AO55" s="9"/>
      <c r="AP55" s="113"/>
      <c r="AQ55" s="8"/>
      <c r="AR55" s="8"/>
      <c r="AS55" s="8"/>
      <c r="AT55" s="8"/>
      <c r="AU55" s="119"/>
      <c r="AV55" s="35"/>
      <c r="AW55" s="8"/>
      <c r="AX55" s="37"/>
      <c r="AY55" s="36"/>
      <c r="AZ55" s="36"/>
      <c r="BA55" s="37"/>
      <c r="BB55" s="8"/>
      <c r="BC55" s="1"/>
      <c r="BD55" s="8"/>
      <c r="BE55" s="8"/>
      <c r="BF55" s="1"/>
      <c r="BG55" s="1"/>
      <c r="BH55" s="1"/>
      <c r="BI55" s="1"/>
      <c r="BJ55" s="1"/>
      <c r="BK55" s="1"/>
      <c r="BL55" s="6"/>
      <c r="BM55" s="6"/>
      <c r="BN55" s="6"/>
      <c r="BO55" s="2"/>
      <c r="BP55" s="2"/>
      <c r="BQ55" s="2"/>
      <c r="BR55" s="8"/>
      <c r="BS55" s="6"/>
      <c r="BT55" s="8"/>
      <c r="BU55" s="1"/>
      <c r="BV55" s="35"/>
      <c r="BW55" s="36"/>
      <c r="BX55" s="37"/>
      <c r="BY55" s="35"/>
      <c r="BZ55" s="36"/>
      <c r="CA55" s="37"/>
      <c r="CB55" s="35"/>
      <c r="CC55" s="36"/>
      <c r="CD55" s="115"/>
      <c r="CE55" s="36"/>
      <c r="CF55" s="36"/>
      <c r="CG55" s="115"/>
      <c r="CH55" s="6"/>
      <c r="CI55" s="6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ht="30" customHeight="1">
      <c r="A56" s="8"/>
      <c r="B56" s="41" t="s">
        <v>139</v>
      </c>
      <c r="C56" s="44">
        <f>COUNTA(C57:C65)</f>
        <v>9</v>
      </c>
      <c r="D56" s="8"/>
      <c r="E56" s="41" t="s">
        <v>140</v>
      </c>
      <c r="F56" s="44">
        <f>COUNTA(F57:F64)</f>
        <v>7</v>
      </c>
      <c r="G56" s="8"/>
      <c r="H56" s="41" t="s">
        <v>141</v>
      </c>
      <c r="I56" s="44">
        <f>COUNTA(I57:I63)</f>
        <v>6</v>
      </c>
      <c r="J56" s="8"/>
      <c r="K56" s="41" t="s">
        <v>142</v>
      </c>
      <c r="L56" s="44">
        <f>COUNTA(L57:L63)</f>
        <v>5</v>
      </c>
      <c r="M56" s="8"/>
      <c r="N56" s="41" t="s">
        <v>143</v>
      </c>
      <c r="O56" s="44">
        <v>3</v>
      </c>
      <c r="P56" s="8"/>
      <c r="Q56" s="8"/>
      <c r="R56" s="8"/>
      <c r="S56" s="8"/>
      <c r="T56" s="41" t="s">
        <v>144</v>
      </c>
      <c r="U56" s="120">
        <f>COUNTA(U57:U64)</f>
        <v>6</v>
      </c>
      <c r="V56" s="9"/>
      <c r="W56" s="41" t="s">
        <v>145</v>
      </c>
      <c r="X56" s="121">
        <f>COUNTA(X57:X71)</f>
        <v>14</v>
      </c>
      <c r="Y56" s="8"/>
      <c r="Z56" s="41" t="s">
        <v>146</v>
      </c>
      <c r="AA56" s="120">
        <v>13</v>
      </c>
      <c r="AB56" s="8"/>
      <c r="AC56" s="41" t="s">
        <v>147</v>
      </c>
      <c r="AD56" s="120">
        <f>COUNTA(AD57:AD69)</f>
        <v>9</v>
      </c>
      <c r="AE56" s="9"/>
      <c r="AF56" s="41" t="s">
        <v>148</v>
      </c>
      <c r="AG56" s="122">
        <f>COUNTA(AG57:AG67)</f>
        <v>6</v>
      </c>
      <c r="AH56" s="123"/>
      <c r="AI56" s="41" t="s">
        <v>149</v>
      </c>
      <c r="AJ56" s="122">
        <f>COUNTA(AJ57:AJ67)</f>
        <v>6</v>
      </c>
      <c r="AK56" s="123"/>
      <c r="AL56" s="41" t="s">
        <v>150</v>
      </c>
      <c r="AM56" s="124">
        <f>COUNTA(AM57:AM76)</f>
        <v>6</v>
      </c>
      <c r="AN56" s="8"/>
      <c r="AO56" s="9"/>
      <c r="AP56" s="113"/>
      <c r="AQ56" s="8"/>
      <c r="AR56" s="8"/>
      <c r="AS56" s="8"/>
      <c r="AT56" s="8"/>
      <c r="AU56" s="41" t="s">
        <v>151</v>
      </c>
      <c r="AV56" s="44">
        <f>COUNTA(AV57:AV67)</f>
        <v>3</v>
      </c>
      <c r="AW56" s="8"/>
      <c r="AX56" s="41" t="s">
        <v>152</v>
      </c>
      <c r="AY56" s="44">
        <f>COUNTA(AY57:AY67)</f>
        <v>7</v>
      </c>
      <c r="AZ56" s="8"/>
      <c r="BA56" s="41" t="s">
        <v>153</v>
      </c>
      <c r="BB56" s="44">
        <v>5</v>
      </c>
      <c r="BC56" s="8"/>
      <c r="BD56" s="41" t="s">
        <v>154</v>
      </c>
      <c r="BE56" s="125">
        <f>COUNTA(BE57:BE67)</f>
        <v>5</v>
      </c>
      <c r="BF56" s="1"/>
      <c r="BG56" s="1"/>
      <c r="BH56" s="1"/>
      <c r="BI56" s="1"/>
      <c r="BJ56" s="1"/>
      <c r="BK56" s="1"/>
      <c r="BL56" s="41" t="s">
        <v>155</v>
      </c>
      <c r="BM56" s="44">
        <f>COUNTA(BM57:BM69)</f>
        <v>11</v>
      </c>
      <c r="BN56" s="1"/>
      <c r="BO56" s="41" t="s">
        <v>156</v>
      </c>
      <c r="BP56" s="44">
        <f>COUNTA(BP57:BP72)</f>
        <v>9</v>
      </c>
      <c r="BQ56" s="1"/>
      <c r="BR56" s="8"/>
      <c r="BS56" s="6"/>
      <c r="BT56" s="8"/>
      <c r="BU56" s="45" t="s">
        <v>157</v>
      </c>
      <c r="BV56" s="120">
        <f>COUNTA(BV57:BV72)</f>
        <v>9</v>
      </c>
      <c r="BW56" s="1"/>
      <c r="BX56" s="45" t="s">
        <v>158</v>
      </c>
      <c r="BY56" s="120">
        <f>COUNTA(BY57:BY72)</f>
        <v>10</v>
      </c>
      <c r="BZ56" s="1"/>
      <c r="CA56" s="41" t="s">
        <v>159</v>
      </c>
      <c r="CB56" s="44">
        <f>COUNTA(CB57:CB67)</f>
        <v>7</v>
      </c>
      <c r="CC56" s="1"/>
      <c r="CD56" s="126" t="s">
        <v>160</v>
      </c>
      <c r="CE56" s="127">
        <f>COUNTA(CE57:CE69)</f>
        <v>4</v>
      </c>
      <c r="CF56" s="1"/>
      <c r="CG56" s="128" t="s">
        <v>161</v>
      </c>
      <c r="CH56" s="121">
        <f>COUNTA(CH57:CH71)</f>
        <v>9</v>
      </c>
      <c r="CI56" s="6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ht="30" customHeight="1">
      <c r="A57" s="8"/>
      <c r="B57" s="129" t="s">
        <v>162</v>
      </c>
      <c r="C57" s="130" t="s">
        <v>76</v>
      </c>
      <c r="D57" s="8" t="s">
        <v>163</v>
      </c>
      <c r="E57" s="131" t="s">
        <v>164</v>
      </c>
      <c r="F57" s="132" t="s">
        <v>76</v>
      </c>
      <c r="G57" s="8" t="s">
        <v>49</v>
      </c>
      <c r="H57" s="133" t="s">
        <v>165</v>
      </c>
      <c r="I57" s="134" t="s">
        <v>58</v>
      </c>
      <c r="J57" s="8" t="s">
        <v>49</v>
      </c>
      <c r="K57" s="135" t="s">
        <v>166</v>
      </c>
      <c r="L57" s="136" t="s">
        <v>52</v>
      </c>
      <c r="M57" s="8" t="s">
        <v>49</v>
      </c>
      <c r="N57" s="129" t="s">
        <v>162</v>
      </c>
      <c r="O57" s="130" t="s">
        <v>76</v>
      </c>
      <c r="P57" s="8"/>
      <c r="Q57" s="8"/>
      <c r="R57" s="8"/>
      <c r="S57" s="8"/>
      <c r="T57" s="137" t="s">
        <v>28</v>
      </c>
      <c r="U57" s="138" t="s">
        <v>48</v>
      </c>
      <c r="V57" s="27" t="s">
        <v>49</v>
      </c>
      <c r="W57" s="141" t="s">
        <v>169</v>
      </c>
      <c r="X57" s="162"/>
      <c r="Y57" s="8" t="s">
        <v>168</v>
      </c>
      <c r="Z57" s="143" t="s">
        <v>170</v>
      </c>
      <c r="AA57" s="144" t="s">
        <v>52</v>
      </c>
      <c r="AB57" s="8" t="s">
        <v>168</v>
      </c>
      <c r="AC57" s="145" t="s">
        <v>4287</v>
      </c>
      <c r="AD57" s="144" t="s">
        <v>52</v>
      </c>
      <c r="AE57" s="27" t="s">
        <v>49</v>
      </c>
      <c r="AF57" s="146" t="s">
        <v>171</v>
      </c>
      <c r="AG57" s="147"/>
      <c r="AH57" s="27" t="s">
        <v>49</v>
      </c>
      <c r="AI57" s="708" t="s">
        <v>286</v>
      </c>
      <c r="AJ57" s="147"/>
      <c r="AK57" s="27" t="s">
        <v>49</v>
      </c>
      <c r="AL57" s="215"/>
      <c r="AM57" s="147"/>
      <c r="AN57" s="27" t="s">
        <v>49</v>
      </c>
      <c r="AO57" s="9"/>
      <c r="AP57" s="113"/>
      <c r="AQ57" s="8"/>
      <c r="AR57" s="8"/>
      <c r="AS57" s="8"/>
      <c r="AT57" s="8"/>
      <c r="AU57" s="150" t="s">
        <v>173</v>
      </c>
      <c r="AV57" s="132"/>
      <c r="AW57" s="8" t="s">
        <v>163</v>
      </c>
      <c r="AX57" s="150" t="s">
        <v>173</v>
      </c>
      <c r="AY57" s="132" t="s">
        <v>76</v>
      </c>
      <c r="AZ57" s="8" t="s">
        <v>163</v>
      </c>
      <c r="BA57" s="131" t="s">
        <v>173</v>
      </c>
      <c r="BB57" s="132"/>
      <c r="BC57" s="8" t="s">
        <v>163</v>
      </c>
      <c r="BD57" s="151" t="s">
        <v>174</v>
      </c>
      <c r="BE57" s="152"/>
      <c r="BF57" s="1"/>
      <c r="BG57" s="1"/>
      <c r="BH57" s="1"/>
      <c r="BI57" s="1"/>
      <c r="BJ57" s="1"/>
      <c r="BK57" s="1"/>
      <c r="BL57" s="153" t="s">
        <v>175</v>
      </c>
      <c r="BM57" s="142" t="s">
        <v>58</v>
      </c>
      <c r="BN57" s="7" t="s">
        <v>49</v>
      </c>
      <c r="BO57" s="154" t="s">
        <v>176</v>
      </c>
      <c r="BP57" s="142" t="s">
        <v>58</v>
      </c>
      <c r="BQ57" s="7" t="s">
        <v>49</v>
      </c>
      <c r="BR57" s="8"/>
      <c r="BS57" s="6"/>
      <c r="BT57" s="8"/>
      <c r="BU57" s="154" t="s">
        <v>4288</v>
      </c>
      <c r="BV57" s="155" t="s">
        <v>52</v>
      </c>
      <c r="BW57" s="8" t="s">
        <v>163</v>
      </c>
      <c r="BX57" s="154" t="s">
        <v>4289</v>
      </c>
      <c r="BY57" s="269"/>
      <c r="BZ57" s="8" t="s">
        <v>49</v>
      </c>
      <c r="CA57" s="154" t="s">
        <v>179</v>
      </c>
      <c r="CB57" s="155" t="s">
        <v>52</v>
      </c>
      <c r="CC57" s="8" t="s">
        <v>49</v>
      </c>
      <c r="CD57" s="159" t="s">
        <v>180</v>
      </c>
      <c r="CE57" s="160"/>
      <c r="CF57" s="7" t="s">
        <v>49</v>
      </c>
      <c r="CG57" s="161" t="s">
        <v>166</v>
      </c>
      <c r="CH57" s="162"/>
      <c r="CI57" s="6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ht="30" customHeight="1">
      <c r="A58" s="8"/>
      <c r="B58" s="163" t="s">
        <v>181</v>
      </c>
      <c r="C58" s="130" t="s">
        <v>76</v>
      </c>
      <c r="D58" s="8" t="s">
        <v>182</v>
      </c>
      <c r="E58" s="164" t="s">
        <v>183</v>
      </c>
      <c r="F58" s="165" t="s">
        <v>76</v>
      </c>
      <c r="G58" s="8" t="s">
        <v>62</v>
      </c>
      <c r="H58" s="166" t="s">
        <v>184</v>
      </c>
      <c r="I58" s="69" t="s">
        <v>48</v>
      </c>
      <c r="J58" s="8" t="s">
        <v>62</v>
      </c>
      <c r="K58" s="167" t="s">
        <v>185</v>
      </c>
      <c r="L58" s="136" t="s">
        <v>52</v>
      </c>
      <c r="M58" s="8" t="s">
        <v>62</v>
      </c>
      <c r="N58" s="168" t="s">
        <v>186</v>
      </c>
      <c r="O58" s="91"/>
      <c r="P58" s="8"/>
      <c r="Q58" s="8"/>
      <c r="R58" s="8"/>
      <c r="S58" s="8"/>
      <c r="T58" s="145" t="s">
        <v>4290</v>
      </c>
      <c r="U58" s="169" t="s">
        <v>48</v>
      </c>
      <c r="V58" s="170" t="s">
        <v>62</v>
      </c>
      <c r="W58" s="139" t="s">
        <v>167</v>
      </c>
      <c r="X58" s="140" t="s">
        <v>58</v>
      </c>
      <c r="Y58" s="170"/>
      <c r="Z58" s="145" t="s">
        <v>4291</v>
      </c>
      <c r="AA58" s="144" t="s">
        <v>52</v>
      </c>
      <c r="AB58" s="170" t="s">
        <v>189</v>
      </c>
      <c r="AC58" s="145" t="s">
        <v>4292</v>
      </c>
      <c r="AD58" s="144" t="s">
        <v>52</v>
      </c>
      <c r="AE58" s="170" t="s">
        <v>62</v>
      </c>
      <c r="AF58" s="203" t="s">
        <v>249</v>
      </c>
      <c r="AG58" s="217" t="s">
        <v>76</v>
      </c>
      <c r="AH58" s="170" t="s">
        <v>62</v>
      </c>
      <c r="AI58" s="148" t="s">
        <v>230</v>
      </c>
      <c r="AJ58" s="149" t="s">
        <v>52</v>
      </c>
      <c r="AK58" s="173"/>
      <c r="AL58" s="146" t="s">
        <v>192</v>
      </c>
      <c r="AM58" s="149" t="s">
        <v>52</v>
      </c>
      <c r="AN58" s="173"/>
      <c r="AO58" s="9"/>
      <c r="AP58" s="113"/>
      <c r="AQ58" s="8"/>
      <c r="AR58" s="8"/>
      <c r="AS58" s="8"/>
      <c r="AT58" s="8"/>
      <c r="AU58" s="150" t="s">
        <v>193</v>
      </c>
      <c r="AV58" s="136" t="s">
        <v>52</v>
      </c>
      <c r="AW58" s="27"/>
      <c r="AX58" s="166" t="s">
        <v>194</v>
      </c>
      <c r="AY58" s="174" t="s">
        <v>76</v>
      </c>
      <c r="AZ58" s="27"/>
      <c r="BA58" s="709" t="s">
        <v>4293</v>
      </c>
      <c r="BB58" s="72" t="s">
        <v>52</v>
      </c>
      <c r="BC58" s="27"/>
      <c r="BD58" s="175" t="s">
        <v>195</v>
      </c>
      <c r="BE58" s="176" t="s">
        <v>52</v>
      </c>
      <c r="BF58" s="177" t="s">
        <v>62</v>
      </c>
      <c r="BG58" s="1"/>
      <c r="BH58" s="1"/>
      <c r="BI58" s="1"/>
      <c r="BJ58" s="1"/>
      <c r="BK58" s="1"/>
      <c r="BL58" s="178" t="s">
        <v>196</v>
      </c>
      <c r="BM58" s="142" t="s">
        <v>58</v>
      </c>
      <c r="BN58" s="157" t="s">
        <v>62</v>
      </c>
      <c r="BO58" s="179" t="s">
        <v>4294</v>
      </c>
      <c r="BP58" s="142" t="s">
        <v>58</v>
      </c>
      <c r="BQ58" s="157" t="s">
        <v>62</v>
      </c>
      <c r="BR58" s="8"/>
      <c r="BS58" s="6"/>
      <c r="BT58" s="8"/>
      <c r="BU58" s="154" t="s">
        <v>197</v>
      </c>
      <c r="BV58" s="155" t="s">
        <v>52</v>
      </c>
      <c r="BW58" s="2"/>
      <c r="BX58" s="156" t="s">
        <v>177</v>
      </c>
      <c r="BY58" s="155" t="s">
        <v>52</v>
      </c>
      <c r="BZ58" s="157" t="s">
        <v>62</v>
      </c>
      <c r="CA58" s="181" t="s">
        <v>199</v>
      </c>
      <c r="CB58" s="66" t="s">
        <v>52</v>
      </c>
      <c r="CC58" s="2" t="s">
        <v>49</v>
      </c>
      <c r="CD58" s="182" t="s">
        <v>200</v>
      </c>
      <c r="CE58" s="74" t="s">
        <v>76</v>
      </c>
      <c r="CF58" s="157" t="s">
        <v>62</v>
      </c>
      <c r="CG58" s="710" t="s">
        <v>201</v>
      </c>
      <c r="CH58" s="183" t="s">
        <v>52</v>
      </c>
      <c r="CI58" s="6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ht="30" customHeight="1">
      <c r="A59" s="8"/>
      <c r="B59" s="184" t="s">
        <v>171</v>
      </c>
      <c r="C59" s="132" t="s">
        <v>76</v>
      </c>
      <c r="D59" s="8" t="s">
        <v>182</v>
      </c>
      <c r="E59" s="185" t="s">
        <v>202</v>
      </c>
      <c r="F59" s="174" t="s">
        <v>76</v>
      </c>
      <c r="G59" s="8"/>
      <c r="H59" s="185" t="s">
        <v>203</v>
      </c>
      <c r="I59" s="174" t="s">
        <v>76</v>
      </c>
      <c r="J59" s="8"/>
      <c r="K59" s="185" t="s">
        <v>204</v>
      </c>
      <c r="L59" s="174" t="s">
        <v>76</v>
      </c>
      <c r="M59" s="8"/>
      <c r="N59" s="168" t="s">
        <v>205</v>
      </c>
      <c r="O59" s="91"/>
      <c r="P59" s="8"/>
      <c r="Q59" s="8"/>
      <c r="R59" s="8"/>
      <c r="S59" s="8"/>
      <c r="T59" s="166" t="s">
        <v>206</v>
      </c>
      <c r="U59" s="186" t="s">
        <v>48</v>
      </c>
      <c r="V59" s="187"/>
      <c r="W59" s="237" t="s">
        <v>277</v>
      </c>
      <c r="X59" s="140" t="s">
        <v>58</v>
      </c>
      <c r="Y59" s="8"/>
      <c r="Z59" s="145" t="s">
        <v>4295</v>
      </c>
      <c r="AA59" s="144" t="s">
        <v>52</v>
      </c>
      <c r="AB59" s="24"/>
      <c r="AC59" s="145" t="s">
        <v>288</v>
      </c>
      <c r="AD59" s="144" t="s">
        <v>52</v>
      </c>
      <c r="AE59" s="187"/>
      <c r="AF59" s="172" t="s">
        <v>210</v>
      </c>
      <c r="AG59" s="149" t="s">
        <v>52</v>
      </c>
      <c r="AH59" s="170" t="s">
        <v>62</v>
      </c>
      <c r="AI59" s="148" t="s">
        <v>191</v>
      </c>
      <c r="AJ59" s="149" t="s">
        <v>52</v>
      </c>
      <c r="AK59" s="173"/>
      <c r="AL59" s="193" t="s">
        <v>4296</v>
      </c>
      <c r="AM59" s="192" t="s">
        <v>48</v>
      </c>
      <c r="AN59" s="173"/>
      <c r="AO59" s="9"/>
      <c r="AP59" s="113"/>
      <c r="AQ59" s="8"/>
      <c r="AR59" s="8"/>
      <c r="AS59" s="8"/>
      <c r="AT59" s="8"/>
      <c r="AU59" s="166" t="s">
        <v>212</v>
      </c>
      <c r="AV59" s="136" t="s">
        <v>52</v>
      </c>
      <c r="AW59" s="27"/>
      <c r="AX59" s="166" t="s">
        <v>213</v>
      </c>
      <c r="AY59" s="174" t="s">
        <v>76</v>
      </c>
      <c r="AZ59" s="27"/>
      <c r="BA59" s="180" t="s">
        <v>214</v>
      </c>
      <c r="BB59" s="174" t="s">
        <v>76</v>
      </c>
      <c r="BC59" s="27"/>
      <c r="BD59" s="175" t="s">
        <v>215</v>
      </c>
      <c r="BE59" s="194" t="s">
        <v>48</v>
      </c>
      <c r="BF59" s="1"/>
      <c r="BG59" s="1"/>
      <c r="BH59" s="1"/>
      <c r="BI59" s="1"/>
      <c r="BJ59" s="1"/>
      <c r="BK59" s="1"/>
      <c r="BL59" s="178" t="s">
        <v>216</v>
      </c>
      <c r="BM59" s="142" t="s">
        <v>58</v>
      </c>
      <c r="BN59" s="2"/>
      <c r="BO59" s="179" t="s">
        <v>4297</v>
      </c>
      <c r="BP59" s="142" t="s">
        <v>58</v>
      </c>
      <c r="BQ59" s="2"/>
      <c r="BR59" s="8"/>
      <c r="BS59" s="6"/>
      <c r="BT59" s="8"/>
      <c r="BU59" s="166" t="s">
        <v>217</v>
      </c>
      <c r="BV59" s="195" t="s">
        <v>52</v>
      </c>
      <c r="BW59" s="2"/>
      <c r="BX59" s="180" t="s">
        <v>198</v>
      </c>
      <c r="BY59" s="155" t="s">
        <v>52</v>
      </c>
      <c r="BZ59" s="2"/>
      <c r="CA59" s="181" t="s">
        <v>220</v>
      </c>
      <c r="CB59" s="66" t="s">
        <v>52</v>
      </c>
      <c r="CC59" s="2"/>
      <c r="CD59" s="182" t="s">
        <v>221</v>
      </c>
      <c r="CE59" s="74" t="s">
        <v>76</v>
      </c>
      <c r="CF59" s="2"/>
      <c r="CG59" s="710" t="s">
        <v>222</v>
      </c>
      <c r="CH59" s="183" t="s">
        <v>52</v>
      </c>
      <c r="CI59" s="6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30" customHeight="1">
      <c r="A60" s="8"/>
      <c r="B60" s="198" t="s">
        <v>169</v>
      </c>
      <c r="C60" s="199" t="s">
        <v>58</v>
      </c>
      <c r="D60" s="8" t="s">
        <v>223</v>
      </c>
      <c r="E60" s="185" t="s">
        <v>224</v>
      </c>
      <c r="F60" s="200" t="s">
        <v>76</v>
      </c>
      <c r="G60" s="8"/>
      <c r="H60" s="198" t="s">
        <v>225</v>
      </c>
      <c r="I60" s="199" t="s">
        <v>58</v>
      </c>
      <c r="J60" s="8"/>
      <c r="K60" s="167" t="s">
        <v>226</v>
      </c>
      <c r="L60" s="136" t="s">
        <v>52</v>
      </c>
      <c r="M60" s="8"/>
      <c r="N60" s="201" t="s">
        <v>4298</v>
      </c>
      <c r="O60" s="91"/>
      <c r="P60" s="8"/>
      <c r="Q60" s="8"/>
      <c r="R60" s="8"/>
      <c r="S60" s="8"/>
      <c r="T60" s="202" t="s">
        <v>4299</v>
      </c>
      <c r="U60" s="169" t="s">
        <v>48</v>
      </c>
      <c r="V60" s="24"/>
      <c r="W60" s="171" t="s">
        <v>207</v>
      </c>
      <c r="X60" s="142" t="s">
        <v>58</v>
      </c>
      <c r="Y60" s="8"/>
      <c r="Z60" s="145" t="s">
        <v>4300</v>
      </c>
      <c r="AA60" s="144" t="s">
        <v>52</v>
      </c>
      <c r="AB60" s="2"/>
      <c r="AC60" s="145" t="s">
        <v>209</v>
      </c>
      <c r="AD60" s="144" t="s">
        <v>52</v>
      </c>
      <c r="AE60" s="24"/>
      <c r="AF60" s="203" t="s">
        <v>229</v>
      </c>
      <c r="AG60" s="204" t="s">
        <v>76</v>
      </c>
      <c r="AH60" s="205"/>
      <c r="AI60" s="148" t="s">
        <v>172</v>
      </c>
      <c r="AJ60" s="149" t="s">
        <v>52</v>
      </c>
      <c r="AK60" s="173"/>
      <c r="AL60" s="145" t="s">
        <v>4301</v>
      </c>
      <c r="AM60" s="206" t="s">
        <v>52</v>
      </c>
      <c r="AN60" s="173"/>
      <c r="AO60" s="9"/>
      <c r="AP60" s="113"/>
      <c r="AQ60" s="8"/>
      <c r="AR60" s="8"/>
      <c r="AS60" s="8"/>
      <c r="AT60" s="8"/>
      <c r="AU60" s="207" t="s">
        <v>231</v>
      </c>
      <c r="AV60" s="208" t="s">
        <v>52</v>
      </c>
      <c r="AW60" s="27"/>
      <c r="AX60" s="166" t="s">
        <v>232</v>
      </c>
      <c r="AY60" s="174" t="s">
        <v>76</v>
      </c>
      <c r="AZ60" s="27"/>
      <c r="BA60" s="180" t="s">
        <v>252</v>
      </c>
      <c r="BB60" s="174" t="s">
        <v>76</v>
      </c>
      <c r="BC60" s="27"/>
      <c r="BD60" s="175" t="s">
        <v>234</v>
      </c>
      <c r="BE60" s="194" t="s">
        <v>48</v>
      </c>
      <c r="BF60" s="1"/>
      <c r="BG60" s="1"/>
      <c r="BH60" s="1"/>
      <c r="BI60" s="1"/>
      <c r="BJ60" s="1"/>
      <c r="BK60" s="1"/>
      <c r="BL60" s="178" t="s">
        <v>235</v>
      </c>
      <c r="BM60" s="142" t="s">
        <v>58</v>
      </c>
      <c r="BN60" s="2" t="s">
        <v>236</v>
      </c>
      <c r="BO60" s="179" t="s">
        <v>4302</v>
      </c>
      <c r="BP60" s="142" t="s">
        <v>58</v>
      </c>
      <c r="BQ60" s="2" t="s">
        <v>236</v>
      </c>
      <c r="BR60" s="8"/>
      <c r="BS60" s="6"/>
      <c r="BT60" s="8"/>
      <c r="BU60" s="711" t="s">
        <v>237</v>
      </c>
      <c r="BV60" s="174" t="s">
        <v>76</v>
      </c>
      <c r="BW60" s="2"/>
      <c r="BX60" s="196" t="s">
        <v>4303</v>
      </c>
      <c r="BY60" s="155" t="s">
        <v>52</v>
      </c>
      <c r="BZ60" s="2"/>
      <c r="CA60" s="181" t="s">
        <v>240</v>
      </c>
      <c r="CB60" s="66" t="s">
        <v>52</v>
      </c>
      <c r="CC60" s="2"/>
      <c r="CD60" s="182" t="s">
        <v>241</v>
      </c>
      <c r="CE60" s="66" t="s">
        <v>52</v>
      </c>
      <c r="CF60" s="2"/>
      <c r="CG60" s="710" t="s">
        <v>242</v>
      </c>
      <c r="CH60" s="183" t="s">
        <v>52</v>
      </c>
      <c r="CI60" s="6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30" customHeight="1">
      <c r="A61" s="8"/>
      <c r="B61" s="135" t="s">
        <v>243</v>
      </c>
      <c r="C61" s="210" t="s">
        <v>52</v>
      </c>
      <c r="D61" s="8" t="s">
        <v>223</v>
      </c>
      <c r="E61" s="211" t="s">
        <v>244</v>
      </c>
      <c r="F61" s="212" t="s">
        <v>52</v>
      </c>
      <c r="G61" s="8"/>
      <c r="H61" s="213" t="s">
        <v>245</v>
      </c>
      <c r="I61" s="199" t="s">
        <v>58</v>
      </c>
      <c r="J61" s="214"/>
      <c r="K61" s="166" t="s">
        <v>4304</v>
      </c>
      <c r="L61" s="69" t="s">
        <v>48</v>
      </c>
      <c r="M61" s="8"/>
      <c r="N61" s="168"/>
      <c r="O61" s="91"/>
      <c r="P61" s="8"/>
      <c r="Q61" s="8"/>
      <c r="R61" s="8"/>
      <c r="S61" s="8"/>
      <c r="T61" s="238" t="s">
        <v>4305</v>
      </c>
      <c r="U61" s="138" t="s">
        <v>48</v>
      </c>
      <c r="V61" s="24"/>
      <c r="W61" s="171" t="s">
        <v>227</v>
      </c>
      <c r="X61" s="142" t="s">
        <v>58</v>
      </c>
      <c r="Y61" s="8"/>
      <c r="Z61" s="145" t="s">
        <v>323</v>
      </c>
      <c r="AA61" s="144" t="s">
        <v>52</v>
      </c>
      <c r="AB61" s="2"/>
      <c r="AC61" s="145" t="s">
        <v>4306</v>
      </c>
      <c r="AD61" s="144" t="s">
        <v>52</v>
      </c>
      <c r="AE61" s="24"/>
      <c r="AF61" s="172" t="s">
        <v>265</v>
      </c>
      <c r="AG61" s="149" t="s">
        <v>52</v>
      </c>
      <c r="AH61" s="205"/>
      <c r="AI61" s="148" t="s">
        <v>250</v>
      </c>
      <c r="AJ61" s="149" t="s">
        <v>52</v>
      </c>
      <c r="AK61" s="173"/>
      <c r="AL61" s="218" t="s">
        <v>4307</v>
      </c>
      <c r="AM61" s="219" t="s">
        <v>52</v>
      </c>
      <c r="AN61" s="173"/>
      <c r="AO61" s="9"/>
      <c r="AP61" s="113"/>
      <c r="AQ61" s="8"/>
      <c r="AR61" s="8"/>
      <c r="AS61" s="8"/>
      <c r="AT61" s="8"/>
      <c r="AU61" s="220"/>
      <c r="AV61" s="56"/>
      <c r="AW61" s="27"/>
      <c r="AX61" s="166" t="s">
        <v>251</v>
      </c>
      <c r="AY61" s="199" t="s">
        <v>58</v>
      </c>
      <c r="AZ61" s="27"/>
      <c r="BA61" s="709" t="s">
        <v>4308</v>
      </c>
      <c r="BB61" s="74" t="s">
        <v>76</v>
      </c>
      <c r="BC61" s="27"/>
      <c r="BD61" s="175" t="s">
        <v>253</v>
      </c>
      <c r="BE61" s="176" t="s">
        <v>52</v>
      </c>
      <c r="BF61" s="1"/>
      <c r="BG61" s="1"/>
      <c r="BH61" s="1"/>
      <c r="BI61" s="1"/>
      <c r="BJ61" s="1"/>
      <c r="BK61" s="1"/>
      <c r="BL61" s="221" t="s">
        <v>254</v>
      </c>
      <c r="BM61" s="142" t="s">
        <v>58</v>
      </c>
      <c r="BN61" s="2"/>
      <c r="BO61" s="57" t="s">
        <v>4309</v>
      </c>
      <c r="BP61" s="66" t="s">
        <v>52</v>
      </c>
      <c r="BQ61" s="2"/>
      <c r="BR61" s="8"/>
      <c r="BS61" s="6"/>
      <c r="BT61" s="8"/>
      <c r="BU61" s="712" t="s">
        <v>255</v>
      </c>
      <c r="BV61" s="174" t="s">
        <v>76</v>
      </c>
      <c r="BW61" s="2"/>
      <c r="BX61" s="154" t="s">
        <v>4310</v>
      </c>
      <c r="BY61" s="155" t="s">
        <v>52</v>
      </c>
      <c r="BZ61" s="2" t="s">
        <v>238</v>
      </c>
      <c r="CA61" s="181" t="s">
        <v>257</v>
      </c>
      <c r="CB61" s="66" t="s">
        <v>52</v>
      </c>
      <c r="CC61" s="2"/>
      <c r="CD61" s="182" t="s">
        <v>258</v>
      </c>
      <c r="CE61" s="66" t="s">
        <v>52</v>
      </c>
      <c r="CF61" s="2"/>
      <c r="CG61" s="710" t="s">
        <v>259</v>
      </c>
      <c r="CH61" s="183" t="s">
        <v>52</v>
      </c>
      <c r="CI61" s="6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ht="30" customHeight="1">
      <c r="A62" s="8"/>
      <c r="B62" s="167" t="s">
        <v>260</v>
      </c>
      <c r="C62" s="226" t="s">
        <v>52</v>
      </c>
      <c r="D62" s="8" t="s">
        <v>182</v>
      </c>
      <c r="E62" s="713" t="s">
        <v>261</v>
      </c>
      <c r="F62" s="200" t="s">
        <v>76</v>
      </c>
      <c r="G62" s="8"/>
      <c r="H62" s="213" t="s">
        <v>4311</v>
      </c>
      <c r="I62" s="199" t="s">
        <v>58</v>
      </c>
      <c r="J62" s="8"/>
      <c r="K62" s="166"/>
      <c r="L62" s="69"/>
      <c r="M62" s="8"/>
      <c r="N62" s="168"/>
      <c r="O62" s="91"/>
      <c r="P62" s="8"/>
      <c r="Q62" s="8"/>
      <c r="R62" s="8"/>
      <c r="S62" s="8"/>
      <c r="T62" s="215" t="s">
        <v>246</v>
      </c>
      <c r="U62" s="138" t="s">
        <v>48</v>
      </c>
      <c r="V62" s="24"/>
      <c r="W62" s="714" t="s">
        <v>247</v>
      </c>
      <c r="X62" s="142" t="s">
        <v>58</v>
      </c>
      <c r="Y62" s="24"/>
      <c r="Z62" s="145" t="s">
        <v>4312</v>
      </c>
      <c r="AA62" s="144" t="s">
        <v>52</v>
      </c>
      <c r="AB62" s="24"/>
      <c r="AC62" s="145" t="s">
        <v>4313</v>
      </c>
      <c r="AD62" s="144" t="s">
        <v>52</v>
      </c>
      <c r="AE62" s="24"/>
      <c r="AF62" s="172" t="s">
        <v>190</v>
      </c>
      <c r="AG62" s="149" t="s">
        <v>52</v>
      </c>
      <c r="AH62" s="205"/>
      <c r="AI62" s="191" t="s">
        <v>266</v>
      </c>
      <c r="AJ62" s="192" t="s">
        <v>48</v>
      </c>
      <c r="AK62" s="173"/>
      <c r="AL62" s="229" t="s">
        <v>267</v>
      </c>
      <c r="AM62" s="149" t="s">
        <v>52</v>
      </c>
      <c r="AN62" s="173"/>
      <c r="AO62" s="9"/>
      <c r="AP62" s="113"/>
      <c r="AQ62" s="8"/>
      <c r="AR62" s="8"/>
      <c r="AS62" s="8"/>
      <c r="AT62" s="8"/>
      <c r="AU62" s="230"/>
      <c r="AV62" s="80"/>
      <c r="AW62" s="27"/>
      <c r="AX62" s="231" t="s">
        <v>268</v>
      </c>
      <c r="AY62" s="155" t="s">
        <v>52</v>
      </c>
      <c r="AZ62" s="27"/>
      <c r="BA62" s="715" t="s">
        <v>4314</v>
      </c>
      <c r="BB62" s="244" t="s">
        <v>52</v>
      </c>
      <c r="BC62" s="27"/>
      <c r="BD62" s="232" t="s">
        <v>269</v>
      </c>
      <c r="BE62" s="233" t="s">
        <v>270</v>
      </c>
      <c r="BF62" s="1"/>
      <c r="BG62" s="1"/>
      <c r="BH62" s="1"/>
      <c r="BI62" s="1"/>
      <c r="BJ62" s="1"/>
      <c r="BK62" s="1"/>
      <c r="BL62" s="221" t="s">
        <v>271</v>
      </c>
      <c r="BM62" s="142" t="s">
        <v>58</v>
      </c>
      <c r="BN62" s="2"/>
      <c r="BO62" s="57" t="s">
        <v>4315</v>
      </c>
      <c r="BP62" s="66" t="s">
        <v>52</v>
      </c>
      <c r="BQ62" s="2"/>
      <c r="BR62" s="8"/>
      <c r="BS62" s="6"/>
      <c r="BT62" s="8"/>
      <c r="BU62" s="716" t="s">
        <v>272</v>
      </c>
      <c r="BV62" s="136" t="s">
        <v>52</v>
      </c>
      <c r="BW62" s="2"/>
      <c r="BX62" s="223" t="s">
        <v>256</v>
      </c>
      <c r="BY62" s="155" t="s">
        <v>52</v>
      </c>
      <c r="BZ62" s="2"/>
      <c r="CA62" s="181" t="s">
        <v>273</v>
      </c>
      <c r="CB62" s="66" t="s">
        <v>52</v>
      </c>
      <c r="CC62" s="2"/>
      <c r="CD62" s="234"/>
      <c r="CE62" s="235"/>
      <c r="CF62" s="2"/>
      <c r="CG62" s="710" t="s">
        <v>274</v>
      </c>
      <c r="CH62" s="183" t="s">
        <v>52</v>
      </c>
      <c r="CI62" s="6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ht="30" customHeight="1">
      <c r="A63" s="8"/>
      <c r="B63" s="236" t="s">
        <v>275</v>
      </c>
      <c r="C63" s="226" t="s">
        <v>52</v>
      </c>
      <c r="D63" s="8" t="s">
        <v>182</v>
      </c>
      <c r="E63" s="717" t="s">
        <v>276</v>
      </c>
      <c r="F63" s="212" t="s">
        <v>52</v>
      </c>
      <c r="G63" s="8"/>
      <c r="H63" s="168"/>
      <c r="I63" s="91"/>
      <c r="J63" s="8"/>
      <c r="K63" s="168"/>
      <c r="L63" s="91"/>
      <c r="M63" s="8"/>
      <c r="N63" s="168"/>
      <c r="O63" s="91"/>
      <c r="P63" s="8"/>
      <c r="Q63" s="8"/>
      <c r="R63" s="8"/>
      <c r="S63" s="8"/>
      <c r="T63" s="168"/>
      <c r="U63" s="91"/>
      <c r="V63" s="24"/>
      <c r="W63" s="171" t="s">
        <v>187</v>
      </c>
      <c r="X63" s="142" t="s">
        <v>58</v>
      </c>
      <c r="Y63" s="8"/>
      <c r="Z63" s="202" t="s">
        <v>264</v>
      </c>
      <c r="AA63" s="144" t="s">
        <v>52</v>
      </c>
      <c r="AB63" s="8"/>
      <c r="AC63" s="145" t="s">
        <v>4316</v>
      </c>
      <c r="AD63" s="206" t="s">
        <v>52</v>
      </c>
      <c r="AE63" s="24"/>
      <c r="AF63" s="718" t="s">
        <v>186</v>
      </c>
      <c r="AG63" s="149" t="s">
        <v>52</v>
      </c>
      <c r="AH63" s="205"/>
      <c r="AI63" s="191" t="s">
        <v>211</v>
      </c>
      <c r="AJ63" s="192" t="s">
        <v>48</v>
      </c>
      <c r="AK63" s="173"/>
      <c r="AL63" s="240" t="s">
        <v>279</v>
      </c>
      <c r="AM63" s="192" t="s">
        <v>48</v>
      </c>
      <c r="AN63" s="173"/>
      <c r="AO63" s="9"/>
      <c r="AP63" s="113"/>
      <c r="AQ63" s="8"/>
      <c r="AR63" s="8"/>
      <c r="AS63" s="8"/>
      <c r="AT63" s="8"/>
      <c r="AU63" s="241"/>
      <c r="AV63" s="242"/>
      <c r="AW63" s="177" t="s">
        <v>62</v>
      </c>
      <c r="AX63" s="241" t="s">
        <v>280</v>
      </c>
      <c r="AY63" s="242" t="s">
        <v>48</v>
      </c>
      <c r="AZ63" s="177" t="s">
        <v>62</v>
      </c>
      <c r="BA63" s="719"/>
      <c r="BB63" s="720"/>
      <c r="BC63" s="245"/>
      <c r="BD63" s="101"/>
      <c r="BE63" s="246"/>
      <c r="BF63" s="1"/>
      <c r="BG63" s="1"/>
      <c r="BH63" s="1"/>
      <c r="BI63" s="1"/>
      <c r="BJ63" s="1"/>
      <c r="BK63" s="1"/>
      <c r="BL63" s="221" t="s">
        <v>281</v>
      </c>
      <c r="BM63" s="142" t="s">
        <v>58</v>
      </c>
      <c r="BN63" s="2"/>
      <c r="BO63" s="247" t="s">
        <v>282</v>
      </c>
      <c r="BP63" s="142" t="s">
        <v>58</v>
      </c>
      <c r="BQ63" s="2"/>
      <c r="BR63" s="8"/>
      <c r="BS63" s="6"/>
      <c r="BT63" s="8"/>
      <c r="BU63" s="716" t="s">
        <v>283</v>
      </c>
      <c r="BV63" s="136" t="s">
        <v>52</v>
      </c>
      <c r="BW63" s="2"/>
      <c r="BX63" s="154"/>
      <c r="BY63" s="155"/>
      <c r="BZ63" s="2"/>
      <c r="CA63" s="181" t="s">
        <v>284</v>
      </c>
      <c r="CB63" s="66" t="s">
        <v>52</v>
      </c>
      <c r="CC63" s="2"/>
      <c r="CD63" s="234"/>
      <c r="CE63" s="235"/>
      <c r="CF63" s="2"/>
      <c r="CG63" s="710" t="s">
        <v>285</v>
      </c>
      <c r="CH63" s="183" t="s">
        <v>52</v>
      </c>
      <c r="CI63" s="6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30" customHeight="1">
      <c r="A64" s="8"/>
      <c r="B64" s="236" t="s">
        <v>286</v>
      </c>
      <c r="C64" s="248" t="s">
        <v>52</v>
      </c>
      <c r="D64" s="8" t="s">
        <v>182</v>
      </c>
      <c r="E64" s="249"/>
      <c r="F64" s="250"/>
      <c r="G64" s="9"/>
      <c r="H64" s="249"/>
      <c r="I64" s="250"/>
      <c r="J64" s="9"/>
      <c r="K64" s="249"/>
      <c r="L64" s="250"/>
      <c r="M64" s="9"/>
      <c r="N64" s="249"/>
      <c r="O64" s="250"/>
      <c r="P64" s="8"/>
      <c r="Q64" s="8"/>
      <c r="R64" s="8"/>
      <c r="S64" s="8"/>
      <c r="T64" s="251"/>
      <c r="U64" s="252"/>
      <c r="V64" s="8"/>
      <c r="W64" s="180" t="s">
        <v>262</v>
      </c>
      <c r="X64" s="142" t="s">
        <v>58</v>
      </c>
      <c r="Y64" s="8"/>
      <c r="Z64" s="145" t="s">
        <v>4317</v>
      </c>
      <c r="AA64" s="219" t="s">
        <v>52</v>
      </c>
      <c r="AB64" s="8" t="s">
        <v>168</v>
      </c>
      <c r="AC64" s="228" t="s">
        <v>4318</v>
      </c>
      <c r="AD64" s="219" t="s">
        <v>52</v>
      </c>
      <c r="AE64" s="8"/>
      <c r="AF64" s="172"/>
      <c r="AG64" s="147"/>
      <c r="AH64" s="205"/>
      <c r="AI64" s="251"/>
      <c r="AJ64" s="252"/>
      <c r="AK64" s="173"/>
      <c r="AL64" s="251"/>
      <c r="AM64" s="252"/>
      <c r="AN64" s="173"/>
      <c r="AO64" s="9"/>
      <c r="AP64" s="113"/>
      <c r="AQ64" s="8"/>
      <c r="AR64" s="8"/>
      <c r="AS64" s="8"/>
      <c r="AT64" s="8"/>
      <c r="AU64" s="8"/>
      <c r="AV64" s="8"/>
      <c r="AW64" s="27"/>
      <c r="AX64" s="37"/>
      <c r="AY64" s="8"/>
      <c r="AZ64" s="8"/>
      <c r="BA64" s="8"/>
      <c r="BB64" s="8"/>
      <c r="BC64" s="8"/>
      <c r="BD64" s="8"/>
      <c r="BE64" s="8"/>
      <c r="BF64" s="8"/>
      <c r="BG64" s="1"/>
      <c r="BH64" s="1"/>
      <c r="BI64" s="1"/>
      <c r="BJ64" s="1"/>
      <c r="BK64" s="1"/>
      <c r="BL64" s="221" t="s">
        <v>290</v>
      </c>
      <c r="BM64" s="142" t="s">
        <v>58</v>
      </c>
      <c r="BN64" s="2"/>
      <c r="BO64" s="197" t="s">
        <v>291</v>
      </c>
      <c r="BP64" s="142" t="s">
        <v>58</v>
      </c>
      <c r="BQ64" s="2"/>
      <c r="BR64" s="8"/>
      <c r="BS64" s="6"/>
      <c r="BT64" s="8"/>
      <c r="BU64" s="716" t="s">
        <v>292</v>
      </c>
      <c r="BV64" s="136" t="s">
        <v>52</v>
      </c>
      <c r="BW64" s="2"/>
      <c r="BX64" s="154"/>
      <c r="BY64" s="155"/>
      <c r="BZ64" s="2"/>
      <c r="CA64" s="234"/>
      <c r="CB64" s="235"/>
      <c r="CC64" s="2"/>
      <c r="CD64" s="234"/>
      <c r="CE64" s="235"/>
      <c r="CF64" s="2"/>
      <c r="CG64" s="710" t="s">
        <v>293</v>
      </c>
      <c r="CH64" s="183" t="s">
        <v>52</v>
      </c>
      <c r="CI64" s="6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30" customHeight="1">
      <c r="A65" s="8"/>
      <c r="B65" s="254" t="s">
        <v>294</v>
      </c>
      <c r="C65" s="255" t="s">
        <v>52</v>
      </c>
      <c r="D65" s="9" t="s">
        <v>182</v>
      </c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8"/>
      <c r="Q65" s="8"/>
      <c r="R65" s="8"/>
      <c r="S65" s="8"/>
      <c r="T65" s="251"/>
      <c r="U65" s="252"/>
      <c r="V65" s="1"/>
      <c r="W65" s="171" t="s">
        <v>188</v>
      </c>
      <c r="X65" s="142" t="s">
        <v>58</v>
      </c>
      <c r="Y65" s="1"/>
      <c r="Z65" s="139" t="s">
        <v>4319</v>
      </c>
      <c r="AA65" s="721" t="s">
        <v>52</v>
      </c>
      <c r="AB65" s="1"/>
      <c r="AC65" s="239" t="s">
        <v>278</v>
      </c>
      <c r="AD65" s="722" t="s">
        <v>52</v>
      </c>
      <c r="AE65" s="1"/>
      <c r="AF65" s="168"/>
      <c r="AG65" s="91"/>
      <c r="AH65" s="205"/>
      <c r="AI65" s="251"/>
      <c r="AJ65" s="252"/>
      <c r="AK65" s="173"/>
      <c r="AL65" s="251"/>
      <c r="AM65" s="252"/>
      <c r="AN65" s="173"/>
      <c r="AO65" s="9"/>
      <c r="AP65" s="113"/>
      <c r="AQ65" s="8"/>
      <c r="AR65" s="8"/>
      <c r="AS65" s="8"/>
      <c r="AT65" s="8"/>
      <c r="AU65" s="8"/>
      <c r="AV65" s="8"/>
      <c r="AW65" s="8"/>
      <c r="AX65" s="119"/>
      <c r="AY65" s="8"/>
      <c r="AZ65" s="8"/>
      <c r="BA65" s="8"/>
      <c r="BB65" s="8"/>
      <c r="BC65" s="8"/>
      <c r="BD65" s="8"/>
      <c r="BE65" s="8"/>
      <c r="BF65" s="8"/>
      <c r="BG65" s="1"/>
      <c r="BH65" s="1"/>
      <c r="BI65" s="1"/>
      <c r="BJ65" s="1"/>
      <c r="BK65" s="1"/>
      <c r="BL65" s="256" t="s">
        <v>295</v>
      </c>
      <c r="BM65" s="257" t="s">
        <v>76</v>
      </c>
      <c r="BN65" s="2"/>
      <c r="BO65" s="717" t="s">
        <v>296</v>
      </c>
      <c r="BP65" s="142" t="s">
        <v>58</v>
      </c>
      <c r="BQ65" s="2"/>
      <c r="BR65" s="8"/>
      <c r="BS65" s="6"/>
      <c r="BT65" s="8"/>
      <c r="BU65" s="150" t="s">
        <v>297</v>
      </c>
      <c r="BV65" s="258" t="s">
        <v>48</v>
      </c>
      <c r="BW65" s="2"/>
      <c r="BX65" s="158" t="s">
        <v>178</v>
      </c>
      <c r="BY65" s="82" t="s">
        <v>48</v>
      </c>
      <c r="BZ65" s="157" t="s">
        <v>62</v>
      </c>
      <c r="CA65" s="234"/>
      <c r="CB65" s="235"/>
      <c r="CC65" s="8"/>
      <c r="CD65" s="234"/>
      <c r="CE65" s="235"/>
      <c r="CF65" s="2"/>
      <c r="CG65" s="710" t="s">
        <v>298</v>
      </c>
      <c r="CH65" s="183" t="s">
        <v>52</v>
      </c>
      <c r="CI65" s="6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30" customHeight="1">
      <c r="A66" s="8"/>
      <c r="B66" s="9"/>
      <c r="C66" s="9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51"/>
      <c r="U66" s="252"/>
      <c r="V66" s="1"/>
      <c r="W66" s="188" t="s">
        <v>208</v>
      </c>
      <c r="X66" s="189" t="s">
        <v>48</v>
      </c>
      <c r="Y66" s="1"/>
      <c r="Z66" s="145" t="s">
        <v>4320</v>
      </c>
      <c r="AA66" s="144" t="s">
        <v>52</v>
      </c>
      <c r="AB66" s="1"/>
      <c r="AC66" s="723"/>
      <c r="AD66" s="441"/>
      <c r="AE66" s="1"/>
      <c r="AF66" s="168"/>
      <c r="AG66" s="91"/>
      <c r="AH66" s="123"/>
      <c r="AI66" s="251"/>
      <c r="AJ66" s="252"/>
      <c r="AK66" s="123"/>
      <c r="AL66" s="724" t="s">
        <v>4321</v>
      </c>
      <c r="AM66" s="149"/>
      <c r="AN66" s="1"/>
      <c r="AO66" s="9"/>
      <c r="AP66" s="113"/>
      <c r="AQ66" s="8"/>
      <c r="AR66" s="8"/>
      <c r="AS66" s="8"/>
      <c r="AT66" s="8"/>
      <c r="AU66" s="8"/>
      <c r="AV66" s="8"/>
      <c r="AW66" s="8"/>
      <c r="AX66" s="119"/>
      <c r="AY66" s="8"/>
      <c r="AZ66" s="8"/>
      <c r="BA66" s="8"/>
      <c r="BB66" s="8"/>
      <c r="BC66" s="8"/>
      <c r="BD66" s="8"/>
      <c r="BE66" s="8"/>
      <c r="BF66" s="8"/>
      <c r="BG66" s="1"/>
      <c r="BH66" s="1"/>
      <c r="BI66" s="1"/>
      <c r="BJ66" s="1"/>
      <c r="BK66" s="1"/>
      <c r="BL66" s="256" t="s">
        <v>300</v>
      </c>
      <c r="BM66" s="260" t="s">
        <v>58</v>
      </c>
      <c r="BN66" s="8"/>
      <c r="BO66" s="261"/>
      <c r="BP66" s="262"/>
      <c r="BQ66" s="8"/>
      <c r="BR66" s="8"/>
      <c r="BS66" s="6"/>
      <c r="BT66" s="8"/>
      <c r="BU66" s="154"/>
      <c r="BV66" s="269"/>
      <c r="BW66" s="2"/>
      <c r="BX66" s="154" t="s">
        <v>4322</v>
      </c>
      <c r="BY66" s="174" t="s">
        <v>76</v>
      </c>
      <c r="BZ66" s="2"/>
      <c r="CA66" s="234"/>
      <c r="CB66" s="235"/>
      <c r="CC66" s="8"/>
      <c r="CD66" s="234"/>
      <c r="CE66" s="235"/>
      <c r="CF66" s="8"/>
      <c r="CG66" s="710" t="s">
        <v>302</v>
      </c>
      <c r="CH66" s="183" t="s">
        <v>52</v>
      </c>
      <c r="CI66" s="6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29.25" customHeight="1">
      <c r="A67" s="8"/>
      <c r="B67" s="9"/>
      <c r="C67" s="9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263"/>
      <c r="U67" s="264"/>
      <c r="V67" s="8"/>
      <c r="W67" s="180" t="s">
        <v>228</v>
      </c>
      <c r="X67" s="189" t="s">
        <v>48</v>
      </c>
      <c r="Y67" s="1"/>
      <c r="Z67" s="145" t="s">
        <v>4323</v>
      </c>
      <c r="AA67" s="144" t="s">
        <v>52</v>
      </c>
      <c r="AB67" s="8"/>
      <c r="AC67" s="723"/>
      <c r="AD67" s="441"/>
      <c r="AE67" s="8"/>
      <c r="AF67" s="249"/>
      <c r="AG67" s="250"/>
      <c r="AH67" s="123"/>
      <c r="AI67" s="251"/>
      <c r="AJ67" s="252"/>
      <c r="AK67" s="123"/>
      <c r="AL67" s="725" t="s">
        <v>4324</v>
      </c>
      <c r="AM67" s="149"/>
      <c r="AN67" s="1"/>
      <c r="AO67" s="9"/>
      <c r="AP67" s="113"/>
      <c r="AQ67" s="8"/>
      <c r="AR67" s="8"/>
      <c r="AS67" s="8"/>
      <c r="AT67" s="8"/>
      <c r="AU67" s="8"/>
      <c r="AV67" s="8"/>
      <c r="AW67" s="8"/>
      <c r="AX67" s="119"/>
      <c r="AY67" s="8"/>
      <c r="AZ67" s="8"/>
      <c r="BA67" s="8"/>
      <c r="BB67" s="8"/>
      <c r="BC67" s="8"/>
      <c r="BD67" s="8"/>
      <c r="BE67" s="8"/>
      <c r="BF67" s="8"/>
      <c r="BG67" s="1"/>
      <c r="BH67" s="1"/>
      <c r="BI67" s="267"/>
      <c r="BJ67" s="267"/>
      <c r="BK67" s="267"/>
      <c r="BL67" s="268" t="s">
        <v>303</v>
      </c>
      <c r="BM67" s="74" t="s">
        <v>76</v>
      </c>
      <c r="BN67" s="8"/>
      <c r="BO67" s="261"/>
      <c r="BP67" s="262"/>
      <c r="BQ67" s="8"/>
      <c r="BR67" s="8"/>
      <c r="BS67" s="6"/>
      <c r="BT67" s="8"/>
      <c r="BU67" s="154"/>
      <c r="BV67" s="269"/>
      <c r="BW67" s="2"/>
      <c r="BX67" s="197" t="s">
        <v>219</v>
      </c>
      <c r="BY67" s="174" t="s">
        <v>76</v>
      </c>
      <c r="BZ67" s="2"/>
      <c r="CA67" s="234"/>
      <c r="CB67" s="235"/>
      <c r="CC67" s="8"/>
      <c r="CD67" s="234"/>
      <c r="CE67" s="235"/>
      <c r="CF67" s="8"/>
      <c r="CG67" s="216"/>
      <c r="CH67" s="123"/>
      <c r="CI67" s="6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29.25" customHeight="1">
      <c r="A68" s="8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216" t="s">
        <v>248</v>
      </c>
      <c r="X68" s="189" t="s">
        <v>48</v>
      </c>
      <c r="Y68" s="1"/>
      <c r="Z68" s="190" t="s">
        <v>4325</v>
      </c>
      <c r="AA68" s="726" t="s">
        <v>52</v>
      </c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9"/>
      <c r="AP68" s="113"/>
      <c r="AQ68" s="8"/>
      <c r="AR68" s="8"/>
      <c r="AS68" s="8"/>
      <c r="AT68" s="8"/>
      <c r="AU68" s="8"/>
      <c r="AV68" s="8"/>
      <c r="AW68" s="8"/>
      <c r="AX68" s="119"/>
      <c r="AY68" s="8"/>
      <c r="AZ68" s="8"/>
      <c r="BA68" s="8"/>
      <c r="BB68" s="8"/>
      <c r="BC68" s="8"/>
      <c r="BD68" s="8"/>
      <c r="BE68" s="8"/>
      <c r="BF68" s="8"/>
      <c r="BG68" s="6"/>
      <c r="BH68" s="6"/>
      <c r="BI68" s="6"/>
      <c r="BJ68" s="6"/>
      <c r="BK68" s="6"/>
      <c r="BL68" s="154"/>
      <c r="BM68" s="269"/>
      <c r="BN68" s="8"/>
      <c r="BO68" s="154"/>
      <c r="BP68" s="269"/>
      <c r="BQ68" s="8"/>
      <c r="BR68" s="8"/>
      <c r="BS68" s="6"/>
      <c r="BT68" s="8"/>
      <c r="BU68" s="154"/>
      <c r="BV68" s="269"/>
      <c r="BW68" s="2"/>
      <c r="BX68" s="197" t="s">
        <v>239</v>
      </c>
      <c r="BY68" s="155" t="s">
        <v>52</v>
      </c>
      <c r="BZ68" s="2"/>
      <c r="CA68" s="154"/>
      <c r="CB68" s="269"/>
      <c r="CC68" s="8"/>
      <c r="CD68" s="154"/>
      <c r="CE68" s="269"/>
      <c r="CF68" s="8"/>
      <c r="CG68" s="270"/>
      <c r="CH68" s="271"/>
      <c r="CI68" s="6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29.25" customHeight="1">
      <c r="A69" s="8"/>
      <c r="B69" s="9"/>
      <c r="C69" s="9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"/>
      <c r="U69" s="1"/>
      <c r="V69" s="1"/>
      <c r="W69" s="727" t="s">
        <v>263</v>
      </c>
      <c r="X69" s="189" t="s">
        <v>48</v>
      </c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13"/>
      <c r="AQ69" s="8"/>
      <c r="AR69" s="8"/>
      <c r="AS69" s="8"/>
      <c r="AT69" s="8"/>
      <c r="AU69" s="8"/>
      <c r="AV69" s="8"/>
      <c r="AW69" s="8"/>
      <c r="AX69" s="119"/>
      <c r="AY69" s="8"/>
      <c r="AZ69" s="8"/>
      <c r="BA69" s="8"/>
      <c r="BB69" s="8"/>
      <c r="BC69" s="8"/>
      <c r="BD69" s="8"/>
      <c r="BE69" s="8"/>
      <c r="BF69" s="6"/>
      <c r="BG69" s="6"/>
      <c r="BH69" s="6"/>
      <c r="BI69" s="6"/>
      <c r="BJ69" s="6"/>
      <c r="BK69" s="6"/>
      <c r="BL69" s="272"/>
      <c r="BM69" s="273"/>
      <c r="BN69" s="8"/>
      <c r="BO69" s="272"/>
      <c r="BP69" s="273"/>
      <c r="BQ69" s="8"/>
      <c r="BR69" s="8"/>
      <c r="BS69" s="6"/>
      <c r="BT69" s="8"/>
      <c r="BU69" s="272"/>
      <c r="BV69" s="273"/>
      <c r="BW69" s="2"/>
      <c r="BX69" s="224" t="s">
        <v>4326</v>
      </c>
      <c r="BY69" s="225" t="s">
        <v>52</v>
      </c>
      <c r="BZ69" s="2"/>
      <c r="CA69" s="272"/>
      <c r="CB69" s="273"/>
      <c r="CC69" s="8"/>
      <c r="CD69" s="272"/>
      <c r="CE69" s="273"/>
      <c r="CF69" s="8"/>
      <c r="CG69" s="274"/>
      <c r="CH69" s="275"/>
      <c r="CI69" s="6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27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"/>
      <c r="O70" s="1"/>
      <c r="P70" s="1"/>
      <c r="Q70" s="8"/>
      <c r="R70" s="8"/>
      <c r="S70" s="8"/>
      <c r="T70" s="1"/>
      <c r="U70" s="1"/>
      <c r="V70" s="1"/>
      <c r="W70" s="253" t="s">
        <v>287</v>
      </c>
      <c r="X70" s="140" t="s">
        <v>58</v>
      </c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13"/>
      <c r="AQ70" s="8"/>
      <c r="AR70" s="8"/>
      <c r="AS70" s="8"/>
      <c r="AT70" s="8"/>
      <c r="AU70" s="8"/>
      <c r="AV70" s="8"/>
      <c r="AW70" s="114"/>
      <c r="AX70" s="276"/>
      <c r="AY70" s="8"/>
      <c r="AZ70" s="8"/>
      <c r="BA70" s="8"/>
      <c r="BB70" s="8"/>
      <c r="BC70" s="8"/>
      <c r="BD70" s="8"/>
      <c r="BE70" s="8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8"/>
      <c r="BW70" s="8"/>
      <c r="BX70" s="6"/>
      <c r="BY70" s="6"/>
      <c r="BZ70" s="8"/>
      <c r="CA70" s="6"/>
      <c r="CB70" s="6"/>
      <c r="CC70" s="6"/>
      <c r="CD70" s="6"/>
      <c r="CE70" s="6"/>
      <c r="CF70" s="6"/>
      <c r="CG70" s="6"/>
      <c r="CH70" s="6"/>
      <c r="CI70" s="6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27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"/>
      <c r="O71" s="1"/>
      <c r="P71" s="1"/>
      <c r="Q71" s="8"/>
      <c r="R71" s="8"/>
      <c r="S71" s="8"/>
      <c r="T71" s="1"/>
      <c r="U71" s="1"/>
      <c r="V71" s="1"/>
      <c r="W71" s="238" t="s">
        <v>4327</v>
      </c>
      <c r="X71" s="93" t="s">
        <v>48</v>
      </c>
      <c r="Y71" s="8"/>
      <c r="Z71" s="8"/>
      <c r="AA71" s="8"/>
      <c r="AB71" s="8"/>
      <c r="AC71" s="9"/>
      <c r="AD71" s="24"/>
      <c r="AE71" s="8"/>
      <c r="AF71" s="8"/>
      <c r="AG71" s="8"/>
      <c r="AH71" s="8"/>
      <c r="AI71" s="8"/>
      <c r="AJ71" s="8"/>
      <c r="AK71" s="8"/>
      <c r="AL71" s="1"/>
      <c r="AM71" s="1"/>
      <c r="AN71" s="8"/>
      <c r="AO71" s="9"/>
      <c r="AP71" s="113"/>
      <c r="AQ71" s="8"/>
      <c r="AR71" s="8"/>
      <c r="AS71" s="8"/>
      <c r="AT71" s="8"/>
      <c r="AU71" s="8"/>
      <c r="AV71" s="8"/>
      <c r="AW71" s="114"/>
      <c r="AX71" s="276"/>
      <c r="AY71" s="8"/>
      <c r="AZ71" s="8"/>
      <c r="BA71" s="8"/>
      <c r="BB71" s="8"/>
      <c r="BC71" s="8"/>
      <c r="BD71" s="8"/>
      <c r="BE71" s="8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8"/>
      <c r="BW71" s="8"/>
      <c r="BX71" s="1"/>
      <c r="BY71" s="1"/>
      <c r="BZ71" s="8"/>
      <c r="CA71" s="1"/>
      <c r="CB71" s="1"/>
      <c r="CC71" s="1"/>
      <c r="CD71" s="8"/>
      <c r="CE71" s="8"/>
      <c r="CF71" s="8"/>
      <c r="CG71" s="8"/>
      <c r="CH71" s="8"/>
      <c r="CI71" s="8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27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"/>
      <c r="O72" s="1"/>
      <c r="P72" s="1"/>
      <c r="Q72" s="8"/>
      <c r="R72" s="8"/>
      <c r="S72" s="8"/>
      <c r="T72" s="1"/>
      <c r="U72" s="1"/>
      <c r="V72" s="1"/>
      <c r="W72" s="259" t="s">
        <v>299</v>
      </c>
      <c r="X72" s="140" t="s">
        <v>58</v>
      </c>
      <c r="Y72" s="8"/>
      <c r="Z72" s="8"/>
      <c r="AA72" s="8"/>
      <c r="AB72" s="8"/>
      <c r="AC72" s="9"/>
      <c r="AD72" s="24"/>
      <c r="AE72" s="8"/>
      <c r="AF72" s="8"/>
      <c r="AG72" s="8"/>
      <c r="AH72" s="8"/>
      <c r="AI72" s="8"/>
      <c r="AJ72" s="8"/>
      <c r="AK72" s="8"/>
      <c r="AL72" s="1"/>
      <c r="AM72" s="1"/>
      <c r="AN72" s="8"/>
      <c r="AO72" s="9"/>
      <c r="AP72" s="113"/>
      <c r="AQ72" s="8"/>
      <c r="AR72" s="8"/>
      <c r="AS72" s="8"/>
      <c r="AT72" s="8"/>
      <c r="AU72" s="8"/>
      <c r="AV72" s="8"/>
      <c r="AW72" s="114"/>
      <c r="AX72" s="276"/>
      <c r="AY72" s="8"/>
      <c r="AZ72" s="8"/>
      <c r="BA72" s="8"/>
      <c r="BB72" s="8"/>
      <c r="BC72" s="8"/>
      <c r="BD72" s="8"/>
      <c r="BE72" s="8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8"/>
      <c r="BW72" s="8"/>
      <c r="BX72" s="8"/>
      <c r="BY72" s="8"/>
      <c r="BZ72" s="8"/>
      <c r="CA72" s="6"/>
      <c r="CB72" s="8"/>
      <c r="CC72" s="8"/>
      <c r="CD72" s="8"/>
      <c r="CE72" s="8"/>
      <c r="CF72" s="8"/>
      <c r="CG72" s="8"/>
      <c r="CH72" s="8"/>
      <c r="CI72" s="8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27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"/>
      <c r="O73" s="1"/>
      <c r="P73" s="1"/>
      <c r="Q73" s="8"/>
      <c r="R73" s="8"/>
      <c r="S73" s="8"/>
      <c r="T73" s="1"/>
      <c r="U73" s="1"/>
      <c r="V73" s="1"/>
      <c r="W73" s="265" t="s">
        <v>4328</v>
      </c>
      <c r="X73" s="266" t="s">
        <v>58</v>
      </c>
      <c r="Y73" s="8"/>
      <c r="Z73" s="8"/>
      <c r="AA73" s="8"/>
      <c r="AB73" s="8"/>
      <c r="AC73" s="9"/>
      <c r="AD73" s="24"/>
      <c r="AE73" s="8"/>
      <c r="AF73" s="8"/>
      <c r="AG73" s="8"/>
      <c r="AH73" s="8"/>
      <c r="AI73" s="8"/>
      <c r="AJ73" s="8"/>
      <c r="AK73" s="8"/>
      <c r="AL73" s="1"/>
      <c r="AM73" s="1"/>
      <c r="AN73" s="8"/>
      <c r="AO73" s="9"/>
      <c r="AP73" s="113"/>
      <c r="AQ73" s="8"/>
      <c r="AR73" s="8"/>
      <c r="AS73" s="8"/>
      <c r="AT73" s="8"/>
      <c r="AU73" s="8"/>
      <c r="AV73" s="8"/>
      <c r="AW73" s="114"/>
      <c r="AX73" s="276"/>
      <c r="AY73" s="8"/>
      <c r="AZ73" s="8"/>
      <c r="BA73" s="8"/>
      <c r="BB73" s="8"/>
      <c r="BC73" s="8"/>
      <c r="BD73" s="8"/>
      <c r="BE73" s="8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8"/>
      <c r="BW73" s="8"/>
      <c r="BX73" s="8"/>
      <c r="BY73" s="8"/>
      <c r="BZ73" s="8"/>
      <c r="CA73" s="6"/>
      <c r="CB73" s="8"/>
      <c r="CC73" s="8"/>
      <c r="CD73" s="8"/>
      <c r="CE73" s="8"/>
      <c r="CF73" s="8"/>
      <c r="CG73" s="8"/>
      <c r="CH73" s="8"/>
      <c r="CI73" s="8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17.2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1"/>
      <c r="AM74" s="1"/>
      <c r="AN74" s="9"/>
      <c r="AO74" s="9"/>
      <c r="AP74" s="13"/>
      <c r="AQ74" s="9"/>
      <c r="AR74" s="8"/>
      <c r="AS74" s="8"/>
      <c r="AT74" s="8"/>
      <c r="AU74" s="9"/>
      <c r="AV74" s="9"/>
      <c r="AW74" s="9"/>
      <c r="AX74" s="9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2"/>
      <c r="BW74" s="2"/>
      <c r="BX74" s="8"/>
      <c r="BY74" s="8"/>
      <c r="BZ74" s="8"/>
      <c r="CA74" s="6"/>
      <c r="CB74" s="8"/>
      <c r="CC74" s="8"/>
      <c r="CD74" s="8"/>
      <c r="CE74" s="8"/>
      <c r="CF74" s="8"/>
      <c r="CG74" s="8"/>
      <c r="CH74" s="8"/>
      <c r="CI74" s="8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17.25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1"/>
      <c r="AM75" s="1"/>
      <c r="AN75" s="9"/>
      <c r="AO75" s="9"/>
      <c r="AP75" s="13"/>
      <c r="AQ75" s="9"/>
      <c r="AR75" s="8"/>
      <c r="AS75" s="8"/>
      <c r="AT75" s="8"/>
      <c r="AU75" s="9"/>
      <c r="AV75" s="9"/>
      <c r="AW75" s="9"/>
      <c r="AX75" s="9"/>
      <c r="AY75" s="8"/>
      <c r="AZ75" s="8"/>
      <c r="BA75" s="8"/>
      <c r="BB75" s="8"/>
      <c r="BC75" s="8"/>
      <c r="BD75" s="8"/>
      <c r="BE75" s="8"/>
      <c r="BF75" s="267"/>
      <c r="BG75" s="267"/>
      <c r="BH75" s="267"/>
      <c r="BI75" s="267"/>
      <c r="BJ75" s="267"/>
      <c r="BK75" s="267"/>
      <c r="BL75" s="6"/>
      <c r="BM75" s="6"/>
      <c r="BN75" s="8"/>
      <c r="BO75" s="8"/>
      <c r="BP75" s="6"/>
      <c r="BQ75" s="8"/>
      <c r="BR75" s="267"/>
      <c r="BS75" s="267"/>
      <c r="BT75" s="6"/>
      <c r="BU75" s="6"/>
      <c r="BV75" s="2"/>
      <c r="BW75" s="2"/>
      <c r="BX75" s="8"/>
      <c r="BY75" s="8"/>
      <c r="BZ75" s="8"/>
      <c r="CA75" s="6"/>
      <c r="CB75" s="8"/>
      <c r="CC75" s="8"/>
      <c r="CD75" s="8"/>
      <c r="CE75" s="8"/>
      <c r="CF75" s="8"/>
      <c r="CG75" s="8"/>
      <c r="CH75" s="8"/>
      <c r="CI75" s="8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17.25" customHeight="1">
      <c r="A76" s="8"/>
      <c r="B76" s="9"/>
      <c r="C76" s="9"/>
      <c r="D76" s="9"/>
      <c r="E76" s="787" t="s">
        <v>306</v>
      </c>
      <c r="F76" s="788"/>
      <c r="G76" s="788"/>
      <c r="H76" s="789"/>
      <c r="I76" s="9"/>
      <c r="J76" s="9"/>
      <c r="K76" s="9"/>
      <c r="L76" s="9"/>
      <c r="M76" s="9"/>
      <c r="N76" s="1"/>
      <c r="O76" s="1"/>
      <c r="P76" s="1"/>
      <c r="Q76" s="8"/>
      <c r="R76" s="8"/>
      <c r="S76" s="8"/>
      <c r="T76" s="9"/>
      <c r="U76" s="9"/>
      <c r="V76" s="9"/>
      <c r="W76" s="173"/>
      <c r="X76" s="173"/>
      <c r="Y76" s="173"/>
      <c r="Z76" s="792" t="s">
        <v>307</v>
      </c>
      <c r="AA76" s="793"/>
      <c r="AB76" s="793"/>
      <c r="AC76" s="794"/>
      <c r="AD76" s="173"/>
      <c r="AE76" s="173"/>
      <c r="AF76" s="173"/>
      <c r="AG76" s="8"/>
      <c r="AH76" s="8"/>
      <c r="AI76" s="173"/>
      <c r="AJ76" s="173"/>
      <c r="AK76" s="173"/>
      <c r="AL76" s="1"/>
      <c r="AM76" s="1"/>
      <c r="AN76" s="173"/>
      <c r="AO76" s="9"/>
      <c r="AP76" s="113"/>
      <c r="AQ76" s="8"/>
      <c r="AR76" s="8"/>
      <c r="AS76" s="8"/>
      <c r="AT76" s="8"/>
      <c r="AU76" s="8"/>
      <c r="AV76" s="8"/>
      <c r="AW76" s="8"/>
      <c r="AX76" s="778" t="s">
        <v>308</v>
      </c>
      <c r="AY76" s="757"/>
      <c r="AZ76" s="758"/>
      <c r="BA76" s="8"/>
      <c r="BB76" s="8"/>
      <c r="BC76" s="8"/>
      <c r="BD76" s="8"/>
      <c r="BE76" s="8"/>
      <c r="BF76" s="6"/>
      <c r="BG76" s="267"/>
      <c r="BH76" s="267"/>
      <c r="BI76" s="267"/>
      <c r="BJ76" s="267"/>
      <c r="BK76" s="267"/>
      <c r="BL76" s="8"/>
      <c r="BM76" s="8"/>
      <c r="BN76" s="8"/>
      <c r="BO76" s="8"/>
      <c r="BP76" s="8"/>
      <c r="BQ76" s="8"/>
      <c r="BR76" s="8"/>
      <c r="BS76" s="782" t="s">
        <v>309</v>
      </c>
      <c r="BT76" s="773"/>
      <c r="BU76" s="762"/>
      <c r="BV76" s="6"/>
      <c r="BW76" s="6"/>
      <c r="BX76" s="8"/>
      <c r="BY76" s="8"/>
      <c r="BZ76" s="8"/>
      <c r="CA76" s="6"/>
      <c r="CB76" s="6"/>
      <c r="CC76" s="8"/>
      <c r="CD76" s="8"/>
      <c r="CE76" s="8"/>
      <c r="CF76" s="8"/>
      <c r="CG76" s="8"/>
      <c r="CH76" s="8"/>
      <c r="CI76" s="8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15.75" customHeight="1">
      <c r="A77" s="8"/>
      <c r="B77" s="9"/>
      <c r="C77" s="9"/>
      <c r="D77" s="9"/>
      <c r="E77" s="790" t="s">
        <v>310</v>
      </c>
      <c r="F77" s="791"/>
      <c r="G77" s="791"/>
      <c r="H77" s="770"/>
      <c r="I77" s="9"/>
      <c r="J77" s="9"/>
      <c r="K77" s="7"/>
      <c r="L77" s="8"/>
      <c r="M77" s="8"/>
      <c r="N77" s="1"/>
      <c r="O77" s="1"/>
      <c r="P77" s="1"/>
      <c r="Q77" s="8"/>
      <c r="R77" s="8"/>
      <c r="S77" s="8"/>
      <c r="T77" s="9"/>
      <c r="U77" s="9"/>
      <c r="V77" s="9"/>
      <c r="W77" s="173"/>
      <c r="X77" s="173"/>
      <c r="Y77" s="173"/>
      <c r="Z77" s="792" t="s">
        <v>311</v>
      </c>
      <c r="AA77" s="793"/>
      <c r="AB77" s="793"/>
      <c r="AC77" s="794"/>
      <c r="AD77" s="173"/>
      <c r="AE77" s="173"/>
      <c r="AF77" s="173"/>
      <c r="AG77" s="8"/>
      <c r="AH77" s="8"/>
      <c r="AI77" s="173"/>
      <c r="AJ77" s="173"/>
      <c r="AK77" s="173"/>
      <c r="AL77" s="1"/>
      <c r="AM77" s="1"/>
      <c r="AN77" s="173"/>
      <c r="AO77" s="9"/>
      <c r="AP77" s="113"/>
      <c r="AQ77" s="8"/>
      <c r="AR77" s="8"/>
      <c r="AS77" s="8"/>
      <c r="AT77" s="8"/>
      <c r="AU77" s="8"/>
      <c r="AV77" s="8"/>
      <c r="AW77" s="8"/>
      <c r="AX77" s="778" t="s">
        <v>312</v>
      </c>
      <c r="AY77" s="757"/>
      <c r="AZ77" s="758"/>
      <c r="BA77" s="8"/>
      <c r="BB77" s="8"/>
      <c r="BC77" s="8"/>
      <c r="BD77" s="8"/>
      <c r="BE77" s="8"/>
      <c r="BF77" s="6"/>
      <c r="BG77" s="267"/>
      <c r="BH77" s="267"/>
      <c r="BI77" s="267"/>
      <c r="BJ77" s="267"/>
      <c r="BK77" s="267"/>
      <c r="BL77" s="8"/>
      <c r="BM77" s="8"/>
      <c r="BN77" s="8"/>
      <c r="BO77" s="8"/>
      <c r="BP77" s="8"/>
      <c r="BQ77" s="8"/>
      <c r="BR77" s="8"/>
      <c r="BS77" s="783" t="s">
        <v>313</v>
      </c>
      <c r="BT77" s="784"/>
      <c r="BU77" s="785"/>
      <c r="BV77" s="6"/>
      <c r="BW77" s="6"/>
      <c r="BX77" s="8"/>
      <c r="BY77" s="8"/>
      <c r="BZ77" s="8"/>
      <c r="CA77" s="6"/>
      <c r="CB77" s="6"/>
      <c r="CC77" s="8"/>
      <c r="CD77" s="8"/>
      <c r="CE77" s="8"/>
      <c r="CF77" s="8"/>
      <c r="CG77" s="8"/>
      <c r="CH77" s="8"/>
      <c r="CI77" s="8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24" customHeight="1">
      <c r="A78" s="8"/>
      <c r="B78" s="9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1">
        <f>SUM(C80,F80,I80,L80)</f>
        <v>32</v>
      </c>
      <c r="O78" s="1"/>
      <c r="P78" s="1"/>
      <c r="Q78" s="1"/>
      <c r="R78" s="1"/>
      <c r="S78" s="1"/>
      <c r="T78" s="9"/>
      <c r="U78" s="9"/>
      <c r="V78" s="9"/>
      <c r="W78" s="173"/>
      <c r="X78" s="173"/>
      <c r="Y78" s="173"/>
      <c r="Z78" s="173"/>
      <c r="AA78" s="173"/>
      <c r="AB78" s="173"/>
      <c r="AC78" s="277"/>
      <c r="AD78" s="173"/>
      <c r="AE78" s="173"/>
      <c r="AF78" s="173"/>
      <c r="AG78" s="8">
        <f>SUM(X80,AA80,AD80,AG80)</f>
        <v>31</v>
      </c>
      <c r="AH78" s="8"/>
      <c r="AI78" s="173"/>
      <c r="AJ78" s="173"/>
      <c r="AK78" s="173"/>
      <c r="AL78" s="1"/>
      <c r="AM78" s="1"/>
      <c r="AN78" s="173"/>
      <c r="AO78" s="9"/>
      <c r="AP78" s="113"/>
      <c r="AQ78" s="8"/>
      <c r="AR78" s="8"/>
      <c r="AS78" s="8"/>
      <c r="AT78" s="8"/>
      <c r="AU78" s="8"/>
      <c r="AV78" s="8"/>
      <c r="AW78" s="8"/>
      <c r="AX78" s="276"/>
      <c r="AY78" s="114"/>
      <c r="AZ78" s="114"/>
      <c r="BA78" s="8"/>
      <c r="BB78" s="8"/>
      <c r="BC78" s="8"/>
      <c r="BD78" s="8"/>
      <c r="BE78" s="8"/>
      <c r="BF78" s="6"/>
      <c r="BG78" s="267"/>
      <c r="BH78" s="267"/>
      <c r="BI78" s="267"/>
      <c r="BJ78" s="267"/>
      <c r="BK78" s="267"/>
      <c r="BL78" s="8"/>
      <c r="BM78" s="6"/>
      <c r="BN78" s="6"/>
      <c r="BO78" s="8"/>
      <c r="BP78" s="8"/>
      <c r="BQ78" s="8"/>
      <c r="BR78" s="6"/>
      <c r="BS78" s="8"/>
      <c r="BT78" s="119"/>
      <c r="BU78" s="8"/>
      <c r="BV78" s="6"/>
      <c r="BW78" s="6"/>
      <c r="BX78" s="8"/>
      <c r="BY78" s="8"/>
      <c r="BZ78" s="8"/>
      <c r="CA78" s="6"/>
      <c r="CB78" s="6"/>
      <c r="CC78" s="8"/>
      <c r="CD78" s="8"/>
      <c r="CE78" s="8"/>
      <c r="CF78" s="8"/>
      <c r="CG78" s="8"/>
      <c r="CH78" s="8"/>
      <c r="CI78" s="8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30" customHeight="1">
      <c r="A79" s="1"/>
      <c r="B79" s="9"/>
      <c r="C79" s="35"/>
      <c r="D79" s="36"/>
      <c r="E79" s="37"/>
      <c r="F79" s="278"/>
      <c r="G79" s="12"/>
      <c r="H79" s="37"/>
      <c r="I79" s="8"/>
      <c r="J79" s="8"/>
      <c r="K79" s="7"/>
      <c r="L79" s="8"/>
      <c r="M79" s="8"/>
      <c r="N79" s="1"/>
      <c r="O79" s="1"/>
      <c r="P79" s="1"/>
      <c r="Q79" s="1"/>
      <c r="R79" s="8"/>
      <c r="S79" s="8"/>
      <c r="T79" s="9"/>
      <c r="U79" s="9"/>
      <c r="V79" s="9"/>
      <c r="W79" s="173"/>
      <c r="X79" s="279"/>
      <c r="Y79" s="280"/>
      <c r="Z79" s="281"/>
      <c r="AA79" s="279"/>
      <c r="AB79" s="280"/>
      <c r="AC79" s="282"/>
      <c r="AD79" s="280"/>
      <c r="AE79" s="280"/>
      <c r="AF79" s="281"/>
      <c r="AG79" s="280"/>
      <c r="AH79" s="280"/>
      <c r="AI79" s="281"/>
      <c r="AJ79" s="173"/>
      <c r="AK79" s="173"/>
      <c r="AL79" s="1"/>
      <c r="AM79" s="1"/>
      <c r="AN79" s="173"/>
      <c r="AO79" s="9"/>
      <c r="AP79" s="113"/>
      <c r="AQ79" s="8"/>
      <c r="AR79" s="8"/>
      <c r="AS79" s="8"/>
      <c r="AT79" s="8"/>
      <c r="AU79" s="8"/>
      <c r="AV79" s="8"/>
      <c r="AW79" s="8"/>
      <c r="AX79" s="276"/>
      <c r="AY79" s="8"/>
      <c r="AZ79" s="8"/>
      <c r="BA79" s="8"/>
      <c r="BB79" s="8"/>
      <c r="BC79" s="8"/>
      <c r="BD79" s="8"/>
      <c r="BE79" s="8"/>
      <c r="BF79" s="6"/>
      <c r="BG79" s="267"/>
      <c r="BH79" s="267"/>
      <c r="BI79" s="267"/>
      <c r="BJ79" s="267"/>
      <c r="BK79" s="267"/>
      <c r="BL79" s="8"/>
      <c r="BM79" s="6"/>
      <c r="BN79" s="6"/>
      <c r="BO79" s="8"/>
      <c r="BP79" s="8"/>
      <c r="BQ79" s="8"/>
      <c r="BR79" s="6"/>
      <c r="BS79" s="35"/>
      <c r="BT79" s="36"/>
      <c r="BU79" s="37"/>
      <c r="BV79" s="6"/>
      <c r="BW79" s="6"/>
      <c r="BX79" s="8"/>
      <c r="BY79" s="8"/>
      <c r="BZ79" s="8"/>
      <c r="CA79" s="6"/>
      <c r="CB79" s="6"/>
      <c r="CC79" s="8"/>
      <c r="CD79" s="8"/>
      <c r="CE79" s="8"/>
      <c r="CF79" s="8"/>
      <c r="CG79" s="8"/>
      <c r="CH79" s="8"/>
      <c r="CI79" s="8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30" customHeight="1">
      <c r="A80" s="1"/>
      <c r="B80" s="41" t="s">
        <v>155</v>
      </c>
      <c r="C80" s="44">
        <f>COUNTA(C81:C96)</f>
        <v>15</v>
      </c>
      <c r="D80" s="8"/>
      <c r="E80" s="41" t="s">
        <v>159</v>
      </c>
      <c r="F80" s="44">
        <f>COUNTA(F81:F96)</f>
        <v>7</v>
      </c>
      <c r="G80" s="1"/>
      <c r="H80" s="41" t="s">
        <v>160</v>
      </c>
      <c r="I80" s="44">
        <f>COUNTA(I81:I95)</f>
        <v>10</v>
      </c>
      <c r="J80" s="1"/>
      <c r="K80" s="9"/>
      <c r="L80" s="9"/>
      <c r="M80" s="9"/>
      <c r="N80" s="1"/>
      <c r="O80" s="1"/>
      <c r="P80" s="1"/>
      <c r="Q80" s="1"/>
      <c r="R80" s="6"/>
      <c r="S80" s="1"/>
      <c r="T80" s="9"/>
      <c r="U80" s="9"/>
      <c r="V80" s="9"/>
      <c r="W80" s="283" t="s">
        <v>155</v>
      </c>
      <c r="X80" s="125">
        <f>COUNTA(X81:X96)</f>
        <v>8</v>
      </c>
      <c r="Y80" s="123"/>
      <c r="Z80" s="283" t="s">
        <v>159</v>
      </c>
      <c r="AA80" s="124">
        <f>COUNTA(AA81:AA96)</f>
        <v>10</v>
      </c>
      <c r="AB80" s="123"/>
      <c r="AC80" s="283" t="s">
        <v>160</v>
      </c>
      <c r="AD80" s="127">
        <f>COUNTA(AD81:AD93)</f>
        <v>6</v>
      </c>
      <c r="AE80" s="173"/>
      <c r="AF80" s="283" t="s">
        <v>314</v>
      </c>
      <c r="AG80" s="125">
        <f>COUNTA(AG81:AG95)</f>
        <v>7</v>
      </c>
      <c r="AH80" s="173"/>
      <c r="AI80" s="283" t="s">
        <v>315</v>
      </c>
      <c r="AJ80" s="125">
        <f>COUNTA(AJ81:AJ96)</f>
        <v>7</v>
      </c>
      <c r="AK80" s="173"/>
      <c r="AL80" s="1"/>
      <c r="AM80" s="1"/>
      <c r="AN80" s="173"/>
      <c r="AO80" s="9"/>
      <c r="AP80" s="113"/>
      <c r="AQ80" s="8"/>
      <c r="AR80" s="8"/>
      <c r="AS80" s="8"/>
      <c r="AT80" s="8"/>
      <c r="AU80" s="41" t="s">
        <v>155</v>
      </c>
      <c r="AV80" s="42">
        <f>COUNTA(AV81:AV91)</f>
        <v>6</v>
      </c>
      <c r="AW80" s="8"/>
      <c r="AX80" s="41" t="s">
        <v>159</v>
      </c>
      <c r="AY80" s="44">
        <v>6</v>
      </c>
      <c r="AZ80" s="1"/>
      <c r="BA80" s="41" t="s">
        <v>160</v>
      </c>
      <c r="BB80" s="42">
        <f>COUNTA(BB81:BB91)</f>
        <v>4</v>
      </c>
      <c r="BC80" s="1"/>
      <c r="BD80" s="8"/>
      <c r="BE80" s="8"/>
      <c r="BF80" s="6"/>
      <c r="BG80" s="267"/>
      <c r="BH80" s="267"/>
      <c r="BI80" s="267"/>
      <c r="BJ80" s="267"/>
      <c r="BK80" s="267"/>
      <c r="BL80" s="41" t="s">
        <v>316</v>
      </c>
      <c r="BM80" s="44">
        <f>COUNTA(BM81:BM90)</f>
        <v>3</v>
      </c>
      <c r="BN80" s="8"/>
      <c r="BO80" s="41" t="s">
        <v>4329</v>
      </c>
      <c r="BP80" s="44">
        <f>COUNTA(BP81:BP99)</f>
        <v>18</v>
      </c>
      <c r="BQ80" s="284"/>
      <c r="BR80" s="41" t="s">
        <v>317</v>
      </c>
      <c r="BS80" s="44">
        <f>COUNTA(BS81:BS99)</f>
        <v>16</v>
      </c>
      <c r="BT80" s="6"/>
      <c r="BU80" s="41" t="s">
        <v>318</v>
      </c>
      <c r="BV80" s="42">
        <f>COUNTA(BV81:BV95)</f>
        <v>9</v>
      </c>
      <c r="BW80" s="1"/>
      <c r="BX80" s="45" t="s">
        <v>319</v>
      </c>
      <c r="BY80" s="42">
        <f>COUNTA(BY81:BY91)</f>
        <v>8</v>
      </c>
      <c r="BZ80" s="1"/>
      <c r="CA80" s="41" t="s">
        <v>320</v>
      </c>
      <c r="CB80" s="42">
        <f>COUNTA(CB81:CB91)</f>
        <v>8</v>
      </c>
      <c r="CC80" s="1"/>
      <c r="CD80" s="8"/>
      <c r="CE80" s="8"/>
      <c r="CF80" s="8"/>
      <c r="CG80" s="8"/>
      <c r="CH80" s="8"/>
      <c r="CI80" s="8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30" customHeight="1">
      <c r="A81" s="1"/>
      <c r="B81" s="285" t="s">
        <v>321</v>
      </c>
      <c r="C81" s="286"/>
      <c r="D81" s="8" t="s">
        <v>49</v>
      </c>
      <c r="E81" s="154" t="s">
        <v>4330</v>
      </c>
      <c r="F81" s="142" t="s">
        <v>58</v>
      </c>
      <c r="G81" s="170" t="s">
        <v>49</v>
      </c>
      <c r="H81" s="287" t="s">
        <v>4331</v>
      </c>
      <c r="I81" s="66" t="s">
        <v>52</v>
      </c>
      <c r="J81" s="8" t="s">
        <v>49</v>
      </c>
      <c r="K81" s="7"/>
      <c r="L81" s="8"/>
      <c r="M81" s="8"/>
      <c r="N81" s="267"/>
      <c r="O81" s="267"/>
      <c r="P81" s="1"/>
      <c r="Q81" s="1"/>
      <c r="R81" s="9"/>
      <c r="S81" s="8"/>
      <c r="T81" s="9"/>
      <c r="U81" s="9"/>
      <c r="V81" s="9"/>
      <c r="W81" s="288" t="s">
        <v>322</v>
      </c>
      <c r="X81" s="152"/>
      <c r="Y81" s="123"/>
      <c r="Z81" s="215" t="s">
        <v>246</v>
      </c>
      <c r="AA81" s="152"/>
      <c r="AB81" s="289" t="s">
        <v>49</v>
      </c>
      <c r="AC81" s="290" t="s">
        <v>323</v>
      </c>
      <c r="AD81" s="160"/>
      <c r="AE81" s="292" t="s">
        <v>238</v>
      </c>
      <c r="AF81" s="293" t="s">
        <v>324</v>
      </c>
      <c r="AG81" s="152"/>
      <c r="AH81" s="173"/>
      <c r="AI81" s="288" t="s">
        <v>322</v>
      </c>
      <c r="AJ81" s="152"/>
      <c r="AK81" s="173"/>
      <c r="AL81" s="1"/>
      <c r="AM81" s="1"/>
      <c r="AN81" s="173"/>
      <c r="AO81" s="9"/>
      <c r="AP81" s="113"/>
      <c r="AQ81" s="8"/>
      <c r="AR81" s="8"/>
      <c r="AS81" s="8"/>
      <c r="AT81" s="8"/>
      <c r="AU81" s="220" t="s">
        <v>193</v>
      </c>
      <c r="AV81" s="75"/>
      <c r="AW81" s="8" t="s">
        <v>163</v>
      </c>
      <c r="AX81" s="57" t="s">
        <v>231</v>
      </c>
      <c r="AY81" s="67"/>
      <c r="AZ81" s="8"/>
      <c r="BA81" s="234" t="s">
        <v>325</v>
      </c>
      <c r="BB81" s="67"/>
      <c r="BC81" s="8"/>
      <c r="BD81" s="8"/>
      <c r="BE81" s="8"/>
      <c r="BF81" s="6"/>
      <c r="BG81" s="267"/>
      <c r="BH81" s="267"/>
      <c r="BI81" s="267"/>
      <c r="BJ81" s="267"/>
      <c r="BK81" s="267"/>
      <c r="BL81" s="166" t="s">
        <v>326</v>
      </c>
      <c r="BM81" s="80"/>
      <c r="BN81" s="8"/>
      <c r="BO81" s="285" t="s">
        <v>327</v>
      </c>
      <c r="BP81" s="169" t="s">
        <v>48</v>
      </c>
      <c r="BQ81" s="8" t="s">
        <v>49</v>
      </c>
      <c r="BR81" s="81" t="s">
        <v>4332</v>
      </c>
      <c r="BS81" s="82" t="s">
        <v>48</v>
      </c>
      <c r="BT81" s="170" t="s">
        <v>49</v>
      </c>
      <c r="BU81" s="295" t="s">
        <v>328</v>
      </c>
      <c r="BV81" s="66" t="s">
        <v>52</v>
      </c>
      <c r="BW81" s="8" t="s">
        <v>329</v>
      </c>
      <c r="BX81" s="296" t="s">
        <v>330</v>
      </c>
      <c r="BY81" s="297"/>
      <c r="BZ81" s="8" t="s">
        <v>329</v>
      </c>
      <c r="CA81" s="234" t="s">
        <v>330</v>
      </c>
      <c r="CB81" s="298" t="s">
        <v>48</v>
      </c>
      <c r="CC81" s="8" t="s">
        <v>49</v>
      </c>
      <c r="CD81" s="8"/>
      <c r="CE81" s="8"/>
      <c r="CF81" s="8"/>
      <c r="CG81" s="8"/>
      <c r="CH81" s="8"/>
      <c r="CI81" s="8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30" customHeight="1">
      <c r="A82" s="1"/>
      <c r="B82" s="299" t="s">
        <v>4333</v>
      </c>
      <c r="C82" s="155" t="s">
        <v>52</v>
      </c>
      <c r="D82" s="300"/>
      <c r="E82" s="154" t="s">
        <v>4334</v>
      </c>
      <c r="F82" s="142" t="s">
        <v>58</v>
      </c>
      <c r="G82" s="301" t="s">
        <v>62</v>
      </c>
      <c r="H82" s="287" t="s">
        <v>4335</v>
      </c>
      <c r="I82" s="66" t="s">
        <v>52</v>
      </c>
      <c r="J82" s="157" t="s">
        <v>62</v>
      </c>
      <c r="K82" s="9"/>
      <c r="L82" s="9"/>
      <c r="M82" s="9"/>
      <c r="N82" s="267"/>
      <c r="O82" s="267"/>
      <c r="P82" s="1"/>
      <c r="Q82" s="1"/>
      <c r="R82" s="9"/>
      <c r="S82" s="8"/>
      <c r="T82" s="9"/>
      <c r="U82" s="9"/>
      <c r="V82" s="9"/>
      <c r="W82" s="175" t="s">
        <v>348</v>
      </c>
      <c r="X82" s="176" t="s">
        <v>52</v>
      </c>
      <c r="Y82" s="303" t="s">
        <v>62</v>
      </c>
      <c r="Z82" s="291" t="s">
        <v>4336</v>
      </c>
      <c r="AA82" s="304" t="s">
        <v>270</v>
      </c>
      <c r="AB82" s="303" t="s">
        <v>62</v>
      </c>
      <c r="AC82" s="305" t="s">
        <v>332</v>
      </c>
      <c r="AD82" s="183" t="s">
        <v>52</v>
      </c>
      <c r="AE82" s="173"/>
      <c r="AF82" s="306" t="s">
        <v>334</v>
      </c>
      <c r="AG82" s="194" t="s">
        <v>48</v>
      </c>
      <c r="AH82" s="307" t="s">
        <v>335</v>
      </c>
      <c r="AI82" s="175" t="s">
        <v>336</v>
      </c>
      <c r="AJ82" s="233" t="s">
        <v>270</v>
      </c>
      <c r="AK82" s="307" t="s">
        <v>335</v>
      </c>
      <c r="AL82" s="1"/>
      <c r="AM82" s="1"/>
      <c r="AN82" s="173"/>
      <c r="AO82" s="9"/>
      <c r="AP82" s="113"/>
      <c r="AQ82" s="8"/>
      <c r="AR82" s="8"/>
      <c r="AS82" s="8"/>
      <c r="AT82" s="8"/>
      <c r="AU82" s="182" t="s">
        <v>337</v>
      </c>
      <c r="AV82" s="66" t="s">
        <v>52</v>
      </c>
      <c r="AW82" s="157" t="s">
        <v>62</v>
      </c>
      <c r="AX82" s="220" t="s">
        <v>338</v>
      </c>
      <c r="AY82" s="82" t="s">
        <v>48</v>
      </c>
      <c r="AZ82" s="157" t="s">
        <v>62</v>
      </c>
      <c r="BA82" s="113" t="s">
        <v>339</v>
      </c>
      <c r="BB82" s="66" t="s">
        <v>52</v>
      </c>
      <c r="BC82" s="157" t="s">
        <v>62</v>
      </c>
      <c r="BD82" s="8"/>
      <c r="BE82" s="8"/>
      <c r="BF82" s="6"/>
      <c r="BG82" s="267"/>
      <c r="BH82" s="267"/>
      <c r="BI82" s="267"/>
      <c r="BJ82" s="267"/>
      <c r="BK82" s="267"/>
      <c r="BL82" s="166" t="s">
        <v>340</v>
      </c>
      <c r="BM82" s="80" t="s">
        <v>48</v>
      </c>
      <c r="BN82" s="27"/>
      <c r="BO82" s="299" t="s">
        <v>341</v>
      </c>
      <c r="BP82" s="169" t="s">
        <v>48</v>
      </c>
      <c r="BQ82" s="309" t="s">
        <v>62</v>
      </c>
      <c r="BR82" s="81" t="s">
        <v>4337</v>
      </c>
      <c r="BS82" s="308" t="s">
        <v>270</v>
      </c>
      <c r="BT82" s="309" t="s">
        <v>62</v>
      </c>
      <c r="BU82" s="220" t="s">
        <v>342</v>
      </c>
      <c r="BV82" s="66" t="s">
        <v>52</v>
      </c>
      <c r="BW82" s="157" t="s">
        <v>62</v>
      </c>
      <c r="BX82" s="310" t="s">
        <v>343</v>
      </c>
      <c r="BY82" s="66" t="s">
        <v>52</v>
      </c>
      <c r="BZ82" s="157" t="s">
        <v>62</v>
      </c>
      <c r="CA82" s="182" t="s">
        <v>344</v>
      </c>
      <c r="CB82" s="183" t="s">
        <v>52</v>
      </c>
      <c r="CC82" s="2" t="s">
        <v>49</v>
      </c>
      <c r="CD82" s="8"/>
      <c r="CE82" s="8"/>
      <c r="CF82" s="8"/>
      <c r="CG82" s="8"/>
      <c r="CH82" s="8"/>
      <c r="CI82" s="8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30" customHeight="1">
      <c r="A83" s="1"/>
      <c r="B83" s="299" t="s">
        <v>345</v>
      </c>
      <c r="C83" s="169" t="s">
        <v>48</v>
      </c>
      <c r="D83" s="157" t="s">
        <v>62</v>
      </c>
      <c r="E83" s="154" t="s">
        <v>4338</v>
      </c>
      <c r="F83" s="142" t="s">
        <v>58</v>
      </c>
      <c r="G83" s="2"/>
      <c r="H83" s="287" t="s">
        <v>4339</v>
      </c>
      <c r="I83" s="66" t="s">
        <v>52</v>
      </c>
      <c r="J83" s="9"/>
      <c r="K83" s="7"/>
      <c r="L83" s="8"/>
      <c r="M83" s="8"/>
      <c r="N83" s="267"/>
      <c r="O83" s="267"/>
      <c r="P83" s="1"/>
      <c r="Q83" s="1"/>
      <c r="R83" s="9"/>
      <c r="S83" s="8"/>
      <c r="T83" s="9"/>
      <c r="U83" s="9"/>
      <c r="V83" s="9"/>
      <c r="W83" s="302" t="s">
        <v>331</v>
      </c>
      <c r="X83" s="82" t="s">
        <v>48</v>
      </c>
      <c r="Y83" s="303" t="s">
        <v>62</v>
      </c>
      <c r="Z83" s="291" t="s">
        <v>4340</v>
      </c>
      <c r="AA83" s="149" t="s">
        <v>52</v>
      </c>
      <c r="AB83" s="173"/>
      <c r="AC83" s="305" t="s">
        <v>347</v>
      </c>
      <c r="AD83" s="183" t="s">
        <v>52</v>
      </c>
      <c r="AE83" s="173"/>
      <c r="AF83" s="313" t="s">
        <v>349</v>
      </c>
      <c r="AG83" s="233" t="s">
        <v>270</v>
      </c>
      <c r="AH83" s="307" t="s">
        <v>335</v>
      </c>
      <c r="AI83" s="175" t="s">
        <v>350</v>
      </c>
      <c r="AJ83" s="233" t="s">
        <v>270</v>
      </c>
      <c r="AK83" s="173"/>
      <c r="AL83" s="1"/>
      <c r="AM83" s="1"/>
      <c r="AN83" s="173"/>
      <c r="AO83" s="9"/>
      <c r="AP83" s="113"/>
      <c r="AQ83" s="8"/>
      <c r="AR83" s="8"/>
      <c r="AS83" s="8"/>
      <c r="AT83" s="8"/>
      <c r="AU83" s="314" t="s">
        <v>351</v>
      </c>
      <c r="AV83" s="66" t="s">
        <v>52</v>
      </c>
      <c r="AW83" s="8"/>
      <c r="AX83" s="220" t="s">
        <v>352</v>
      </c>
      <c r="AY83" s="66" t="s">
        <v>52</v>
      </c>
      <c r="AZ83" s="9"/>
      <c r="BA83" s="315" t="s">
        <v>353</v>
      </c>
      <c r="BB83" s="66" t="s">
        <v>52</v>
      </c>
      <c r="BC83" s="9"/>
      <c r="BD83" s="8"/>
      <c r="BE83" s="8"/>
      <c r="BF83" s="6"/>
      <c r="BG83" s="267"/>
      <c r="BH83" s="267"/>
      <c r="BI83" s="267"/>
      <c r="BJ83" s="267"/>
      <c r="BK83" s="267"/>
      <c r="BL83" s="316" t="s">
        <v>354</v>
      </c>
      <c r="BM83" s="195" t="s">
        <v>52</v>
      </c>
      <c r="BN83" s="27"/>
      <c r="BO83" s="299" t="s">
        <v>393</v>
      </c>
      <c r="BP83" s="169" t="s">
        <v>48</v>
      </c>
      <c r="BQ83" s="2"/>
      <c r="BR83" s="317" t="s">
        <v>355</v>
      </c>
      <c r="BS83" s="189" t="s">
        <v>48</v>
      </c>
      <c r="BT83" s="309" t="s">
        <v>62</v>
      </c>
      <c r="BU83" s="220" t="s">
        <v>356</v>
      </c>
      <c r="BV83" s="66" t="s">
        <v>52</v>
      </c>
      <c r="BW83" s="9"/>
      <c r="BX83" s="315" t="s">
        <v>357</v>
      </c>
      <c r="BY83" s="66" t="s">
        <v>52</v>
      </c>
      <c r="BZ83" s="9"/>
      <c r="CA83" s="182" t="s">
        <v>358</v>
      </c>
      <c r="CB83" s="82" t="s">
        <v>48</v>
      </c>
      <c r="CC83" s="2"/>
      <c r="CD83" s="8"/>
      <c r="CE83" s="8"/>
      <c r="CF83" s="8"/>
      <c r="CG83" s="8"/>
      <c r="CH83" s="8"/>
      <c r="CI83" s="8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30" customHeight="1">
      <c r="A84" s="1"/>
      <c r="B84" s="318" t="s">
        <v>359</v>
      </c>
      <c r="C84" s="155" t="s">
        <v>52</v>
      </c>
      <c r="D84" s="8"/>
      <c r="E84" s="154" t="s">
        <v>4341</v>
      </c>
      <c r="F84" s="142" t="s">
        <v>58</v>
      </c>
      <c r="G84" s="2"/>
      <c r="H84" s="287" t="s">
        <v>4342</v>
      </c>
      <c r="I84" s="66" t="s">
        <v>52</v>
      </c>
      <c r="J84" s="9"/>
      <c r="K84" s="9"/>
      <c r="L84" s="9"/>
      <c r="M84" s="9"/>
      <c r="N84" s="267"/>
      <c r="O84" s="267"/>
      <c r="P84" s="1"/>
      <c r="Q84" s="1"/>
      <c r="R84" s="9"/>
      <c r="S84" s="8"/>
      <c r="T84" s="9"/>
      <c r="U84" s="9"/>
      <c r="V84" s="9"/>
      <c r="W84" s="311" t="s">
        <v>346</v>
      </c>
      <c r="X84" s="194" t="s">
        <v>48</v>
      </c>
      <c r="Y84" s="123"/>
      <c r="Z84" s="312" t="s">
        <v>4343</v>
      </c>
      <c r="AA84" s="192" t="s">
        <v>48</v>
      </c>
      <c r="AB84" s="173"/>
      <c r="AC84" s="305" t="s">
        <v>375</v>
      </c>
      <c r="AD84" s="183" t="s">
        <v>52</v>
      </c>
      <c r="AE84" s="173"/>
      <c r="AF84" s="146" t="s">
        <v>363</v>
      </c>
      <c r="AG84" s="233" t="s">
        <v>270</v>
      </c>
      <c r="AH84" s="173"/>
      <c r="AI84" s="175" t="s">
        <v>364</v>
      </c>
      <c r="AJ84" s="233" t="s">
        <v>270</v>
      </c>
      <c r="AK84" s="173"/>
      <c r="AL84" s="1"/>
      <c r="AM84" s="1"/>
      <c r="AN84" s="173"/>
      <c r="AO84" s="9"/>
      <c r="AP84" s="113"/>
      <c r="AQ84" s="8"/>
      <c r="AR84" s="8"/>
      <c r="AS84" s="8"/>
      <c r="AT84" s="8"/>
      <c r="AU84" s="314" t="s">
        <v>365</v>
      </c>
      <c r="AV84" s="66" t="s">
        <v>52</v>
      </c>
      <c r="AW84" s="8"/>
      <c r="AX84" s="220" t="s">
        <v>366</v>
      </c>
      <c r="AY84" s="66" t="s">
        <v>52</v>
      </c>
      <c r="AZ84" s="9"/>
      <c r="BA84" s="315" t="s">
        <v>367</v>
      </c>
      <c r="BB84" s="66" t="s">
        <v>52</v>
      </c>
      <c r="BC84" s="9"/>
      <c r="BD84" s="8"/>
      <c r="BE84" s="8"/>
      <c r="BF84" s="6"/>
      <c r="BG84" s="267"/>
      <c r="BH84" s="267"/>
      <c r="BI84" s="267"/>
      <c r="BJ84" s="267"/>
      <c r="BK84" s="267"/>
      <c r="BL84" s="320" t="s">
        <v>4344</v>
      </c>
      <c r="BM84" s="321" t="s">
        <v>48</v>
      </c>
      <c r="BN84" s="27"/>
      <c r="BO84" s="299" t="s">
        <v>405</v>
      </c>
      <c r="BP84" s="169" t="s">
        <v>48</v>
      </c>
      <c r="BQ84" s="2"/>
      <c r="BR84" s="81" t="s">
        <v>4345</v>
      </c>
      <c r="BS84" s="82" t="s">
        <v>48</v>
      </c>
      <c r="BT84" s="9"/>
      <c r="BU84" s="220" t="s">
        <v>369</v>
      </c>
      <c r="BV84" s="66" t="s">
        <v>52</v>
      </c>
      <c r="BW84" s="9"/>
      <c r="BX84" s="315" t="s">
        <v>370</v>
      </c>
      <c r="BY84" s="66" t="s">
        <v>52</v>
      </c>
      <c r="BZ84" s="9"/>
      <c r="CA84" s="182" t="s">
        <v>371</v>
      </c>
      <c r="CB84" s="82" t="s">
        <v>48</v>
      </c>
      <c r="CC84" s="2"/>
      <c r="CD84" s="8"/>
      <c r="CE84" s="8"/>
      <c r="CF84" s="8"/>
      <c r="CG84" s="8"/>
      <c r="CH84" s="8"/>
      <c r="CI84" s="8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30" customHeight="1">
      <c r="A85" s="1"/>
      <c r="B85" s="322" t="s">
        <v>372</v>
      </c>
      <c r="C85" s="169" t="s">
        <v>48</v>
      </c>
      <c r="D85" s="8"/>
      <c r="E85" s="728" t="s">
        <v>373</v>
      </c>
      <c r="F85" s="142" t="s">
        <v>58</v>
      </c>
      <c r="G85" s="2"/>
      <c r="H85" s="287" t="s">
        <v>4346</v>
      </c>
      <c r="I85" s="66" t="s">
        <v>52</v>
      </c>
      <c r="J85" s="9"/>
      <c r="K85" s="7"/>
      <c r="L85" s="8"/>
      <c r="M85" s="8"/>
      <c r="N85" s="267"/>
      <c r="O85" s="267"/>
      <c r="P85" s="1"/>
      <c r="Q85" s="1"/>
      <c r="R85" s="9"/>
      <c r="S85" s="8"/>
      <c r="T85" s="9"/>
      <c r="U85" s="9"/>
      <c r="V85" s="9"/>
      <c r="W85" s="175" t="s">
        <v>360</v>
      </c>
      <c r="X85" s="194" t="s">
        <v>48</v>
      </c>
      <c r="Y85" s="123"/>
      <c r="Z85" s="312" t="s">
        <v>4347</v>
      </c>
      <c r="AA85" s="192" t="s">
        <v>48</v>
      </c>
      <c r="AB85" s="173"/>
      <c r="AC85" s="305" t="s">
        <v>333</v>
      </c>
      <c r="AD85" s="183" t="s">
        <v>52</v>
      </c>
      <c r="AE85" s="173"/>
      <c r="AF85" s="306" t="s">
        <v>376</v>
      </c>
      <c r="AG85" s="233" t="s">
        <v>270</v>
      </c>
      <c r="AH85" s="173"/>
      <c r="AI85" s="323" t="s">
        <v>377</v>
      </c>
      <c r="AJ85" s="324" t="s">
        <v>270</v>
      </c>
      <c r="AK85" s="173"/>
      <c r="AL85" s="1"/>
      <c r="AM85" s="1"/>
      <c r="AN85" s="173"/>
      <c r="AO85" s="9"/>
      <c r="AP85" s="113"/>
      <c r="AQ85" s="8"/>
      <c r="AR85" s="8"/>
      <c r="AS85" s="8"/>
      <c r="AT85" s="8"/>
      <c r="AU85" s="314" t="s">
        <v>378</v>
      </c>
      <c r="AV85" s="183" t="s">
        <v>52</v>
      </c>
      <c r="AW85" s="8"/>
      <c r="AX85" s="220" t="s">
        <v>379</v>
      </c>
      <c r="AY85" s="82" t="s">
        <v>48</v>
      </c>
      <c r="AZ85" s="9"/>
      <c r="BA85" s="113" t="s">
        <v>380</v>
      </c>
      <c r="BB85" s="66" t="s">
        <v>52</v>
      </c>
      <c r="BC85" s="9"/>
      <c r="BD85" s="8"/>
      <c r="BE85" s="8"/>
      <c r="BF85" s="6"/>
      <c r="BG85" s="267"/>
      <c r="BH85" s="267"/>
      <c r="BI85" s="267"/>
      <c r="BJ85" s="267"/>
      <c r="BK85" s="267"/>
      <c r="BL85" s="339"/>
      <c r="BM85" s="294"/>
      <c r="BN85" s="27"/>
      <c r="BO85" s="81" t="s">
        <v>4348</v>
      </c>
      <c r="BP85" s="169" t="s">
        <v>48</v>
      </c>
      <c r="BQ85" s="2"/>
      <c r="BR85" s="81" t="s">
        <v>4349</v>
      </c>
      <c r="BS85" s="82" t="s">
        <v>48</v>
      </c>
      <c r="BT85" s="9"/>
      <c r="BU85" s="220" t="s">
        <v>382</v>
      </c>
      <c r="BV85" s="66" t="s">
        <v>52</v>
      </c>
      <c r="BW85" s="9"/>
      <c r="BX85" s="315" t="s">
        <v>383</v>
      </c>
      <c r="BY85" s="66" t="s">
        <v>52</v>
      </c>
      <c r="BZ85" s="9"/>
      <c r="CA85" s="729" t="s">
        <v>384</v>
      </c>
      <c r="CB85" s="82" t="s">
        <v>48</v>
      </c>
      <c r="CC85" s="2"/>
      <c r="CD85" s="8"/>
      <c r="CE85" s="8"/>
      <c r="CF85" s="8"/>
      <c r="CG85" s="8"/>
      <c r="CH85" s="8"/>
      <c r="CI85" s="8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30" customHeight="1">
      <c r="A86" s="1"/>
      <c r="B86" s="299" t="s">
        <v>385</v>
      </c>
      <c r="C86" s="169" t="s">
        <v>48</v>
      </c>
      <c r="D86" s="8"/>
      <c r="E86" s="730" t="s">
        <v>386</v>
      </c>
      <c r="F86" s="142" t="s">
        <v>58</v>
      </c>
      <c r="G86" s="1"/>
      <c r="H86" s="287" t="s">
        <v>4350</v>
      </c>
      <c r="I86" s="66" t="s">
        <v>52</v>
      </c>
      <c r="J86" s="9"/>
      <c r="K86" s="9"/>
      <c r="L86" s="9"/>
      <c r="M86" s="9"/>
      <c r="N86" s="267"/>
      <c r="O86" s="267"/>
      <c r="P86" s="1"/>
      <c r="Q86" s="1"/>
      <c r="R86" s="9"/>
      <c r="S86" s="8"/>
      <c r="T86" s="9"/>
      <c r="U86" s="9"/>
      <c r="V86" s="9"/>
      <c r="W86" s="175" t="s">
        <v>374</v>
      </c>
      <c r="X86" s="194" t="s">
        <v>48</v>
      </c>
      <c r="Y86" s="123"/>
      <c r="Z86" s="312" t="s">
        <v>4351</v>
      </c>
      <c r="AA86" s="192" t="s">
        <v>48</v>
      </c>
      <c r="AB86" s="173"/>
      <c r="AC86" s="328" t="s">
        <v>389</v>
      </c>
      <c r="AD86" s="183" t="s">
        <v>52</v>
      </c>
      <c r="AE86" s="173"/>
      <c r="AF86" s="306" t="s">
        <v>390</v>
      </c>
      <c r="AG86" s="233" t="s">
        <v>270</v>
      </c>
      <c r="AH86" s="173"/>
      <c r="AI86" s="329" t="s">
        <v>391</v>
      </c>
      <c r="AJ86" s="330" t="s">
        <v>270</v>
      </c>
      <c r="AK86" s="173"/>
      <c r="AL86" s="1"/>
      <c r="AM86" s="1"/>
      <c r="AN86" s="173"/>
      <c r="AO86" s="9"/>
      <c r="AP86" s="113"/>
      <c r="AQ86" s="8"/>
      <c r="AR86" s="8"/>
      <c r="AS86" s="8"/>
      <c r="AT86" s="8"/>
      <c r="AU86" s="182" t="s">
        <v>392</v>
      </c>
      <c r="AV86" s="183" t="s">
        <v>52</v>
      </c>
      <c r="AW86" s="8"/>
      <c r="AX86" s="331" t="s">
        <v>4352</v>
      </c>
      <c r="AY86" s="72" t="s">
        <v>52</v>
      </c>
      <c r="AZ86" s="9"/>
      <c r="BA86" s="332"/>
      <c r="BB86" s="333"/>
      <c r="BC86" s="9"/>
      <c r="BD86" s="8"/>
      <c r="BE86" s="8"/>
      <c r="BF86" s="6"/>
      <c r="BG86" s="267"/>
      <c r="BH86" s="267"/>
      <c r="BI86" s="267"/>
      <c r="BJ86" s="267"/>
      <c r="BK86" s="267"/>
      <c r="BL86" s="339"/>
      <c r="BM86" s="294"/>
      <c r="BN86" s="24"/>
      <c r="BO86" s="57" t="s">
        <v>4353</v>
      </c>
      <c r="BP86" s="340" t="s">
        <v>270</v>
      </c>
      <c r="BQ86" s="2"/>
      <c r="BR86" s="154" t="s">
        <v>4354</v>
      </c>
      <c r="BS86" s="82" t="s">
        <v>48</v>
      </c>
      <c r="BT86" s="9"/>
      <c r="BU86" s="220" t="s">
        <v>394</v>
      </c>
      <c r="BV86" s="82" t="s">
        <v>48</v>
      </c>
      <c r="BW86" s="9"/>
      <c r="BX86" s="315" t="s">
        <v>395</v>
      </c>
      <c r="BY86" s="66" t="s">
        <v>52</v>
      </c>
      <c r="BZ86" s="9"/>
      <c r="CA86" s="729" t="s">
        <v>396</v>
      </c>
      <c r="CB86" s="82" t="s">
        <v>48</v>
      </c>
      <c r="CC86" s="2"/>
      <c r="CD86" s="8"/>
      <c r="CE86" s="8"/>
      <c r="CF86" s="8"/>
      <c r="CG86" s="8"/>
      <c r="CH86" s="8"/>
      <c r="CI86" s="8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30" customHeight="1">
      <c r="A87" s="1"/>
      <c r="B87" s="299" t="s">
        <v>397</v>
      </c>
      <c r="C87" s="169" t="s">
        <v>48</v>
      </c>
      <c r="D87" s="8"/>
      <c r="E87" s="730" t="s">
        <v>398</v>
      </c>
      <c r="F87" s="142" t="s">
        <v>58</v>
      </c>
      <c r="G87" s="1"/>
      <c r="H87" s="287" t="s">
        <v>4355</v>
      </c>
      <c r="I87" s="66" t="s">
        <v>52</v>
      </c>
      <c r="J87" s="9"/>
      <c r="K87" s="7"/>
      <c r="L87" s="8"/>
      <c r="M87" s="8"/>
      <c r="N87" s="267"/>
      <c r="O87" s="267"/>
      <c r="P87" s="1"/>
      <c r="Q87" s="1"/>
      <c r="R87" s="28"/>
      <c r="S87" s="2"/>
      <c r="T87" s="9"/>
      <c r="U87" s="9"/>
      <c r="V87" s="9"/>
      <c r="W87" s="175" t="s">
        <v>387</v>
      </c>
      <c r="X87" s="194" t="s">
        <v>48</v>
      </c>
      <c r="Y87" s="123"/>
      <c r="Z87" s="327" t="s">
        <v>388</v>
      </c>
      <c r="AA87" s="149" t="s">
        <v>52</v>
      </c>
      <c r="AB87" s="173"/>
      <c r="AC87" s="319" t="s">
        <v>361</v>
      </c>
      <c r="AD87" s="82" t="s">
        <v>48</v>
      </c>
      <c r="AE87" s="173"/>
      <c r="AF87" s="313" t="s">
        <v>401</v>
      </c>
      <c r="AG87" s="233" t="s">
        <v>270</v>
      </c>
      <c r="AH87" s="173"/>
      <c r="AI87" s="678" t="s">
        <v>402</v>
      </c>
      <c r="AJ87" s="330" t="s">
        <v>270</v>
      </c>
      <c r="AK87" s="173"/>
      <c r="AL87" s="1"/>
      <c r="AM87" s="1"/>
      <c r="AN87" s="173"/>
      <c r="AO87" s="9"/>
      <c r="AP87" s="113"/>
      <c r="AQ87" s="8"/>
      <c r="AR87" s="8"/>
      <c r="AS87" s="8"/>
      <c r="AT87" s="8"/>
      <c r="AU87" s="182" t="s">
        <v>403</v>
      </c>
      <c r="AV87" s="183" t="s">
        <v>52</v>
      </c>
      <c r="AW87" s="8"/>
      <c r="AX87" s="335" t="s">
        <v>404</v>
      </c>
      <c r="AY87" s="336" t="s">
        <v>48</v>
      </c>
      <c r="AZ87" s="8"/>
      <c r="BA87" s="8"/>
      <c r="BB87" s="8"/>
      <c r="BC87" s="8"/>
      <c r="BD87" s="8"/>
      <c r="BE87" s="8"/>
      <c r="BF87" s="6"/>
      <c r="BG87" s="267"/>
      <c r="BH87" s="267"/>
      <c r="BI87" s="267"/>
      <c r="BJ87" s="267"/>
      <c r="BK87" s="267"/>
      <c r="BL87" s="339"/>
      <c r="BM87" s="294"/>
      <c r="BN87" s="27"/>
      <c r="BO87" s="731" t="s">
        <v>420</v>
      </c>
      <c r="BP87" s="169" t="s">
        <v>48</v>
      </c>
      <c r="BQ87" s="2"/>
      <c r="BR87" s="81" t="s">
        <v>4356</v>
      </c>
      <c r="BS87" s="82" t="s">
        <v>48</v>
      </c>
      <c r="BT87" s="9"/>
      <c r="BU87" s="220" t="s">
        <v>406</v>
      </c>
      <c r="BV87" s="82" t="s">
        <v>48</v>
      </c>
      <c r="BW87" s="9"/>
      <c r="BX87" s="315" t="s">
        <v>407</v>
      </c>
      <c r="BY87" s="66" t="s">
        <v>52</v>
      </c>
      <c r="BZ87" s="9"/>
      <c r="CA87" s="230" t="s">
        <v>408</v>
      </c>
      <c r="CB87" s="80" t="s">
        <v>48</v>
      </c>
      <c r="CC87" s="2"/>
      <c r="CD87" s="8"/>
      <c r="CE87" s="8"/>
      <c r="CF87" s="8"/>
      <c r="CG87" s="8"/>
      <c r="CH87" s="8"/>
      <c r="CI87" s="8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30" customHeight="1">
      <c r="A88" s="8"/>
      <c r="B88" s="337" t="s">
        <v>409</v>
      </c>
      <c r="C88" s="338" t="s">
        <v>52</v>
      </c>
      <c r="D88" s="8"/>
      <c r="E88" s="346"/>
      <c r="F88" s="31"/>
      <c r="G88" s="1"/>
      <c r="H88" s="287" t="s">
        <v>4357</v>
      </c>
      <c r="I88" s="66" t="s">
        <v>52</v>
      </c>
      <c r="J88" s="9"/>
      <c r="K88" s="9"/>
      <c r="L88" s="9"/>
      <c r="M88" s="9"/>
      <c r="N88" s="1"/>
      <c r="O88" s="1"/>
      <c r="P88" s="1"/>
      <c r="Q88" s="1"/>
      <c r="R88" s="28"/>
      <c r="S88" s="2"/>
      <c r="T88" s="9"/>
      <c r="U88" s="9"/>
      <c r="V88" s="9"/>
      <c r="W88" s="175" t="s">
        <v>399</v>
      </c>
      <c r="X88" s="194" t="s">
        <v>48</v>
      </c>
      <c r="Y88" s="123"/>
      <c r="Z88" s="327" t="s">
        <v>400</v>
      </c>
      <c r="AA88" s="192" t="s">
        <v>48</v>
      </c>
      <c r="AB88" s="173"/>
      <c r="AC88" s="234"/>
      <c r="AD88" s="235"/>
      <c r="AE88" s="173"/>
      <c r="AF88" s="313" t="s">
        <v>412</v>
      </c>
      <c r="AG88" s="233" t="s">
        <v>270</v>
      </c>
      <c r="AH88" s="173"/>
      <c r="AI88" s="729" t="s">
        <v>413</v>
      </c>
      <c r="AJ88" s="330" t="s">
        <v>270</v>
      </c>
      <c r="AK88" s="173"/>
      <c r="AL88" s="1"/>
      <c r="AM88" s="1"/>
      <c r="AN88" s="173"/>
      <c r="AO88" s="9"/>
      <c r="AP88" s="113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8"/>
      <c r="BD88" s="8"/>
      <c r="BE88" s="8"/>
      <c r="BF88" s="6"/>
      <c r="BG88" s="267"/>
      <c r="BH88" s="267"/>
      <c r="BI88" s="267"/>
      <c r="BJ88" s="267"/>
      <c r="BK88" s="267"/>
      <c r="BL88" s="339"/>
      <c r="BM88" s="294"/>
      <c r="BN88" s="1"/>
      <c r="BO88" s="732" t="s">
        <v>428</v>
      </c>
      <c r="BP88" s="169" t="s">
        <v>48</v>
      </c>
      <c r="BQ88" s="2"/>
      <c r="BR88" s="293" t="s">
        <v>4358</v>
      </c>
      <c r="BS88" s="341" t="s">
        <v>48</v>
      </c>
      <c r="BT88" s="9"/>
      <c r="BU88" s="342" t="s">
        <v>414</v>
      </c>
      <c r="BV88" s="343" t="s">
        <v>270</v>
      </c>
      <c r="BW88" s="9"/>
      <c r="BX88" s="315" t="s">
        <v>415</v>
      </c>
      <c r="BY88" s="82" t="s">
        <v>48</v>
      </c>
      <c r="BZ88" s="9"/>
      <c r="CA88" s="344" t="s">
        <v>4359</v>
      </c>
      <c r="CB88" s="298" t="s">
        <v>48</v>
      </c>
      <c r="CC88" s="2"/>
      <c r="CD88" s="8"/>
      <c r="CE88" s="8"/>
      <c r="CF88" s="8"/>
      <c r="CG88" s="8"/>
      <c r="CH88" s="8"/>
      <c r="CI88" s="8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30" customHeight="1">
      <c r="A89" s="8"/>
      <c r="B89" s="345" t="s">
        <v>416</v>
      </c>
      <c r="C89" s="169" t="s">
        <v>48</v>
      </c>
      <c r="D89" s="8"/>
      <c r="E89" s="346"/>
      <c r="F89" s="31"/>
      <c r="G89" s="1"/>
      <c r="H89" s="287" t="s">
        <v>4360</v>
      </c>
      <c r="I89" s="66" t="s">
        <v>52</v>
      </c>
      <c r="J89" s="9"/>
      <c r="K89" s="7"/>
      <c r="L89" s="8"/>
      <c r="M89" s="8"/>
      <c r="N89" s="1"/>
      <c r="O89" s="1"/>
      <c r="P89" s="1"/>
      <c r="Q89" s="1"/>
      <c r="R89" s="28"/>
      <c r="S89" s="2"/>
      <c r="T89" s="9"/>
      <c r="U89" s="9"/>
      <c r="V89" s="9"/>
      <c r="W89" s="182" t="s">
        <v>362</v>
      </c>
      <c r="X89" s="183" t="s">
        <v>52</v>
      </c>
      <c r="Y89" s="123"/>
      <c r="Z89" s="733" t="s">
        <v>411</v>
      </c>
      <c r="AA89" s="192" t="s">
        <v>48</v>
      </c>
      <c r="AB89" s="173"/>
      <c r="AC89" s="234"/>
      <c r="AD89" s="235"/>
      <c r="AE89" s="173"/>
      <c r="AF89" s="347"/>
      <c r="AG89" s="233"/>
      <c r="AH89" s="173"/>
      <c r="AI89" s="234"/>
      <c r="AJ89" s="235"/>
      <c r="AK89" s="173"/>
      <c r="AL89" s="1"/>
      <c r="AM89" s="1"/>
      <c r="AN89" s="173"/>
      <c r="AO89" s="9"/>
      <c r="AP89" s="113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1"/>
      <c r="BC89" s="8"/>
      <c r="BD89" s="8"/>
      <c r="BE89" s="8"/>
      <c r="BF89" s="6"/>
      <c r="BG89" s="267"/>
      <c r="BH89" s="267"/>
      <c r="BI89" s="267"/>
      <c r="BJ89" s="267"/>
      <c r="BK89" s="267"/>
      <c r="BL89" s="348"/>
      <c r="BM89" s="349"/>
      <c r="BN89" s="1"/>
      <c r="BO89" s="732" t="s">
        <v>432</v>
      </c>
      <c r="BP89" s="169" t="s">
        <v>48</v>
      </c>
      <c r="BQ89" s="28"/>
      <c r="BR89" s="178" t="s">
        <v>421</v>
      </c>
      <c r="BS89" s="194" t="s">
        <v>48</v>
      </c>
      <c r="BT89" s="309" t="s">
        <v>62</v>
      </c>
      <c r="BU89" s="350" t="s">
        <v>422</v>
      </c>
      <c r="BV89" s="351" t="s">
        <v>52</v>
      </c>
      <c r="BW89" s="9"/>
      <c r="BX89" s="352" t="s">
        <v>423</v>
      </c>
      <c r="BY89" s="353" t="s">
        <v>48</v>
      </c>
      <c r="BZ89" s="9"/>
      <c r="CA89" s="1"/>
      <c r="CB89" s="1"/>
      <c r="CC89" s="8"/>
      <c r="CD89" s="8"/>
      <c r="CE89" s="8"/>
      <c r="CF89" s="8"/>
      <c r="CG89" s="8"/>
      <c r="CH89" s="8"/>
      <c r="CI89" s="8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30" customHeight="1">
      <c r="A90" s="8"/>
      <c r="B90" s="345" t="s">
        <v>424</v>
      </c>
      <c r="C90" s="169" t="s">
        <v>48</v>
      </c>
      <c r="D90" s="8"/>
      <c r="E90" s="354"/>
      <c r="F90" s="355"/>
      <c r="G90" s="2"/>
      <c r="H90" s="178" t="s">
        <v>425</v>
      </c>
      <c r="I90" s="183" t="s">
        <v>52</v>
      </c>
      <c r="J90" s="9"/>
      <c r="K90" s="9"/>
      <c r="L90" s="9"/>
      <c r="M90" s="9"/>
      <c r="N90" s="1"/>
      <c r="O90" s="1"/>
      <c r="P90" s="1"/>
      <c r="Q90" s="1"/>
      <c r="R90" s="1"/>
      <c r="S90" s="1"/>
      <c r="T90" s="9"/>
      <c r="U90" s="9"/>
      <c r="V90" s="9"/>
      <c r="W90" s="234"/>
      <c r="X90" s="235"/>
      <c r="Y90" s="123"/>
      <c r="Z90" s="326" t="s">
        <v>417</v>
      </c>
      <c r="AA90" s="192" t="s">
        <v>48</v>
      </c>
      <c r="AB90" s="123"/>
      <c r="AC90" s="234"/>
      <c r="AD90" s="235"/>
      <c r="AE90" s="173"/>
      <c r="AF90" s="347"/>
      <c r="AG90" s="162"/>
      <c r="AH90" s="173"/>
      <c r="AI90" s="234"/>
      <c r="AJ90" s="235"/>
      <c r="AK90" s="173"/>
      <c r="AL90" s="1"/>
      <c r="AM90" s="1"/>
      <c r="AN90" s="173"/>
      <c r="AO90" s="9"/>
      <c r="AP90" s="113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6"/>
      <c r="BF90" s="6"/>
      <c r="BG90" s="267"/>
      <c r="BH90" s="267"/>
      <c r="BI90" s="267"/>
      <c r="BJ90" s="267"/>
      <c r="BK90" s="267"/>
      <c r="BL90" s="267"/>
      <c r="BM90" s="267"/>
      <c r="BN90" s="1"/>
      <c r="BO90" s="182" t="s">
        <v>434</v>
      </c>
      <c r="BP90" s="365" t="s">
        <v>270</v>
      </c>
      <c r="BQ90" s="7"/>
      <c r="BR90" s="178" t="s">
        <v>429</v>
      </c>
      <c r="BS90" s="356" t="s">
        <v>270</v>
      </c>
      <c r="BT90" s="2"/>
      <c r="BU90" s="734" t="s">
        <v>4361</v>
      </c>
      <c r="BV90" s="735"/>
      <c r="BW90" s="1"/>
      <c r="BX90" s="6"/>
      <c r="BY90" s="6"/>
      <c r="BZ90" s="6"/>
      <c r="CA90" s="6"/>
      <c r="CB90" s="6"/>
      <c r="CC90" s="8"/>
      <c r="CD90" s="8"/>
      <c r="CE90" s="8"/>
      <c r="CF90" s="8"/>
      <c r="CG90" s="8"/>
      <c r="CH90" s="8"/>
      <c r="CI90" s="8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30" customHeight="1">
      <c r="A91" s="8"/>
      <c r="B91" s="357" t="s">
        <v>430</v>
      </c>
      <c r="C91" s="358" t="s">
        <v>48</v>
      </c>
      <c r="D91" s="1"/>
      <c r="E91" s="7"/>
      <c r="F91" s="2"/>
      <c r="G91" s="2"/>
      <c r="H91" s="7"/>
      <c r="I91" s="1"/>
      <c r="J91" s="2"/>
      <c r="K91" s="7"/>
      <c r="L91" s="8"/>
      <c r="M91" s="8"/>
      <c r="N91" s="1"/>
      <c r="O91" s="1"/>
      <c r="P91" s="1"/>
      <c r="Q91" s="1"/>
      <c r="R91" s="1"/>
      <c r="S91" s="1"/>
      <c r="T91" s="9"/>
      <c r="U91" s="9"/>
      <c r="V91" s="9"/>
      <c r="W91" s="363"/>
      <c r="X91" s="362"/>
      <c r="Y91" s="173"/>
      <c r="Z91" s="359" t="s">
        <v>431</v>
      </c>
      <c r="AA91" s="360" t="s">
        <v>270</v>
      </c>
      <c r="AB91" s="123"/>
      <c r="AC91" s="361"/>
      <c r="AD91" s="362"/>
      <c r="AE91" s="173"/>
      <c r="AF91" s="101"/>
      <c r="AG91" s="102"/>
      <c r="AH91" s="173"/>
      <c r="AI91" s="363"/>
      <c r="AJ91" s="362"/>
      <c r="AK91" s="173"/>
      <c r="AL91" s="1"/>
      <c r="AM91" s="1"/>
      <c r="AN91" s="173"/>
      <c r="AO91" s="9"/>
      <c r="AP91" s="113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6"/>
      <c r="BF91" s="6"/>
      <c r="BG91" s="267"/>
      <c r="BH91" s="267"/>
      <c r="BI91" s="267"/>
      <c r="BJ91" s="267"/>
      <c r="BK91" s="267"/>
      <c r="BL91" s="267"/>
      <c r="BM91" s="267"/>
      <c r="BN91" s="1"/>
      <c r="BO91" s="182" t="s">
        <v>436</v>
      </c>
      <c r="BP91" s="365" t="s">
        <v>270</v>
      </c>
      <c r="BQ91" s="28"/>
      <c r="BR91" s="87" t="s">
        <v>4362</v>
      </c>
      <c r="BS91" s="364" t="s">
        <v>48</v>
      </c>
      <c r="BT91" s="9"/>
      <c r="BU91" s="736" t="s">
        <v>4363</v>
      </c>
      <c r="BV91" s="737"/>
      <c r="BW91" s="1"/>
      <c r="BX91" s="6"/>
      <c r="BY91" s="6"/>
      <c r="BZ91" s="6"/>
      <c r="CA91" s="6"/>
      <c r="CB91" s="6"/>
      <c r="CC91" s="8"/>
      <c r="CD91" s="8"/>
      <c r="CE91" s="8"/>
      <c r="CF91" s="8"/>
      <c r="CG91" s="8"/>
      <c r="CH91" s="8"/>
      <c r="CI91" s="8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30" customHeight="1">
      <c r="A92" s="1"/>
      <c r="B92" s="678" t="s">
        <v>433</v>
      </c>
      <c r="C92" s="155" t="s">
        <v>52</v>
      </c>
      <c r="D92" s="1"/>
      <c r="E92" s="1"/>
      <c r="F92" s="1"/>
      <c r="G92" s="2"/>
      <c r="H92" s="7"/>
      <c r="I92" s="1"/>
      <c r="J92" s="2"/>
      <c r="K92" s="7"/>
      <c r="L92" s="1"/>
      <c r="M92" s="2"/>
      <c r="N92" s="1"/>
      <c r="O92" s="1"/>
      <c r="P92" s="1"/>
      <c r="Q92" s="1"/>
      <c r="R92" s="1"/>
      <c r="S92" s="1"/>
      <c r="T92" s="9"/>
      <c r="U92" s="173"/>
      <c r="V92" s="173"/>
      <c r="W92" s="173"/>
      <c r="X92" s="173"/>
      <c r="Y92" s="173"/>
      <c r="Z92" s="173"/>
      <c r="AA92" s="173"/>
      <c r="AB92" s="173"/>
      <c r="AC92" s="277"/>
      <c r="AD92" s="173"/>
      <c r="AE92" s="173"/>
      <c r="AF92" s="173"/>
      <c r="AG92" s="173"/>
      <c r="AH92" s="173"/>
      <c r="AI92" s="173"/>
      <c r="AJ92" s="173"/>
      <c r="AK92" s="173"/>
      <c r="AL92" s="1"/>
      <c r="AM92" s="1"/>
      <c r="AN92" s="173"/>
      <c r="AO92" s="8"/>
      <c r="AP92" s="113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6"/>
      <c r="BF92" s="6"/>
      <c r="BG92" s="267"/>
      <c r="BH92" s="267"/>
      <c r="BI92" s="267"/>
      <c r="BJ92" s="267"/>
      <c r="BK92" s="267"/>
      <c r="BL92" s="267"/>
      <c r="BM92" s="267"/>
      <c r="BN92" s="6"/>
      <c r="BO92" s="197" t="s">
        <v>438</v>
      </c>
      <c r="BP92" s="269" t="s">
        <v>48</v>
      </c>
      <c r="BQ92" s="8"/>
      <c r="BR92" s="293" t="s">
        <v>4364</v>
      </c>
      <c r="BS92" s="366" t="s">
        <v>270</v>
      </c>
      <c r="BT92" s="8"/>
      <c r="BU92" s="6"/>
      <c r="BV92" s="6"/>
      <c r="BW92" s="6"/>
      <c r="BX92" s="6"/>
      <c r="BY92" s="6"/>
      <c r="BZ92" s="6"/>
      <c r="CA92" s="6"/>
      <c r="CB92" s="6"/>
      <c r="CC92" s="8"/>
      <c r="CD92" s="8"/>
      <c r="CE92" s="8"/>
      <c r="CF92" s="8"/>
      <c r="CG92" s="8"/>
      <c r="CH92" s="8"/>
      <c r="CI92" s="8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30" customHeight="1">
      <c r="A93" s="1"/>
      <c r="B93" s="738" t="s">
        <v>435</v>
      </c>
      <c r="C93" s="169" t="s">
        <v>48</v>
      </c>
      <c r="D93" s="8"/>
      <c r="E93" s="1"/>
      <c r="F93" s="1"/>
      <c r="G93" s="8"/>
      <c r="H93" s="7"/>
      <c r="I93" s="1"/>
      <c r="J93" s="2"/>
      <c r="K93" s="7"/>
      <c r="L93" s="2"/>
      <c r="M93" s="2"/>
      <c r="N93" s="1"/>
      <c r="O93" s="1"/>
      <c r="P93" s="8"/>
      <c r="Q93" s="367"/>
      <c r="R93" s="24"/>
      <c r="S93" s="2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73"/>
      <c r="AJ93" s="173"/>
      <c r="AK93" s="173"/>
      <c r="AL93" s="1"/>
      <c r="AM93" s="1"/>
      <c r="AN93" s="8"/>
      <c r="AO93" s="8"/>
      <c r="AP93" s="113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6"/>
      <c r="BF93" s="6"/>
      <c r="BG93" s="267"/>
      <c r="BH93" s="267"/>
      <c r="BI93" s="267"/>
      <c r="BJ93" s="267"/>
      <c r="BK93" s="267"/>
      <c r="BL93" s="267"/>
      <c r="BM93" s="267"/>
      <c r="BN93" s="6"/>
      <c r="BO93" s="370" t="s">
        <v>441</v>
      </c>
      <c r="BP93" s="169" t="s">
        <v>48</v>
      </c>
      <c r="BQ93" s="8"/>
      <c r="BR93" s="368" t="s">
        <v>437</v>
      </c>
      <c r="BS93" s="341" t="s">
        <v>48</v>
      </c>
      <c r="BT93" s="8"/>
      <c r="BU93" s="8"/>
      <c r="BV93" s="8"/>
      <c r="BW93" s="8"/>
      <c r="BX93" s="6"/>
      <c r="BY93" s="6"/>
      <c r="BZ93" s="8"/>
      <c r="CA93" s="6"/>
      <c r="CB93" s="6"/>
      <c r="CC93" s="8"/>
      <c r="CD93" s="8"/>
      <c r="CE93" s="8"/>
      <c r="CF93" s="8"/>
      <c r="CG93" s="8"/>
      <c r="CH93" s="8"/>
      <c r="CI93" s="8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30" customHeight="1">
      <c r="A94" s="1"/>
      <c r="B94" s="299" t="s">
        <v>4365</v>
      </c>
      <c r="C94" s="155" t="s">
        <v>52</v>
      </c>
      <c r="D94" s="9"/>
      <c r="E94" s="1"/>
      <c r="F94" s="1"/>
      <c r="G94" s="9"/>
      <c r="H94" s="9"/>
      <c r="I94" s="9"/>
      <c r="J94" s="9"/>
      <c r="K94" s="9"/>
      <c r="L94" s="9"/>
      <c r="M94" s="9"/>
      <c r="N94" s="9"/>
      <c r="O94" s="1"/>
      <c r="P94" s="1"/>
      <c r="Q94" s="367"/>
      <c r="R94" s="24"/>
      <c r="S94" s="2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"/>
      <c r="AM94" s="1"/>
      <c r="AN94" s="8"/>
      <c r="AO94" s="8"/>
      <c r="AP94" s="113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267"/>
      <c r="BB94" s="267"/>
      <c r="BC94" s="267"/>
      <c r="BD94" s="8"/>
      <c r="BE94" s="6"/>
      <c r="BF94" s="6"/>
      <c r="BG94" s="267"/>
      <c r="BH94" s="267"/>
      <c r="BI94" s="267"/>
      <c r="BJ94" s="267"/>
      <c r="BK94" s="267"/>
      <c r="BL94" s="6"/>
      <c r="BM94" s="6"/>
      <c r="BN94" s="6"/>
      <c r="BO94" s="374" t="s">
        <v>442</v>
      </c>
      <c r="BP94" s="169" t="s">
        <v>48</v>
      </c>
      <c r="BQ94" s="1"/>
      <c r="BR94" s="375" t="s">
        <v>4366</v>
      </c>
      <c r="BS94" s="376" t="s">
        <v>52</v>
      </c>
      <c r="BT94" s="2"/>
      <c r="BU94" s="8"/>
      <c r="BV94" s="8"/>
      <c r="BW94" s="8"/>
      <c r="BX94" s="6"/>
      <c r="BY94" s="6"/>
      <c r="BZ94" s="8"/>
      <c r="CA94" s="6"/>
      <c r="CB94" s="6"/>
      <c r="CC94" s="8"/>
      <c r="CD94" s="8"/>
      <c r="CE94" s="8"/>
      <c r="CF94" s="8"/>
      <c r="CG94" s="8"/>
      <c r="CH94" s="8"/>
      <c r="CI94" s="8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30" customHeight="1">
      <c r="A95" s="1"/>
      <c r="B95" s="369" t="s">
        <v>440</v>
      </c>
      <c r="C95" s="169" t="s">
        <v>48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8"/>
      <c r="AI95" s="8"/>
      <c r="AJ95" s="8"/>
      <c r="AK95" s="8"/>
      <c r="AL95" s="1"/>
      <c r="AM95" s="1"/>
      <c r="AN95" s="8"/>
      <c r="AO95" s="8"/>
      <c r="AP95" s="113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6"/>
      <c r="BF95" s="6"/>
      <c r="BG95" s="8"/>
      <c r="BH95" s="8"/>
      <c r="BI95" s="8"/>
      <c r="BJ95" s="8"/>
      <c r="BK95" s="8"/>
      <c r="BL95" s="6"/>
      <c r="BM95" s="6"/>
      <c r="BN95" s="6"/>
      <c r="BO95" s="299" t="s">
        <v>443</v>
      </c>
      <c r="BP95" s="169" t="s">
        <v>48</v>
      </c>
      <c r="BQ95" s="371"/>
      <c r="BR95" s="314" t="s">
        <v>439</v>
      </c>
      <c r="BS95" s="341" t="s">
        <v>48</v>
      </c>
      <c r="BT95" s="8"/>
      <c r="BU95" s="8"/>
      <c r="BV95" s="8"/>
      <c r="BW95" s="8"/>
      <c r="BX95" s="1"/>
      <c r="BY95" s="1"/>
      <c r="BZ95" s="8"/>
      <c r="CA95" s="1"/>
      <c r="CB95" s="1"/>
      <c r="CC95" s="8"/>
      <c r="CD95" s="8"/>
      <c r="CE95" s="8"/>
      <c r="CF95" s="8"/>
      <c r="CG95" s="8"/>
      <c r="CH95" s="8"/>
      <c r="CI95" s="8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34.5" customHeight="1">
      <c r="A96" s="1"/>
      <c r="B96" s="372" t="s">
        <v>4367</v>
      </c>
      <c r="C96" s="373" t="s">
        <v>48</v>
      </c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8"/>
      <c r="AI96" s="8"/>
      <c r="AJ96" s="8"/>
      <c r="AK96" s="8"/>
      <c r="AL96" s="1"/>
      <c r="AM96" s="1"/>
      <c r="AN96" s="8"/>
      <c r="AO96" s="8"/>
      <c r="AP96" s="113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6"/>
      <c r="BM96" s="6"/>
      <c r="BN96" s="6"/>
      <c r="BO96" s="322" t="s">
        <v>444</v>
      </c>
      <c r="BP96" s="169" t="s">
        <v>48</v>
      </c>
      <c r="BQ96" s="1"/>
      <c r="BR96" s="293" t="s">
        <v>4368</v>
      </c>
      <c r="BS96" s="194" t="s">
        <v>48</v>
      </c>
      <c r="BT96" s="371"/>
      <c r="BU96" s="8"/>
      <c r="BV96" s="8"/>
      <c r="BW96" s="8"/>
      <c r="BX96" s="8"/>
      <c r="BY96" s="8"/>
      <c r="BZ96" s="8"/>
      <c r="CA96" s="6"/>
      <c r="CB96" s="8"/>
      <c r="CC96" s="8"/>
      <c r="CD96" s="8"/>
      <c r="CE96" s="8"/>
      <c r="CF96" s="8"/>
      <c r="CG96" s="8"/>
      <c r="CH96" s="8"/>
      <c r="CI96" s="8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3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8"/>
      <c r="AI97" s="8"/>
      <c r="AJ97" s="8"/>
      <c r="AK97" s="8"/>
      <c r="AL97" s="1"/>
      <c r="AM97" s="1"/>
      <c r="AN97" s="8"/>
      <c r="AO97" s="8"/>
      <c r="AP97" s="113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"/>
      <c r="BH97" s="1"/>
      <c r="BI97" s="1"/>
      <c r="BJ97" s="1"/>
      <c r="BK97" s="1"/>
      <c r="BL97" s="6"/>
      <c r="BM97" s="6"/>
      <c r="BN97" s="6"/>
      <c r="BO97" s="322" t="s">
        <v>445</v>
      </c>
      <c r="BP97" s="269" t="s">
        <v>48</v>
      </c>
      <c r="BQ97" s="1"/>
      <c r="BR97" s="1"/>
      <c r="BS97" s="1"/>
      <c r="BT97" s="371"/>
      <c r="BU97" s="8"/>
      <c r="BV97" s="8"/>
      <c r="BW97" s="8"/>
      <c r="BX97" s="8"/>
      <c r="BY97" s="8"/>
      <c r="BZ97" s="8"/>
      <c r="CA97" s="6"/>
      <c r="CB97" s="8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30" customHeight="1">
      <c r="A98" s="1"/>
      <c r="B98" s="2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46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8"/>
      <c r="BB98" s="8"/>
      <c r="BC98" s="8"/>
      <c r="BD98" s="8"/>
      <c r="BE98" s="8"/>
      <c r="BF98" s="8"/>
      <c r="BG98" s="1"/>
      <c r="BH98" s="1"/>
      <c r="BI98" s="1"/>
      <c r="BJ98" s="1"/>
      <c r="BK98" s="1"/>
      <c r="BL98" s="1"/>
      <c r="BM98" s="1"/>
      <c r="BN98" s="1"/>
      <c r="BO98" s="207" t="s">
        <v>4369</v>
      </c>
      <c r="BP98" s="421" t="s">
        <v>48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7.25" customHeight="1">
      <c r="A99" s="1"/>
      <c r="B99" s="2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46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17.25" customHeight="1">
      <c r="A100" s="1"/>
      <c r="B100" s="2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46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267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17.25" customHeight="1">
      <c r="A101" s="1"/>
      <c r="B101" s="2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46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3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63" t="s">
        <v>446</v>
      </c>
      <c r="X102" s="764"/>
      <c r="Y102" s="764"/>
      <c r="Z102" s="764"/>
      <c r="AA102" s="764"/>
      <c r="AB102" s="765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346"/>
      <c r="AQ102" s="1"/>
      <c r="AR102" s="1"/>
      <c r="AS102" s="1"/>
      <c r="AT102" s="1"/>
      <c r="AU102" s="1"/>
      <c r="AV102" s="1"/>
      <c r="AW102" s="1"/>
      <c r="AX102" s="1"/>
      <c r="AY102" s="763" t="s">
        <v>447</v>
      </c>
      <c r="AZ102" s="764"/>
      <c r="BA102" s="764"/>
      <c r="BB102" s="764"/>
      <c r="BC102" s="764"/>
      <c r="BD102" s="765"/>
      <c r="BE102" s="8"/>
      <c r="BF102" s="8"/>
      <c r="BG102" s="8"/>
      <c r="BH102" s="8"/>
      <c r="BI102" s="8"/>
      <c r="BJ102" s="8"/>
      <c r="BK102" s="8"/>
      <c r="BL102" s="8"/>
      <c r="BM102" s="8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66"/>
      <c r="X103" s="767"/>
      <c r="Y103" s="767"/>
      <c r="Z103" s="767"/>
      <c r="AA103" s="767"/>
      <c r="AB103" s="760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46"/>
      <c r="AQ103" s="1"/>
      <c r="AR103" s="1"/>
      <c r="AS103" s="1"/>
      <c r="AT103" s="1"/>
      <c r="AU103" s="1"/>
      <c r="AV103" s="1"/>
      <c r="AW103" s="1"/>
      <c r="AX103" s="1"/>
      <c r="AY103" s="766"/>
      <c r="AZ103" s="767"/>
      <c r="BA103" s="767"/>
      <c r="BB103" s="767"/>
      <c r="BC103" s="767"/>
      <c r="BD103" s="760"/>
      <c r="BE103" s="8"/>
      <c r="BF103" s="8"/>
      <c r="BG103" s="8"/>
      <c r="BH103" s="8"/>
      <c r="BI103" s="8"/>
      <c r="BJ103" s="8"/>
      <c r="BK103" s="8"/>
      <c r="BL103" s="8"/>
      <c r="BM103" s="8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46"/>
      <c r="AQ104" s="1"/>
      <c r="AR104" s="1"/>
      <c r="AS104" s="1"/>
      <c r="AT104" s="1"/>
      <c r="AU104" s="1"/>
      <c r="AV104" s="1"/>
      <c r="AW104" s="1"/>
      <c r="AX104" s="1"/>
      <c r="AY104" s="8"/>
      <c r="AZ104" s="8"/>
      <c r="BA104" s="119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78" t="s">
        <v>448</v>
      </c>
      <c r="X105" s="757"/>
      <c r="Y105" s="757"/>
      <c r="Z105" s="757"/>
      <c r="AA105" s="757"/>
      <c r="AB105" s="758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346"/>
      <c r="AQ105" s="1"/>
      <c r="AR105" s="1"/>
      <c r="AS105" s="1"/>
      <c r="AT105" s="1"/>
      <c r="AU105" s="1"/>
      <c r="AV105" s="1"/>
      <c r="AW105" s="1"/>
      <c r="AX105" s="1"/>
      <c r="AY105" s="8"/>
      <c r="AZ105" s="8"/>
      <c r="BA105" s="778" t="s">
        <v>449</v>
      </c>
      <c r="BB105" s="757"/>
      <c r="BC105" s="757"/>
      <c r="BD105" s="758"/>
      <c r="BE105" s="8"/>
      <c r="BF105" s="8"/>
      <c r="BG105" s="8"/>
      <c r="BH105" s="8"/>
      <c r="BI105" s="8"/>
      <c r="BJ105" s="8"/>
      <c r="BK105" s="8"/>
      <c r="BL105" s="8"/>
      <c r="BM105" s="8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17.25" customHeight="1">
      <c r="A106" s="1"/>
      <c r="B106" s="2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73"/>
      <c r="AH106" s="173"/>
      <c r="AI106" s="173"/>
      <c r="AJ106" s="173"/>
      <c r="AK106" s="173"/>
      <c r="AL106" s="1"/>
      <c r="AM106" s="1"/>
      <c r="AN106" s="1"/>
      <c r="AO106" s="1"/>
      <c r="AP106" s="346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"/>
      <c r="BL106" s="8"/>
      <c r="BM106" s="8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9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9"/>
      <c r="U107" s="36"/>
      <c r="V107" s="36"/>
      <c r="W107" s="37"/>
      <c r="X107" s="36"/>
      <c r="Y107" s="36"/>
      <c r="Z107" s="37"/>
      <c r="AA107" s="35"/>
      <c r="AB107" s="36"/>
      <c r="AC107" s="12"/>
      <c r="AD107" s="8"/>
      <c r="AE107" s="8"/>
      <c r="AF107" s="1"/>
      <c r="AG107" s="173"/>
      <c r="AH107" s="173"/>
      <c r="AI107" s="1"/>
      <c r="AJ107" s="1"/>
      <c r="AK107" s="1"/>
      <c r="AL107" s="1"/>
      <c r="AM107" s="1"/>
      <c r="AN107" s="1"/>
      <c r="AO107" s="1"/>
      <c r="AP107" s="346"/>
      <c r="AQ107" s="1"/>
      <c r="AR107" s="1"/>
      <c r="AS107" s="1"/>
      <c r="AT107" s="1"/>
      <c r="AU107" s="1"/>
      <c r="AV107" s="1"/>
      <c r="AW107" s="1"/>
      <c r="AX107" s="1"/>
      <c r="AY107" s="35"/>
      <c r="AZ107" s="36"/>
      <c r="BA107" s="36"/>
      <c r="BB107" s="35"/>
      <c r="BC107" s="36"/>
      <c r="BD107" s="115"/>
      <c r="BE107" s="36"/>
      <c r="BF107" s="36"/>
      <c r="BG107" s="37"/>
      <c r="BH107" s="36"/>
      <c r="BI107" s="8"/>
      <c r="BJ107" s="8"/>
      <c r="BK107" s="8"/>
      <c r="BL107" s="8"/>
      <c r="BM107" s="8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27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5" t="s">
        <v>450</v>
      </c>
      <c r="U108" s="120">
        <f>COUNTA(U109:U119)</f>
        <v>6</v>
      </c>
      <c r="V108" s="114"/>
      <c r="W108" s="41" t="s">
        <v>451</v>
      </c>
      <c r="X108" s="44">
        <f>COUNTA(X109:X116)</f>
        <v>7</v>
      </c>
      <c r="Y108" s="8"/>
      <c r="Z108" s="41" t="s">
        <v>452</v>
      </c>
      <c r="AA108" s="44">
        <f>COUNTA(AA109:AA116)</f>
        <v>7</v>
      </c>
      <c r="AB108" s="8"/>
      <c r="AC108" s="41" t="s">
        <v>453</v>
      </c>
      <c r="AD108" s="44">
        <f>COUNTA(AD109:AD116)</f>
        <v>7</v>
      </c>
      <c r="AE108" s="8"/>
      <c r="AF108" s="1"/>
      <c r="AG108" s="173"/>
      <c r="AH108" s="173"/>
      <c r="AI108" s="173"/>
      <c r="AJ108" s="173"/>
      <c r="AK108" s="173"/>
      <c r="AL108" s="1"/>
      <c r="AM108" s="1"/>
      <c r="AN108" s="1"/>
      <c r="AO108" s="1"/>
      <c r="AP108" s="346"/>
      <c r="AQ108" s="1"/>
      <c r="AR108" s="1"/>
      <c r="AS108" s="1"/>
      <c r="AT108" s="1"/>
      <c r="AU108" s="45" t="s">
        <v>450</v>
      </c>
      <c r="AV108" s="377">
        <f>COUNTA(AV109:AV116)</f>
        <v>5</v>
      </c>
      <c r="AW108" s="8"/>
      <c r="AX108" s="45" t="s">
        <v>451</v>
      </c>
      <c r="AY108" s="120">
        <f>COUNTA(AY109:AY116)</f>
        <v>6</v>
      </c>
      <c r="AZ108" s="8"/>
      <c r="BA108" s="41" t="s">
        <v>454</v>
      </c>
      <c r="BB108" s="44">
        <f>COUNTA(BB109:BB116)</f>
        <v>6</v>
      </c>
      <c r="BC108" s="8"/>
      <c r="BD108" s="41" t="s">
        <v>161</v>
      </c>
      <c r="BE108" s="44">
        <f>COUNTA(BE109:BE122)</f>
        <v>7</v>
      </c>
      <c r="BF108" s="8"/>
      <c r="BG108" s="41" t="s">
        <v>455</v>
      </c>
      <c r="BH108" s="44">
        <f>COUNTA(BH109:BH122)</f>
        <v>5</v>
      </c>
      <c r="BI108" s="8"/>
      <c r="BJ108" s="8"/>
      <c r="BK108" s="8"/>
      <c r="BL108" s="8"/>
      <c r="BM108" s="8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28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35" t="s">
        <v>456</v>
      </c>
      <c r="U109" s="378" t="s">
        <v>52</v>
      </c>
      <c r="V109" s="8" t="s">
        <v>163</v>
      </c>
      <c r="W109" s="379" t="s">
        <v>75</v>
      </c>
      <c r="X109" s="380"/>
      <c r="Y109" s="8" t="s">
        <v>49</v>
      </c>
      <c r="Z109" s="381" t="s">
        <v>457</v>
      </c>
      <c r="AA109" s="382" t="s">
        <v>76</v>
      </c>
      <c r="AB109" s="8" t="s">
        <v>49</v>
      </c>
      <c r="AC109" s="383" t="s">
        <v>458</v>
      </c>
      <c r="AD109" s="75"/>
      <c r="AE109" s="8" t="s">
        <v>49</v>
      </c>
      <c r="AF109" s="1"/>
      <c r="AG109" s="173"/>
      <c r="AH109" s="173"/>
      <c r="AI109" s="1"/>
      <c r="AJ109" s="1"/>
      <c r="AK109" s="1"/>
      <c r="AL109" s="1"/>
      <c r="AM109" s="1"/>
      <c r="AN109" s="1"/>
      <c r="AO109" s="1"/>
      <c r="AP109" s="346"/>
      <c r="AQ109" s="1"/>
      <c r="AR109" s="1"/>
      <c r="AS109" s="1"/>
      <c r="AT109" s="1"/>
      <c r="AU109" s="384" t="s">
        <v>459</v>
      </c>
      <c r="AV109" s="385" t="s">
        <v>52</v>
      </c>
      <c r="AW109" s="8" t="s">
        <v>163</v>
      </c>
      <c r="AX109" s="166" t="s">
        <v>460</v>
      </c>
      <c r="AY109" s="226" t="s">
        <v>52</v>
      </c>
      <c r="AZ109" s="8" t="s">
        <v>49</v>
      </c>
      <c r="BA109" s="386" t="s">
        <v>461</v>
      </c>
      <c r="BB109" s="269" t="s">
        <v>48</v>
      </c>
      <c r="BC109" s="8" t="s">
        <v>168</v>
      </c>
      <c r="BD109" s="154" t="s">
        <v>462</v>
      </c>
      <c r="BE109" s="269"/>
      <c r="BF109" s="8"/>
      <c r="BG109" s="387" t="s">
        <v>4370</v>
      </c>
      <c r="BH109" s="66" t="s">
        <v>52</v>
      </c>
      <c r="BI109" s="8"/>
      <c r="BJ109" s="8"/>
      <c r="BK109" s="8"/>
      <c r="BL109" s="8"/>
      <c r="BM109" s="8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3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85" t="s">
        <v>463</v>
      </c>
      <c r="U110" s="174" t="s">
        <v>76</v>
      </c>
      <c r="V110" s="114"/>
      <c r="W110" s="379" t="s">
        <v>464</v>
      </c>
      <c r="X110" s="174" t="s">
        <v>76</v>
      </c>
      <c r="Y110" s="8" t="s">
        <v>62</v>
      </c>
      <c r="Z110" s="185" t="s">
        <v>465</v>
      </c>
      <c r="AA110" s="165" t="s">
        <v>76</v>
      </c>
      <c r="AB110" s="8" t="s">
        <v>62</v>
      </c>
      <c r="AC110" s="388" t="s">
        <v>466</v>
      </c>
      <c r="AD110" s="389" t="s">
        <v>52</v>
      </c>
      <c r="AE110" s="390" t="s">
        <v>62</v>
      </c>
      <c r="AF110" s="1"/>
      <c r="AG110" s="173"/>
      <c r="AH110" s="173"/>
      <c r="AI110" s="173"/>
      <c r="AJ110" s="173"/>
      <c r="AK110" s="173"/>
      <c r="AL110" s="1"/>
      <c r="AM110" s="1"/>
      <c r="AN110" s="1"/>
      <c r="AO110" s="1"/>
      <c r="AP110" s="346"/>
      <c r="AQ110" s="1"/>
      <c r="AR110" s="1"/>
      <c r="AS110" s="1"/>
      <c r="AT110" s="1"/>
      <c r="AU110" s="394" t="s">
        <v>4371</v>
      </c>
      <c r="AV110" s="192" t="s">
        <v>48</v>
      </c>
      <c r="AW110" s="8"/>
      <c r="AX110" s="166" t="s">
        <v>467</v>
      </c>
      <c r="AY110" s="165" t="s">
        <v>76</v>
      </c>
      <c r="AZ110" s="8" t="s">
        <v>62</v>
      </c>
      <c r="BA110" s="391" t="s">
        <v>468</v>
      </c>
      <c r="BB110" s="269" t="s">
        <v>48</v>
      </c>
      <c r="BC110" s="8" t="s">
        <v>168</v>
      </c>
      <c r="BD110" s="179" t="s">
        <v>4372</v>
      </c>
      <c r="BE110" s="66" t="s">
        <v>52</v>
      </c>
      <c r="BF110" s="8" t="s">
        <v>469</v>
      </c>
      <c r="BG110" s="179" t="s">
        <v>4373</v>
      </c>
      <c r="BH110" s="66" t="s">
        <v>52</v>
      </c>
      <c r="BI110" s="8" t="s">
        <v>469</v>
      </c>
      <c r="BJ110" s="8"/>
      <c r="BK110" s="8"/>
      <c r="BL110" s="8"/>
      <c r="BM110" s="8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3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85" t="s">
        <v>470</v>
      </c>
      <c r="U111" s="174" t="s">
        <v>76</v>
      </c>
      <c r="V111" s="114"/>
      <c r="W111" s="392" t="s">
        <v>4374</v>
      </c>
      <c r="X111" s="165" t="s">
        <v>76</v>
      </c>
      <c r="Y111" s="8"/>
      <c r="Z111" s="73" t="s">
        <v>87</v>
      </c>
      <c r="AA111" s="165"/>
      <c r="AB111" s="8" t="s">
        <v>62</v>
      </c>
      <c r="AC111" s="393" t="s">
        <v>4375</v>
      </c>
      <c r="AD111" s="165" t="s">
        <v>76</v>
      </c>
      <c r="AE111" s="8"/>
      <c r="AF111" s="1"/>
      <c r="AG111" s="173"/>
      <c r="AH111" s="173"/>
      <c r="AI111" s="1"/>
      <c r="AJ111" s="1"/>
      <c r="AK111" s="1"/>
      <c r="AL111" s="1"/>
      <c r="AM111" s="1"/>
      <c r="AN111" s="1"/>
      <c r="AO111" s="1"/>
      <c r="AP111" s="346"/>
      <c r="AQ111" s="1"/>
      <c r="AR111" s="1"/>
      <c r="AS111" s="1"/>
      <c r="AT111" s="1"/>
      <c r="AU111" s="400" t="s">
        <v>4376</v>
      </c>
      <c r="AV111" s="149" t="s">
        <v>52</v>
      </c>
      <c r="AW111" s="8"/>
      <c r="AX111" s="166" t="s">
        <v>471</v>
      </c>
      <c r="AY111" s="165" t="s">
        <v>76</v>
      </c>
      <c r="AZ111" s="8"/>
      <c r="BA111" s="395" t="s">
        <v>472</v>
      </c>
      <c r="BB111" s="269" t="s">
        <v>48</v>
      </c>
      <c r="BC111" s="8"/>
      <c r="BD111" s="179" t="s">
        <v>4377</v>
      </c>
      <c r="BE111" s="66" t="s">
        <v>52</v>
      </c>
      <c r="BF111" s="8"/>
      <c r="BG111" s="396" t="s">
        <v>4378</v>
      </c>
      <c r="BH111" s="66" t="s">
        <v>52</v>
      </c>
      <c r="BI111" s="8"/>
      <c r="BJ111" s="8"/>
      <c r="BK111" s="8"/>
      <c r="BL111" s="8"/>
      <c r="BM111" s="8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31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67" t="s">
        <v>473</v>
      </c>
      <c r="U112" s="226" t="s">
        <v>52</v>
      </c>
      <c r="V112" s="114"/>
      <c r="W112" s="397" t="s">
        <v>474</v>
      </c>
      <c r="X112" s="398" t="s">
        <v>58</v>
      </c>
      <c r="Y112" s="8"/>
      <c r="Z112" s="399" t="s">
        <v>475</v>
      </c>
      <c r="AA112" s="226" t="s">
        <v>52</v>
      </c>
      <c r="AB112" s="8" t="s">
        <v>62</v>
      </c>
      <c r="AC112" s="399" t="s">
        <v>476</v>
      </c>
      <c r="AD112" s="226" t="s">
        <v>52</v>
      </c>
      <c r="AE112" s="8"/>
      <c r="AF112" s="1"/>
      <c r="AG112" s="173"/>
      <c r="AH112" s="173"/>
      <c r="AI112" s="173"/>
      <c r="AJ112" s="173"/>
      <c r="AK112" s="173"/>
      <c r="AL112" s="1"/>
      <c r="AM112" s="1"/>
      <c r="AN112" s="1"/>
      <c r="AO112" s="1"/>
      <c r="AP112" s="346"/>
      <c r="AQ112" s="1"/>
      <c r="AR112" s="1"/>
      <c r="AS112" s="1"/>
      <c r="AT112" s="1"/>
      <c r="AU112" s="394" t="s">
        <v>4379</v>
      </c>
      <c r="AV112" s="192" t="s">
        <v>48</v>
      </c>
      <c r="AW112" s="8"/>
      <c r="AX112" s="207" t="s">
        <v>477</v>
      </c>
      <c r="AY112" s="174" t="s">
        <v>76</v>
      </c>
      <c r="AZ112" s="27"/>
      <c r="BA112" s="393" t="s">
        <v>4380</v>
      </c>
      <c r="BB112" s="298" t="s">
        <v>48</v>
      </c>
      <c r="BC112" s="8"/>
      <c r="BD112" s="179" t="s">
        <v>4381</v>
      </c>
      <c r="BE112" s="66" t="s">
        <v>52</v>
      </c>
      <c r="BF112" s="8"/>
      <c r="BG112" s="179" t="s">
        <v>4382</v>
      </c>
      <c r="BH112" s="66" t="s">
        <v>52</v>
      </c>
      <c r="BI112" s="8"/>
      <c r="BJ112" s="8"/>
      <c r="BK112" s="8"/>
      <c r="BL112" s="8"/>
      <c r="BM112" s="8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3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67" t="s">
        <v>478</v>
      </c>
      <c r="U113" s="226" t="s">
        <v>52</v>
      </c>
      <c r="V113" s="114"/>
      <c r="W113" s="401" t="s">
        <v>4383</v>
      </c>
      <c r="X113" s="402" t="s">
        <v>58</v>
      </c>
      <c r="Y113" s="8"/>
      <c r="Z113" s="185" t="s">
        <v>479</v>
      </c>
      <c r="AA113" s="165" t="s">
        <v>76</v>
      </c>
      <c r="AB113" s="403"/>
      <c r="AC113" s="404" t="s">
        <v>480</v>
      </c>
      <c r="AD113" s="212" t="s">
        <v>52</v>
      </c>
      <c r="AE113" s="8"/>
      <c r="AF113" s="1"/>
      <c r="AG113" s="173"/>
      <c r="AH113" s="173"/>
      <c r="AI113" s="1"/>
      <c r="AJ113" s="1"/>
      <c r="AK113" s="1"/>
      <c r="AL113" s="1"/>
      <c r="AM113" s="1"/>
      <c r="AN113" s="1"/>
      <c r="AO113" s="1"/>
      <c r="AP113" s="346"/>
      <c r="AQ113" s="1"/>
      <c r="AR113" s="1"/>
      <c r="AS113" s="1"/>
      <c r="AT113" s="1"/>
      <c r="AU113" s="409" t="s">
        <v>4384</v>
      </c>
      <c r="AV113" s="192" t="s">
        <v>48</v>
      </c>
      <c r="AW113" s="8"/>
      <c r="AX113" s="166" t="s">
        <v>481</v>
      </c>
      <c r="AY113" s="226" t="s">
        <v>52</v>
      </c>
      <c r="AZ113" s="8" t="s">
        <v>482</v>
      </c>
      <c r="BA113" s="405" t="s">
        <v>483</v>
      </c>
      <c r="BB113" s="406"/>
      <c r="BC113" s="8"/>
      <c r="BD113" s="179" t="s">
        <v>4385</v>
      </c>
      <c r="BE113" s="66" t="s">
        <v>52</v>
      </c>
      <c r="BF113" s="8" t="s">
        <v>482</v>
      </c>
      <c r="BG113" s="179" t="s">
        <v>4386</v>
      </c>
      <c r="BH113" s="66" t="s">
        <v>52</v>
      </c>
      <c r="BI113" s="8" t="s">
        <v>482</v>
      </c>
      <c r="BJ113" s="8"/>
      <c r="BK113" s="8"/>
      <c r="BL113" s="8"/>
      <c r="BM113" s="8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3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07" t="s">
        <v>484</v>
      </c>
      <c r="U114" s="226" t="s">
        <v>52</v>
      </c>
      <c r="V114" s="114"/>
      <c r="W114" s="154" t="s">
        <v>4387</v>
      </c>
      <c r="X114" s="142" t="s">
        <v>58</v>
      </c>
      <c r="Y114" s="245"/>
      <c r="Z114" s="167" t="s">
        <v>485</v>
      </c>
      <c r="AA114" s="226" t="s">
        <v>52</v>
      </c>
      <c r="AB114" s="8"/>
      <c r="AC114" s="393" t="s">
        <v>4388</v>
      </c>
      <c r="AD114" s="408" t="s">
        <v>52</v>
      </c>
      <c r="AE114" s="8"/>
      <c r="AF114" s="1"/>
      <c r="AG114" s="173"/>
      <c r="AH114" s="173"/>
      <c r="AI114" s="173"/>
      <c r="AJ114" s="173"/>
      <c r="AK114" s="173"/>
      <c r="AL114" s="1"/>
      <c r="AM114" s="1"/>
      <c r="AN114" s="1"/>
      <c r="AO114" s="1"/>
      <c r="AP114" s="346"/>
      <c r="AQ114" s="1"/>
      <c r="AR114" s="1"/>
      <c r="AS114" s="1"/>
      <c r="AT114" s="1"/>
      <c r="AU114" s="166"/>
      <c r="AV114" s="406"/>
      <c r="AW114" s="24"/>
      <c r="AX114" s="166" t="s">
        <v>4389</v>
      </c>
      <c r="AY114" s="226" t="s">
        <v>52</v>
      </c>
      <c r="AZ114" s="8"/>
      <c r="BA114" s="410" t="s">
        <v>4390</v>
      </c>
      <c r="BB114" s="269"/>
      <c r="BC114" s="8"/>
      <c r="BD114" s="411" t="s">
        <v>4391</v>
      </c>
      <c r="BE114" s="66" t="s">
        <v>52</v>
      </c>
      <c r="BF114" s="8"/>
      <c r="BG114" s="179"/>
      <c r="BH114" s="406"/>
      <c r="BI114" s="8"/>
      <c r="BJ114" s="8"/>
      <c r="BK114" s="8"/>
      <c r="BL114" s="8"/>
      <c r="BM114" s="8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3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5"/>
      <c r="U115" s="412"/>
      <c r="V115" s="187"/>
      <c r="W115" s="198" t="s">
        <v>4392</v>
      </c>
      <c r="X115" s="199" t="s">
        <v>58</v>
      </c>
      <c r="Y115" s="8"/>
      <c r="Z115" s="167" t="s">
        <v>486</v>
      </c>
      <c r="AA115" s="226" t="s">
        <v>52</v>
      </c>
      <c r="AB115" s="403"/>
      <c r="AC115" s="413" t="s">
        <v>4393</v>
      </c>
      <c r="AD115" s="385" t="s">
        <v>52</v>
      </c>
      <c r="AE115" s="8"/>
      <c r="AF115" s="1"/>
      <c r="AG115" s="173"/>
      <c r="AH115" s="173"/>
      <c r="AI115" s="1"/>
      <c r="AJ115" s="1"/>
      <c r="AK115" s="1"/>
      <c r="AL115" s="1"/>
      <c r="AM115" s="1"/>
      <c r="AN115" s="1"/>
      <c r="AO115" s="1"/>
      <c r="AP115" s="346"/>
      <c r="AQ115" s="1"/>
      <c r="AR115" s="1"/>
      <c r="AS115" s="1"/>
      <c r="AT115" s="1"/>
      <c r="AU115" s="166"/>
      <c r="AV115" s="406"/>
      <c r="AW115" s="8"/>
      <c r="AX115" s="166"/>
      <c r="AY115" s="406"/>
      <c r="AZ115" s="8"/>
      <c r="BA115" s="57" t="s">
        <v>4394</v>
      </c>
      <c r="BB115" s="406" t="s">
        <v>270</v>
      </c>
      <c r="BC115" s="8"/>
      <c r="BD115" s="179" t="s">
        <v>4395</v>
      </c>
      <c r="BE115" s="66" t="s">
        <v>52</v>
      </c>
      <c r="BF115" s="8"/>
      <c r="BG115" s="166"/>
      <c r="BH115" s="406"/>
      <c r="BI115" s="8"/>
      <c r="BJ115" s="8"/>
      <c r="BK115" s="8"/>
      <c r="BL115" s="8"/>
      <c r="BM115" s="8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3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68"/>
      <c r="U116" s="412"/>
      <c r="V116" s="114"/>
      <c r="W116" s="414" t="s">
        <v>4396</v>
      </c>
      <c r="X116" s="142" t="s">
        <v>58</v>
      </c>
      <c r="Y116" s="8"/>
      <c r="Z116" s="415" t="s">
        <v>4397</v>
      </c>
      <c r="AA116" s="416" t="s">
        <v>52</v>
      </c>
      <c r="AB116" s="8"/>
      <c r="AC116" s="393" t="s">
        <v>4398</v>
      </c>
      <c r="AD116" s="226" t="s">
        <v>52</v>
      </c>
      <c r="AE116" s="8"/>
      <c r="AF116" s="1"/>
      <c r="AG116" s="173"/>
      <c r="AH116" s="173"/>
      <c r="AI116" s="173"/>
      <c r="AJ116" s="173"/>
      <c r="AK116" s="173"/>
      <c r="AL116" s="1"/>
      <c r="AM116" s="1"/>
      <c r="AN116" s="1"/>
      <c r="AO116" s="1"/>
      <c r="AP116" s="346"/>
      <c r="AQ116" s="1"/>
      <c r="AR116" s="1"/>
      <c r="AS116" s="1"/>
      <c r="AT116" s="1"/>
      <c r="AU116" s="241"/>
      <c r="AV116" s="417"/>
      <c r="AW116" s="8"/>
      <c r="AX116" s="241"/>
      <c r="AY116" s="417"/>
      <c r="AZ116" s="8"/>
      <c r="BA116" s="175" t="s">
        <v>487</v>
      </c>
      <c r="BB116" s="233" t="s">
        <v>270</v>
      </c>
      <c r="BC116" s="8"/>
      <c r="BD116" s="418" t="s">
        <v>4399</v>
      </c>
      <c r="BE116" s="419" t="s">
        <v>52</v>
      </c>
      <c r="BF116" s="8"/>
      <c r="BG116" s="241"/>
      <c r="BH116" s="417"/>
      <c r="BI116" s="8"/>
      <c r="BJ116" s="8"/>
      <c r="BK116" s="8"/>
      <c r="BL116" s="8"/>
      <c r="BM116" s="8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3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68"/>
      <c r="U117" s="412"/>
      <c r="V117" s="114"/>
      <c r="W117" s="397" t="s">
        <v>488</v>
      </c>
      <c r="X117" s="398" t="s">
        <v>58</v>
      </c>
      <c r="Y117" s="8"/>
      <c r="Z117" s="415" t="s">
        <v>4400</v>
      </c>
      <c r="AA117" s="416" t="s">
        <v>52</v>
      </c>
      <c r="AB117" s="8"/>
      <c r="AC117" s="388" t="s">
        <v>489</v>
      </c>
      <c r="AD117" s="155" t="s">
        <v>52</v>
      </c>
      <c r="AE117" s="8"/>
      <c r="AF117" s="1"/>
      <c r="AG117" s="173"/>
      <c r="AH117" s="173"/>
      <c r="AI117" s="1"/>
      <c r="AJ117" s="1"/>
      <c r="AK117" s="1"/>
      <c r="AL117" s="1"/>
      <c r="AM117" s="1"/>
      <c r="AN117" s="1"/>
      <c r="AO117" s="1"/>
      <c r="AP117" s="346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8"/>
      <c r="BM117" s="8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3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51"/>
      <c r="U118" s="252"/>
      <c r="V118" s="114"/>
      <c r="W118" s="133" t="s">
        <v>4401</v>
      </c>
      <c r="X118" s="398" t="s">
        <v>58</v>
      </c>
      <c r="Y118" s="8"/>
      <c r="Z118" s="420" t="s">
        <v>490</v>
      </c>
      <c r="AA118" s="421" t="s">
        <v>48</v>
      </c>
      <c r="AB118" s="8"/>
      <c r="AC118" s="422" t="s">
        <v>4402</v>
      </c>
      <c r="AD118" s="226" t="s">
        <v>52</v>
      </c>
      <c r="AE118" s="8"/>
      <c r="AF118" s="1"/>
      <c r="AG118" s="173"/>
      <c r="AH118" s="173"/>
      <c r="AI118" s="173"/>
      <c r="AJ118" s="173"/>
      <c r="AK118" s="173"/>
      <c r="AL118" s="1"/>
      <c r="AM118" s="1"/>
      <c r="AN118" s="1"/>
      <c r="AO118" s="1"/>
      <c r="AP118" s="346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3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51"/>
      <c r="U119" s="252"/>
      <c r="V119" s="2"/>
      <c r="W119" s="251"/>
      <c r="X119" s="252"/>
      <c r="Y119" s="2"/>
      <c r="Z119" s="251"/>
      <c r="AA119" s="252"/>
      <c r="AB119" s="2"/>
      <c r="AC119" s="423" t="s">
        <v>4403</v>
      </c>
      <c r="AD119" s="226" t="s">
        <v>52</v>
      </c>
      <c r="AE119" s="2"/>
      <c r="AF119" s="1"/>
      <c r="AG119" s="173"/>
      <c r="AH119" s="173"/>
      <c r="AI119" s="1"/>
      <c r="AJ119" s="1"/>
      <c r="AK119" s="1"/>
      <c r="AL119" s="1"/>
      <c r="AM119" s="1"/>
      <c r="AN119" s="1"/>
      <c r="AO119" s="1"/>
      <c r="AP119" s="346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25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01"/>
      <c r="U120" s="424"/>
      <c r="V120" s="2"/>
      <c r="W120" s="101"/>
      <c r="X120" s="424"/>
      <c r="Y120" s="2"/>
      <c r="Z120" s="101"/>
      <c r="AA120" s="424"/>
      <c r="AB120" s="2"/>
      <c r="AC120" s="425" t="s">
        <v>4404</v>
      </c>
      <c r="AD120" s="426" t="s">
        <v>52</v>
      </c>
      <c r="AE120" s="2"/>
      <c r="AF120" s="1"/>
      <c r="AG120" s="173"/>
      <c r="AH120" s="173"/>
      <c r="AI120" s="173"/>
      <c r="AJ120" s="173"/>
      <c r="AK120" s="173"/>
      <c r="AL120" s="1"/>
      <c r="AM120" s="1"/>
      <c r="AN120" s="1"/>
      <c r="AO120" s="1"/>
      <c r="AP120" s="346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3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346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346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73"/>
      <c r="AH123" s="173"/>
      <c r="AI123" s="173"/>
      <c r="AJ123" s="173"/>
      <c r="AK123" s="173"/>
      <c r="AL123" s="1"/>
      <c r="AM123" s="1"/>
      <c r="AN123" s="1"/>
      <c r="AO123" s="1"/>
      <c r="AP123" s="346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34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87" t="s">
        <v>491</v>
      </c>
      <c r="X124" s="788"/>
      <c r="Y124" s="788"/>
      <c r="Z124" s="788"/>
      <c r="AA124" s="788"/>
      <c r="AB124" s="789"/>
      <c r="AC124" s="2"/>
      <c r="AD124" s="1"/>
      <c r="AE124" s="1"/>
      <c r="AF124" s="1"/>
      <c r="AG124" s="173"/>
      <c r="AH124" s="173"/>
      <c r="AI124" s="1"/>
      <c r="AJ124" s="1"/>
      <c r="AK124" s="1"/>
      <c r="AL124" s="1"/>
      <c r="AM124" s="1"/>
      <c r="AN124" s="1"/>
      <c r="AO124" s="1"/>
      <c r="AP124" s="346"/>
      <c r="AQ124" s="1"/>
      <c r="AR124" s="1"/>
      <c r="AS124" s="1"/>
      <c r="AT124" s="1"/>
      <c r="AU124" s="8"/>
      <c r="AV124" s="780" t="s">
        <v>492</v>
      </c>
      <c r="AW124" s="757"/>
      <c r="AX124" s="757"/>
      <c r="AY124" s="757"/>
      <c r="AZ124" s="757"/>
      <c r="BA124" s="758"/>
      <c r="BB124" s="6"/>
      <c r="BC124" s="114"/>
      <c r="BD124" s="8"/>
      <c r="BE124" s="8"/>
      <c r="BF124" s="8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17.25" customHeight="1">
      <c r="A125" s="1"/>
      <c r="B125" s="2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73"/>
      <c r="AH125" s="173"/>
      <c r="AI125" s="173"/>
      <c r="AJ125" s="173"/>
      <c r="AK125" s="173"/>
      <c r="AL125" s="1"/>
      <c r="AM125" s="1"/>
      <c r="AN125" s="1"/>
      <c r="AO125" s="1"/>
      <c r="AP125" s="346"/>
      <c r="AQ125" s="1"/>
      <c r="AR125" s="1"/>
      <c r="AS125" s="1"/>
      <c r="AT125" s="1"/>
      <c r="AU125" s="8"/>
      <c r="AV125" s="8"/>
      <c r="AW125" s="8"/>
      <c r="AX125" s="8"/>
      <c r="AY125" s="8"/>
      <c r="AZ125" s="119"/>
      <c r="BA125" s="8"/>
      <c r="BB125" s="427"/>
      <c r="BC125" s="428"/>
      <c r="BD125" s="108"/>
      <c r="BE125" s="8"/>
      <c r="BF125" s="8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9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6"/>
      <c r="X126" s="429"/>
      <c r="Y126" s="36"/>
      <c r="Z126" s="36"/>
      <c r="AA126" s="430"/>
      <c r="AB126" s="36"/>
      <c r="AC126" s="431"/>
      <c r="AD126" s="36"/>
      <c r="AE126" s="36"/>
      <c r="AF126" s="37"/>
      <c r="AG126" s="6"/>
      <c r="AH126" s="114"/>
      <c r="AI126" s="1"/>
      <c r="AJ126" s="1"/>
      <c r="AK126" s="1"/>
      <c r="AL126" s="1"/>
      <c r="AM126" s="1"/>
      <c r="AN126" s="1"/>
      <c r="AO126" s="1"/>
      <c r="AP126" s="346"/>
      <c r="AQ126" s="1"/>
      <c r="AR126" s="1"/>
      <c r="AS126" s="1"/>
      <c r="AT126" s="1"/>
      <c r="AU126" s="8"/>
      <c r="AV126" s="429"/>
      <c r="AW126" s="36"/>
      <c r="AX126" s="115"/>
      <c r="AY126" s="36"/>
      <c r="AZ126" s="36"/>
      <c r="BA126" s="115"/>
      <c r="BB126" s="6"/>
      <c r="BC126" s="114"/>
      <c r="BD126" s="119"/>
      <c r="BE126" s="8"/>
      <c r="BF126" s="8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27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1" t="s">
        <v>493</v>
      </c>
      <c r="U127" s="42">
        <f>COUNTA(U128:U138)</f>
        <v>10</v>
      </c>
      <c r="V127" s="1"/>
      <c r="W127" s="126" t="s">
        <v>494</v>
      </c>
      <c r="X127" s="127">
        <f>COUNTA(X128:X140)</f>
        <v>5</v>
      </c>
      <c r="Y127" s="8"/>
      <c r="Z127" s="41" t="s">
        <v>495</v>
      </c>
      <c r="AA127" s="44">
        <f>COUNTA(AA128:AA138)</f>
        <v>10</v>
      </c>
      <c r="AB127" s="114"/>
      <c r="AC127" s="41" t="s">
        <v>496</v>
      </c>
      <c r="AD127" s="121">
        <f>COUNTA(AD128:AD142)</f>
        <v>8</v>
      </c>
      <c r="AE127" s="1"/>
      <c r="AF127" s="41" t="s">
        <v>497</v>
      </c>
      <c r="AG127" s="42">
        <f>COUNTA(AG128:AG139)</f>
        <v>11</v>
      </c>
      <c r="AH127" s="1"/>
      <c r="AI127" s="173"/>
      <c r="AJ127" s="173"/>
      <c r="AK127" s="173"/>
      <c r="AL127" s="1"/>
      <c r="AM127" s="1"/>
      <c r="AN127" s="1"/>
      <c r="AO127" s="1"/>
      <c r="AP127" s="346"/>
      <c r="AQ127" s="1"/>
      <c r="AR127" s="1"/>
      <c r="AS127" s="1"/>
      <c r="AT127" s="1"/>
      <c r="AU127" s="41" t="s">
        <v>155</v>
      </c>
      <c r="AV127" s="44">
        <f>COUNTA(AV128:AV138)</f>
        <v>5</v>
      </c>
      <c r="AW127" s="1"/>
      <c r="AX127" s="41" t="s">
        <v>159</v>
      </c>
      <c r="AY127" s="44">
        <f>COUNTA(AY128:AY138)</f>
        <v>10</v>
      </c>
      <c r="AZ127" s="8"/>
      <c r="BA127" s="41" t="s">
        <v>160</v>
      </c>
      <c r="BB127" s="44">
        <f>COUNTA(BB128:BB138)</f>
        <v>10</v>
      </c>
      <c r="BC127" s="8"/>
      <c r="BD127" s="283" t="s">
        <v>161</v>
      </c>
      <c r="BE127" s="125">
        <f>COUNTA(BE128:BE138)</f>
        <v>4</v>
      </c>
      <c r="BF127" s="173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28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83" t="s">
        <v>470</v>
      </c>
      <c r="U128" s="286"/>
      <c r="V128" s="1"/>
      <c r="W128" s="432" t="s">
        <v>470</v>
      </c>
      <c r="X128" s="160"/>
      <c r="Y128" s="8" t="s">
        <v>49</v>
      </c>
      <c r="Z128" s="433" t="s">
        <v>478</v>
      </c>
      <c r="AA128" s="269"/>
      <c r="AB128" s="8" t="s">
        <v>49</v>
      </c>
      <c r="AC128" s="434" t="s">
        <v>478</v>
      </c>
      <c r="AD128" s="162"/>
      <c r="AE128" s="8" t="s">
        <v>49</v>
      </c>
      <c r="AF128" s="154" t="s">
        <v>498</v>
      </c>
      <c r="AG128" s="269"/>
      <c r="AH128" s="8" t="s">
        <v>49</v>
      </c>
      <c r="AI128" s="1"/>
      <c r="AJ128" s="1"/>
      <c r="AK128" s="1"/>
      <c r="AL128" s="1"/>
      <c r="AM128" s="1"/>
      <c r="AN128" s="1"/>
      <c r="AO128" s="1"/>
      <c r="AP128" s="346"/>
      <c r="AQ128" s="1"/>
      <c r="AR128" s="1"/>
      <c r="AS128" s="1"/>
      <c r="AT128" s="1"/>
      <c r="AU128" s="435" t="s">
        <v>499</v>
      </c>
      <c r="AV128" s="67"/>
      <c r="AW128" s="8" t="s">
        <v>500</v>
      </c>
      <c r="AX128" s="436" t="s">
        <v>473</v>
      </c>
      <c r="AY128" s="66"/>
      <c r="AZ128" s="8"/>
      <c r="BA128" s="234" t="s">
        <v>481</v>
      </c>
      <c r="BB128" s="67"/>
      <c r="BC128" s="8"/>
      <c r="BD128" s="146" t="s">
        <v>231</v>
      </c>
      <c r="BE128" s="152"/>
      <c r="BF128" s="292" t="s">
        <v>238</v>
      </c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3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37" t="s">
        <v>501</v>
      </c>
      <c r="U129" s="174" t="s">
        <v>76</v>
      </c>
      <c r="V129" s="1"/>
      <c r="W129" s="182" t="s">
        <v>502</v>
      </c>
      <c r="X129" s="66" t="s">
        <v>52</v>
      </c>
      <c r="Y129" s="1"/>
      <c r="Z129" s="438" t="s">
        <v>503</v>
      </c>
      <c r="AA129" s="226" t="s">
        <v>52</v>
      </c>
      <c r="AB129" s="170" t="s">
        <v>62</v>
      </c>
      <c r="AC129" s="439" t="s">
        <v>504</v>
      </c>
      <c r="AD129" s="183" t="s">
        <v>52</v>
      </c>
      <c r="AE129" s="9"/>
      <c r="AF129" s="179" t="s">
        <v>4405</v>
      </c>
      <c r="AG129" s="66" t="s">
        <v>52</v>
      </c>
      <c r="AH129" s="170" t="s">
        <v>62</v>
      </c>
      <c r="AI129" s="173"/>
      <c r="AJ129" s="173"/>
      <c r="AK129" s="173"/>
      <c r="AL129" s="1"/>
      <c r="AM129" s="1"/>
      <c r="AN129" s="1"/>
      <c r="AO129" s="1"/>
      <c r="AP129" s="346"/>
      <c r="AQ129" s="1"/>
      <c r="AR129" s="1"/>
      <c r="AS129" s="1"/>
      <c r="AT129" s="1"/>
      <c r="AU129" s="220" t="s">
        <v>505</v>
      </c>
      <c r="AV129" s="66" t="s">
        <v>52</v>
      </c>
      <c r="AW129" s="157" t="s">
        <v>62</v>
      </c>
      <c r="AX129" s="220" t="s">
        <v>506</v>
      </c>
      <c r="AY129" s="440" t="s">
        <v>76</v>
      </c>
      <c r="AZ129" s="441"/>
      <c r="BA129" s="315" t="s">
        <v>507</v>
      </c>
      <c r="BB129" s="66" t="s">
        <v>52</v>
      </c>
      <c r="BC129" s="8" t="s">
        <v>168</v>
      </c>
      <c r="BD129" s="313" t="s">
        <v>508</v>
      </c>
      <c r="BE129" s="176" t="s">
        <v>52</v>
      </c>
      <c r="BF129" s="173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3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37" t="s">
        <v>509</v>
      </c>
      <c r="U130" s="174" t="s">
        <v>76</v>
      </c>
      <c r="V130" s="1"/>
      <c r="W130" s="182" t="s">
        <v>510</v>
      </c>
      <c r="X130" s="66" t="s">
        <v>52</v>
      </c>
      <c r="Y130" s="1"/>
      <c r="Z130" s="399" t="s">
        <v>511</v>
      </c>
      <c r="AA130" s="144" t="s">
        <v>52</v>
      </c>
      <c r="AB130" s="2"/>
      <c r="AC130" s="439" t="s">
        <v>512</v>
      </c>
      <c r="AD130" s="183" t="s">
        <v>52</v>
      </c>
      <c r="AE130" s="9"/>
      <c r="AF130" s="179" t="s">
        <v>4406</v>
      </c>
      <c r="AG130" s="74" t="s">
        <v>76</v>
      </c>
      <c r="AH130" s="9"/>
      <c r="AI130" s="1"/>
      <c r="AJ130" s="1"/>
      <c r="AK130" s="1"/>
      <c r="AL130" s="1"/>
      <c r="AM130" s="1"/>
      <c r="AN130" s="1"/>
      <c r="AO130" s="1"/>
      <c r="AP130" s="346"/>
      <c r="AQ130" s="1"/>
      <c r="AR130" s="1"/>
      <c r="AS130" s="1"/>
      <c r="AT130" s="1"/>
      <c r="AU130" s="220" t="s">
        <v>513</v>
      </c>
      <c r="AV130" s="66" t="s">
        <v>52</v>
      </c>
      <c r="AW130" s="157" t="s">
        <v>62</v>
      </c>
      <c r="AX130" s="220" t="s">
        <v>514</v>
      </c>
      <c r="AY130" s="66" t="s">
        <v>52</v>
      </c>
      <c r="AZ130" s="9"/>
      <c r="BA130" s="315" t="s">
        <v>515</v>
      </c>
      <c r="BB130" s="66" t="s">
        <v>52</v>
      </c>
      <c r="BC130" s="8"/>
      <c r="BD130" s="313" t="s">
        <v>516</v>
      </c>
      <c r="BE130" s="194" t="s">
        <v>48</v>
      </c>
      <c r="BF130" s="173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31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37" t="s">
        <v>517</v>
      </c>
      <c r="U131" s="174" t="s">
        <v>76</v>
      </c>
      <c r="V131" s="1"/>
      <c r="W131" s="182" t="s">
        <v>518</v>
      </c>
      <c r="X131" s="66" t="s">
        <v>52</v>
      </c>
      <c r="Y131" s="1"/>
      <c r="Z131" s="145" t="s">
        <v>519</v>
      </c>
      <c r="AA131" s="144" t="s">
        <v>52</v>
      </c>
      <c r="AB131" s="2"/>
      <c r="AC131" s="439" t="s">
        <v>520</v>
      </c>
      <c r="AD131" s="183" t="s">
        <v>52</v>
      </c>
      <c r="AE131" s="9"/>
      <c r="AF131" s="179" t="s">
        <v>4407</v>
      </c>
      <c r="AG131" s="66" t="s">
        <v>52</v>
      </c>
      <c r="AH131" s="9"/>
      <c r="AI131" s="173"/>
      <c r="AJ131" s="173"/>
      <c r="AK131" s="173"/>
      <c r="AL131" s="1"/>
      <c r="AM131" s="1"/>
      <c r="AN131" s="1"/>
      <c r="AO131" s="1"/>
      <c r="AP131" s="346"/>
      <c r="AQ131" s="1"/>
      <c r="AR131" s="1"/>
      <c r="AS131" s="1"/>
      <c r="AT131" s="1"/>
      <c r="AU131" s="220" t="s">
        <v>521</v>
      </c>
      <c r="AV131" s="66" t="s">
        <v>52</v>
      </c>
      <c r="AW131" s="9"/>
      <c r="AX131" s="220" t="s">
        <v>522</v>
      </c>
      <c r="AY131" s="66" t="s">
        <v>52</v>
      </c>
      <c r="AZ131" s="9"/>
      <c r="BA131" s="315" t="s">
        <v>523</v>
      </c>
      <c r="BB131" s="66" t="s">
        <v>52</v>
      </c>
      <c r="BC131" s="8"/>
      <c r="BD131" s="313" t="s">
        <v>524</v>
      </c>
      <c r="BE131" s="233" t="s">
        <v>270</v>
      </c>
      <c r="BF131" s="173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3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42" t="s">
        <v>525</v>
      </c>
      <c r="U132" s="212" t="s">
        <v>52</v>
      </c>
      <c r="V132" s="1"/>
      <c r="W132" s="182" t="s">
        <v>526</v>
      </c>
      <c r="X132" s="66" t="s">
        <v>52</v>
      </c>
      <c r="Y132" s="1"/>
      <c r="Z132" s="438" t="s">
        <v>527</v>
      </c>
      <c r="AA132" s="226" t="s">
        <v>52</v>
      </c>
      <c r="AB132" s="2"/>
      <c r="AC132" s="439" t="s">
        <v>528</v>
      </c>
      <c r="AD132" s="183" t="s">
        <v>52</v>
      </c>
      <c r="AE132" s="9"/>
      <c r="AF132" s="179" t="s">
        <v>4408</v>
      </c>
      <c r="AG132" s="66" t="s">
        <v>52</v>
      </c>
      <c r="AH132" s="9"/>
      <c r="AI132" s="1"/>
      <c r="AJ132" s="1"/>
      <c r="AK132" s="1"/>
      <c r="AL132" s="1"/>
      <c r="AM132" s="1"/>
      <c r="AN132" s="1"/>
      <c r="AO132" s="1"/>
      <c r="AP132" s="346"/>
      <c r="AQ132" s="1"/>
      <c r="AR132" s="1"/>
      <c r="AS132" s="1"/>
      <c r="AT132" s="1"/>
      <c r="AU132" s="220" t="s">
        <v>529</v>
      </c>
      <c r="AV132" s="66" t="s">
        <v>52</v>
      </c>
      <c r="AW132" s="9"/>
      <c r="AX132" s="220" t="s">
        <v>530</v>
      </c>
      <c r="AY132" s="66" t="s">
        <v>52</v>
      </c>
      <c r="AZ132" s="9"/>
      <c r="BA132" s="315" t="s">
        <v>531</v>
      </c>
      <c r="BB132" s="66" t="s">
        <v>52</v>
      </c>
      <c r="BC132" s="8"/>
      <c r="BD132" s="443" t="s">
        <v>532</v>
      </c>
      <c r="BE132" s="176" t="s">
        <v>52</v>
      </c>
      <c r="BF132" s="173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3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54" t="s">
        <v>4409</v>
      </c>
      <c r="U133" s="72" t="s">
        <v>52</v>
      </c>
      <c r="V133" s="1"/>
      <c r="W133" s="182" t="s">
        <v>533</v>
      </c>
      <c r="X133" s="66" t="s">
        <v>52</v>
      </c>
      <c r="Y133" s="1"/>
      <c r="Z133" s="438" t="s">
        <v>534</v>
      </c>
      <c r="AA133" s="226" t="s">
        <v>52</v>
      </c>
      <c r="AB133" s="2"/>
      <c r="AC133" s="439" t="s">
        <v>535</v>
      </c>
      <c r="AD133" s="183" t="s">
        <v>52</v>
      </c>
      <c r="AE133" s="9"/>
      <c r="AF133" s="179" t="s">
        <v>4410</v>
      </c>
      <c r="AG133" s="66" t="s">
        <v>52</v>
      </c>
      <c r="AH133" s="9"/>
      <c r="AI133" s="173"/>
      <c r="AJ133" s="173"/>
      <c r="AK133" s="173"/>
      <c r="AL133" s="1"/>
      <c r="AM133" s="1"/>
      <c r="AN133" s="1"/>
      <c r="AO133" s="1"/>
      <c r="AP133" s="346"/>
      <c r="AQ133" s="1"/>
      <c r="AR133" s="1"/>
      <c r="AS133" s="1"/>
      <c r="AT133" s="1"/>
      <c r="AU133" s="220" t="s">
        <v>536</v>
      </c>
      <c r="AV133" s="66" t="s">
        <v>52</v>
      </c>
      <c r="AW133" s="9"/>
      <c r="AX133" s="220" t="s">
        <v>537</v>
      </c>
      <c r="AY133" s="66" t="s">
        <v>52</v>
      </c>
      <c r="AZ133" s="9"/>
      <c r="BA133" s="315" t="s">
        <v>538</v>
      </c>
      <c r="BB133" s="66" t="s">
        <v>52</v>
      </c>
      <c r="BC133" s="8"/>
      <c r="BD133" s="347"/>
      <c r="BE133" s="162"/>
      <c r="BF133" s="173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3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37" t="s">
        <v>539</v>
      </c>
      <c r="U134" s="155" t="s">
        <v>52</v>
      </c>
      <c r="V134" s="1"/>
      <c r="W134" s="234"/>
      <c r="X134" s="235"/>
      <c r="Y134" s="1"/>
      <c r="Z134" s="438" t="s">
        <v>540</v>
      </c>
      <c r="AA134" s="226" t="s">
        <v>52</v>
      </c>
      <c r="AB134" s="2"/>
      <c r="AC134" s="439" t="s">
        <v>541</v>
      </c>
      <c r="AD134" s="183" t="s">
        <v>52</v>
      </c>
      <c r="AE134" s="9"/>
      <c r="AF134" s="179" t="s">
        <v>4411</v>
      </c>
      <c r="AG134" s="66" t="s">
        <v>52</v>
      </c>
      <c r="AH134" s="9"/>
      <c r="AI134" s="1"/>
      <c r="AJ134" s="1"/>
      <c r="AK134" s="1"/>
      <c r="AL134" s="1"/>
      <c r="AM134" s="1"/>
      <c r="AN134" s="1"/>
      <c r="AO134" s="1"/>
      <c r="AP134" s="346"/>
      <c r="AQ134" s="1"/>
      <c r="AR134" s="1"/>
      <c r="AS134" s="1"/>
      <c r="AT134" s="1"/>
      <c r="AU134" s="220"/>
      <c r="AV134" s="75"/>
      <c r="AW134" s="9"/>
      <c r="AX134" s="342" t="s">
        <v>542</v>
      </c>
      <c r="AY134" s="66" t="s">
        <v>52</v>
      </c>
      <c r="AZ134" s="9" t="s">
        <v>168</v>
      </c>
      <c r="BA134" s="315" t="s">
        <v>543</v>
      </c>
      <c r="BB134" s="66" t="s">
        <v>52</v>
      </c>
      <c r="BC134" s="8"/>
      <c r="BD134" s="347"/>
      <c r="BE134" s="162"/>
      <c r="BF134" s="173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3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37" t="s">
        <v>544</v>
      </c>
      <c r="U135" s="155" t="s">
        <v>52</v>
      </c>
      <c r="V135" s="1"/>
      <c r="W135" s="234"/>
      <c r="X135" s="235"/>
      <c r="Y135" s="8"/>
      <c r="Z135" s="438" t="s">
        <v>545</v>
      </c>
      <c r="AA135" s="226" t="s">
        <v>52</v>
      </c>
      <c r="AB135" s="1"/>
      <c r="AC135" s="439" t="s">
        <v>546</v>
      </c>
      <c r="AD135" s="183" t="s">
        <v>52</v>
      </c>
      <c r="AE135" s="9"/>
      <c r="AF135" s="179" t="s">
        <v>4412</v>
      </c>
      <c r="AG135" s="74" t="s">
        <v>76</v>
      </c>
      <c r="AH135" s="9"/>
      <c r="AI135" s="173"/>
      <c r="AJ135" s="173"/>
      <c r="AK135" s="173"/>
      <c r="AL135" s="1"/>
      <c r="AM135" s="1"/>
      <c r="AN135" s="1"/>
      <c r="AO135" s="1"/>
      <c r="AP135" s="346"/>
      <c r="AQ135" s="1"/>
      <c r="AR135" s="1"/>
      <c r="AS135" s="1"/>
      <c r="AT135" s="1"/>
      <c r="AU135" s="179"/>
      <c r="AV135" s="75"/>
      <c r="AW135" s="9"/>
      <c r="AX135" s="314" t="s">
        <v>547</v>
      </c>
      <c r="AY135" s="444" t="s">
        <v>52</v>
      </c>
      <c r="AZ135" s="9" t="s">
        <v>548</v>
      </c>
      <c r="BA135" s="315" t="s">
        <v>549</v>
      </c>
      <c r="BB135" s="66" t="s">
        <v>52</v>
      </c>
      <c r="BC135" s="8"/>
      <c r="BD135" s="347"/>
      <c r="BE135" s="162"/>
      <c r="BF135" s="173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3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37" t="s">
        <v>550</v>
      </c>
      <c r="U136" s="174" t="s">
        <v>76</v>
      </c>
      <c r="V136" s="1"/>
      <c r="W136" s="234"/>
      <c r="X136" s="235"/>
      <c r="Y136" s="8"/>
      <c r="Z136" s="438" t="s">
        <v>551</v>
      </c>
      <c r="AA136" s="226" t="s">
        <v>52</v>
      </c>
      <c r="AB136" s="1"/>
      <c r="AC136" s="439" t="s">
        <v>552</v>
      </c>
      <c r="AD136" s="183" t="s">
        <v>52</v>
      </c>
      <c r="AE136" s="9"/>
      <c r="AF136" s="78" t="s">
        <v>4413</v>
      </c>
      <c r="AG136" s="444" t="s">
        <v>52</v>
      </c>
      <c r="AH136" s="9"/>
      <c r="AI136" s="1"/>
      <c r="AJ136" s="1"/>
      <c r="AK136" s="1"/>
      <c r="AL136" s="1"/>
      <c r="AM136" s="1"/>
      <c r="AN136" s="1"/>
      <c r="AO136" s="1"/>
      <c r="AP136" s="346"/>
      <c r="AQ136" s="1"/>
      <c r="AR136" s="1"/>
      <c r="AS136" s="1"/>
      <c r="AT136" s="1"/>
      <c r="AU136" s="179"/>
      <c r="AV136" s="75"/>
      <c r="AW136" s="9"/>
      <c r="AX136" s="445" t="s">
        <v>553</v>
      </c>
      <c r="AY136" s="142" t="s">
        <v>58</v>
      </c>
      <c r="AZ136" s="9"/>
      <c r="BA136" s="315" t="s">
        <v>554</v>
      </c>
      <c r="BB136" s="66" t="s">
        <v>52</v>
      </c>
      <c r="BC136" s="8"/>
      <c r="BD136" s="347"/>
      <c r="BE136" s="162"/>
      <c r="BF136" s="173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3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37" t="s">
        <v>555</v>
      </c>
      <c r="U137" s="174" t="s">
        <v>76</v>
      </c>
      <c r="V137" s="1"/>
      <c r="W137" s="234"/>
      <c r="X137" s="235"/>
      <c r="Y137" s="8"/>
      <c r="Z137" s="438" t="s">
        <v>556</v>
      </c>
      <c r="AA137" s="226" t="s">
        <v>52</v>
      </c>
      <c r="AB137" s="1"/>
      <c r="AC137" s="9"/>
      <c r="AD137" s="8"/>
      <c r="AE137" s="9"/>
      <c r="AF137" s="446" t="s">
        <v>4414</v>
      </c>
      <c r="AG137" s="447" t="s">
        <v>52</v>
      </c>
      <c r="AH137" s="9"/>
      <c r="AI137" s="173"/>
      <c r="AJ137" s="173"/>
      <c r="AK137" s="173"/>
      <c r="AL137" s="1"/>
      <c r="AM137" s="1"/>
      <c r="AN137" s="1"/>
      <c r="AO137" s="1"/>
      <c r="AP137" s="346"/>
      <c r="AQ137" s="1"/>
      <c r="AR137" s="1"/>
      <c r="AS137" s="1"/>
      <c r="AT137" s="1"/>
      <c r="AU137" s="166"/>
      <c r="AV137" s="406"/>
      <c r="AW137" s="9"/>
      <c r="AX137" s="445" t="s">
        <v>557</v>
      </c>
      <c r="AY137" s="66" t="s">
        <v>52</v>
      </c>
      <c r="AZ137" s="1"/>
      <c r="BA137" s="315" t="s">
        <v>558</v>
      </c>
      <c r="BB137" s="82" t="s">
        <v>48</v>
      </c>
      <c r="BC137" s="8"/>
      <c r="BD137" s="347"/>
      <c r="BE137" s="162"/>
      <c r="BF137" s="173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3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48" t="s">
        <v>559</v>
      </c>
      <c r="U138" s="449" t="s">
        <v>52</v>
      </c>
      <c r="V138" s="1"/>
      <c r="W138" s="234"/>
      <c r="X138" s="235"/>
      <c r="Y138" s="8"/>
      <c r="Z138" s="438" t="s">
        <v>4415</v>
      </c>
      <c r="AA138" s="226" t="s">
        <v>52</v>
      </c>
      <c r="AB138" s="1"/>
      <c r="AC138" s="9"/>
      <c r="AD138" s="8"/>
      <c r="AE138" s="9"/>
      <c r="AF138" s="222" t="s">
        <v>560</v>
      </c>
      <c r="AG138" s="74" t="s">
        <v>76</v>
      </c>
      <c r="AH138" s="9"/>
      <c r="AI138" s="1"/>
      <c r="AJ138" s="1"/>
      <c r="AK138" s="1"/>
      <c r="AL138" s="1"/>
      <c r="AM138" s="1"/>
      <c r="AN138" s="1"/>
      <c r="AO138" s="1"/>
      <c r="AP138" s="346"/>
      <c r="AQ138" s="1"/>
      <c r="AR138" s="1"/>
      <c r="AS138" s="1"/>
      <c r="AT138" s="1"/>
      <c r="AU138" s="241"/>
      <c r="AV138" s="417"/>
      <c r="AW138" s="9"/>
      <c r="AX138" s="220" t="s">
        <v>561</v>
      </c>
      <c r="AY138" s="440" t="s">
        <v>76</v>
      </c>
      <c r="AZ138" s="1"/>
      <c r="BA138" s="352" t="s">
        <v>562</v>
      </c>
      <c r="BB138" s="419" t="s">
        <v>52</v>
      </c>
      <c r="BC138" s="8"/>
      <c r="BD138" s="101"/>
      <c r="BE138" s="102"/>
      <c r="BF138" s="173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25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8"/>
      <c r="X139" s="8"/>
      <c r="Y139" s="8"/>
      <c r="Z139" s="450" t="s">
        <v>563</v>
      </c>
      <c r="AA139" s="226" t="s">
        <v>52</v>
      </c>
      <c r="AB139" s="8"/>
      <c r="AC139" s="9"/>
      <c r="AD139" s="8"/>
      <c r="AE139" s="8"/>
      <c r="AF139" s="451" t="s">
        <v>564</v>
      </c>
      <c r="AG139" s="419" t="s">
        <v>52</v>
      </c>
      <c r="AH139" s="8"/>
      <c r="AI139" s="173"/>
      <c r="AJ139" s="173"/>
      <c r="AK139" s="173"/>
      <c r="AL139" s="1"/>
      <c r="AM139" s="1"/>
      <c r="AN139" s="1"/>
      <c r="AO139" s="1"/>
      <c r="AP139" s="346"/>
      <c r="AQ139" s="1"/>
      <c r="AR139" s="1"/>
      <c r="AS139" s="1"/>
      <c r="AT139" s="1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25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8"/>
      <c r="X140" s="8"/>
      <c r="Y140" s="8"/>
      <c r="Z140" s="332" t="s">
        <v>4416</v>
      </c>
      <c r="AA140" s="452" t="s">
        <v>52</v>
      </c>
      <c r="AB140" s="8"/>
      <c r="AC140" s="9"/>
      <c r="AD140" s="8"/>
      <c r="AE140" s="8"/>
      <c r="AF140" s="8"/>
      <c r="AG140" s="6"/>
      <c r="AH140" s="8"/>
      <c r="AI140" s="1"/>
      <c r="AJ140" s="1"/>
      <c r="AK140" s="1"/>
      <c r="AL140" s="1"/>
      <c r="AM140" s="1"/>
      <c r="AN140" s="1"/>
      <c r="AO140" s="1"/>
      <c r="AP140" s="346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25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8"/>
      <c r="X141" s="8"/>
      <c r="Y141" s="8"/>
      <c r="Z141" s="8"/>
      <c r="AA141" s="8"/>
      <c r="AB141" s="8"/>
      <c r="AC141" s="9"/>
      <c r="AD141" s="8"/>
      <c r="AE141" s="8"/>
      <c r="AF141" s="8"/>
      <c r="AG141" s="6"/>
      <c r="AH141" s="8"/>
      <c r="AI141" s="1"/>
      <c r="AJ141" s="1"/>
      <c r="AK141" s="1"/>
      <c r="AL141" s="1"/>
      <c r="AM141" s="1"/>
      <c r="AN141" s="1"/>
      <c r="AO141" s="1"/>
      <c r="AP141" s="346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25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6"/>
      <c r="AH142" s="8"/>
      <c r="AI142" s="1"/>
      <c r="AJ142" s="1"/>
      <c r="AK142" s="1"/>
      <c r="AL142" s="1"/>
      <c r="AM142" s="1"/>
      <c r="AN142" s="1"/>
      <c r="AO142" s="1"/>
      <c r="AP142" s="346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25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6"/>
      <c r="AH143" s="8"/>
      <c r="AI143" s="1"/>
      <c r="AJ143" s="1"/>
      <c r="AK143" s="1"/>
      <c r="AL143" s="1"/>
      <c r="AM143" s="1"/>
      <c r="AN143" s="1"/>
      <c r="AO143" s="1"/>
      <c r="AP143" s="346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3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6"/>
      <c r="AH144" s="8"/>
      <c r="AI144" s="1"/>
      <c r="AJ144" s="1"/>
      <c r="AK144" s="1"/>
      <c r="AL144" s="763" t="s">
        <v>565</v>
      </c>
      <c r="AM144" s="764"/>
      <c r="AN144" s="764"/>
      <c r="AO144" s="764"/>
      <c r="AP144" s="764"/>
      <c r="AQ144" s="764"/>
      <c r="AR144" s="764"/>
      <c r="AS144" s="764"/>
      <c r="AT144" s="764"/>
      <c r="AU144" s="765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1"/>
      <c r="BH144" s="1"/>
      <c r="BI144" s="1"/>
      <c r="BJ144" s="1"/>
      <c r="BK144" s="1"/>
      <c r="BL144" s="6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6"/>
      <c r="CB144" s="8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8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30" customHeight="1">
      <c r="A145" s="1"/>
      <c r="B145" s="2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9"/>
      <c r="AD145" s="8"/>
      <c r="AE145" s="8"/>
      <c r="AF145" s="1"/>
      <c r="AG145" s="6"/>
      <c r="AH145" s="8"/>
      <c r="AI145" s="1"/>
      <c r="AJ145" s="1"/>
      <c r="AK145" s="1"/>
      <c r="AL145" s="766"/>
      <c r="AM145" s="767"/>
      <c r="AN145" s="767"/>
      <c r="AO145" s="767"/>
      <c r="AP145" s="767"/>
      <c r="AQ145" s="767"/>
      <c r="AR145" s="767"/>
      <c r="AS145" s="767"/>
      <c r="AT145" s="767"/>
      <c r="AU145" s="760"/>
      <c r="AV145" s="1"/>
      <c r="AW145" s="1"/>
      <c r="AX145" s="1"/>
      <c r="AY145" s="1"/>
      <c r="AZ145" s="1"/>
      <c r="BA145" s="8"/>
      <c r="BB145" s="8"/>
      <c r="BC145" s="8"/>
      <c r="BD145" s="8"/>
      <c r="BE145" s="8"/>
      <c r="BF145" s="8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11.25" customHeight="1">
      <c r="A146" s="1"/>
      <c r="B146" s="2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8"/>
      <c r="BB146" s="8"/>
      <c r="BC146" s="8"/>
      <c r="BD146" s="8"/>
      <c r="BE146" s="8"/>
      <c r="BF146" s="8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17.25" customHeight="1">
      <c r="A147" s="1"/>
      <c r="B147" s="2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768" t="s">
        <v>566</v>
      </c>
      <c r="AN147" s="764"/>
      <c r="AO147" s="764"/>
      <c r="AP147" s="764"/>
      <c r="AQ147" s="764"/>
      <c r="AR147" s="765"/>
      <c r="AS147" s="1"/>
      <c r="AT147" s="1"/>
      <c r="AU147" s="1"/>
      <c r="AV147" s="1"/>
      <c r="AW147" s="1"/>
      <c r="AX147" s="1"/>
      <c r="AY147" s="1"/>
      <c r="AZ147" s="1"/>
      <c r="BA147" s="8"/>
      <c r="BB147" s="8"/>
      <c r="BC147" s="8"/>
      <c r="BD147" s="8"/>
      <c r="BE147" s="8"/>
      <c r="BF147" s="8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17.25" customHeight="1">
      <c r="A148" s="1"/>
      <c r="B148" s="2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766"/>
      <c r="AN148" s="767"/>
      <c r="AO148" s="767"/>
      <c r="AP148" s="767"/>
      <c r="AQ148" s="767"/>
      <c r="AR148" s="760"/>
      <c r="AS148" s="1"/>
      <c r="AT148" s="1"/>
      <c r="AU148" s="1"/>
      <c r="AV148" s="1"/>
      <c r="AW148" s="1"/>
      <c r="AX148" s="1"/>
      <c r="AY148" s="1"/>
      <c r="AZ148" s="1"/>
      <c r="BA148" s="8"/>
      <c r="BB148" s="8"/>
      <c r="BC148" s="8"/>
      <c r="BD148" s="8"/>
      <c r="BE148" s="8"/>
      <c r="BF148" s="8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10"/>
      <c r="L149" s="453"/>
      <c r="M149" s="454"/>
      <c r="N149" s="454"/>
      <c r="O149" s="454"/>
      <c r="P149" s="454"/>
      <c r="Q149" s="454"/>
      <c r="R149" s="454"/>
      <c r="S149" s="454"/>
      <c r="T149" s="454"/>
      <c r="U149" s="454"/>
      <c r="V149" s="454"/>
      <c r="W149" s="454"/>
      <c r="X149" s="454"/>
      <c r="Y149" s="454"/>
      <c r="Z149" s="454"/>
      <c r="AA149" s="454"/>
      <c r="AB149" s="454"/>
      <c r="AC149" s="455"/>
      <c r="AD149" s="454"/>
      <c r="AE149" s="454"/>
      <c r="AF149" s="454"/>
      <c r="AG149" s="454"/>
      <c r="AH149" s="454"/>
      <c r="AI149" s="454"/>
      <c r="AJ149" s="454"/>
      <c r="AK149" s="454"/>
      <c r="AL149" s="454"/>
      <c r="AM149" s="454"/>
      <c r="AN149" s="454"/>
      <c r="AO149" s="454"/>
      <c r="AP149" s="454"/>
      <c r="AQ149" s="454"/>
      <c r="AR149" s="454"/>
      <c r="AS149" s="454"/>
      <c r="AT149" s="454"/>
      <c r="AU149" s="454"/>
      <c r="AV149" s="454"/>
      <c r="AW149" s="454"/>
      <c r="AX149" s="36"/>
      <c r="AY149" s="36"/>
      <c r="AZ149" s="37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7"/>
      <c r="BP149" s="36"/>
      <c r="BQ149" s="454"/>
      <c r="BR149" s="454"/>
      <c r="BS149" s="454"/>
      <c r="BT149" s="454"/>
      <c r="BU149" s="454"/>
      <c r="BV149" s="454"/>
      <c r="BW149" s="454"/>
      <c r="BX149" s="454"/>
      <c r="BY149" s="454"/>
      <c r="BZ149" s="454"/>
      <c r="CA149" s="454"/>
      <c r="CB149" s="454"/>
      <c r="CC149" s="454"/>
      <c r="CD149" s="36"/>
      <c r="CE149" s="36"/>
      <c r="CF149" s="36"/>
      <c r="CG149" s="37"/>
      <c r="CH149" s="36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454"/>
      <c r="K150" s="456"/>
      <c r="L150" s="454"/>
      <c r="M150" s="45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8"/>
      <c r="AY150" s="8"/>
      <c r="AZ150" s="119"/>
      <c r="BA150" s="8"/>
      <c r="BB150" s="8"/>
      <c r="BC150" s="8"/>
      <c r="BD150" s="8"/>
      <c r="BE150" s="8"/>
      <c r="BF150" s="8"/>
      <c r="BG150" s="1"/>
      <c r="BH150" s="1"/>
      <c r="BI150" s="1"/>
      <c r="BJ150" s="1"/>
      <c r="BK150" s="1"/>
      <c r="BL150" s="1"/>
      <c r="BM150" s="1"/>
      <c r="BN150" s="1"/>
      <c r="BO150" s="31"/>
      <c r="BP150" s="8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31"/>
      <c r="CH150" s="8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17.25" customHeight="1">
      <c r="A151" s="1"/>
      <c r="B151" s="2"/>
      <c r="C151" s="1"/>
      <c r="D151" s="1"/>
      <c r="E151" s="1"/>
      <c r="F151" s="1"/>
      <c r="G151" s="1"/>
      <c r="H151" s="782" t="s">
        <v>567</v>
      </c>
      <c r="I151" s="773"/>
      <c r="J151" s="773"/>
      <c r="K151" s="773"/>
      <c r="L151" s="76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87" t="s">
        <v>568</v>
      </c>
      <c r="AD151" s="788"/>
      <c r="AE151" s="788"/>
      <c r="AF151" s="789"/>
      <c r="AG151" s="1"/>
      <c r="AH151" s="1"/>
      <c r="AI151" s="173"/>
      <c r="AJ151" s="173"/>
      <c r="AK151" s="173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782" t="s">
        <v>569</v>
      </c>
      <c r="AY151" s="773"/>
      <c r="AZ151" s="773"/>
      <c r="BA151" s="762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781" t="s">
        <v>570</v>
      </c>
      <c r="BN151" s="757"/>
      <c r="BO151" s="757"/>
      <c r="BP151" s="757"/>
      <c r="BQ151" s="758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781" t="s">
        <v>571</v>
      </c>
      <c r="CF151" s="757"/>
      <c r="CG151" s="757"/>
      <c r="CH151" s="757"/>
      <c r="CI151" s="758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17.25" customHeight="1">
      <c r="A152" s="1"/>
      <c r="B152" s="2"/>
      <c r="C152" s="1"/>
      <c r="D152" s="1"/>
      <c r="E152" s="1"/>
      <c r="F152" s="1"/>
      <c r="G152" s="1"/>
      <c r="H152" s="783" t="s">
        <v>572</v>
      </c>
      <c r="I152" s="784"/>
      <c r="J152" s="784"/>
      <c r="K152" s="784"/>
      <c r="L152" s="78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90" t="s">
        <v>573</v>
      </c>
      <c r="AD152" s="791"/>
      <c r="AE152" s="791"/>
      <c r="AF152" s="770"/>
      <c r="AG152" s="1"/>
      <c r="AH152" s="1"/>
      <c r="AI152" s="173"/>
      <c r="AJ152" s="173"/>
      <c r="AK152" s="173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783" t="s">
        <v>574</v>
      </c>
      <c r="AY152" s="784"/>
      <c r="AZ152" s="784"/>
      <c r="BA152" s="785"/>
      <c r="BB152" s="1"/>
      <c r="BC152" s="1"/>
      <c r="BD152" s="403"/>
      <c r="BE152" s="1"/>
      <c r="BF152" s="1"/>
      <c r="BG152" s="1"/>
      <c r="BH152" s="1"/>
      <c r="BI152" s="1"/>
      <c r="BJ152" s="1"/>
      <c r="BK152" s="1"/>
      <c r="BL152" s="1"/>
      <c r="BM152" s="779" t="s">
        <v>575</v>
      </c>
      <c r="BN152" s="757"/>
      <c r="BO152" s="757"/>
      <c r="BP152" s="757"/>
      <c r="BQ152" s="758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779" t="s">
        <v>575</v>
      </c>
      <c r="CF152" s="757"/>
      <c r="CG152" s="757"/>
      <c r="CH152" s="757"/>
      <c r="CI152" s="758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17.25" customHeight="1">
      <c r="A153" s="1"/>
      <c r="B153" s="2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2"/>
      <c r="AG153" s="1"/>
      <c r="AH153" s="1"/>
      <c r="AI153" s="173"/>
      <c r="AJ153" s="173"/>
      <c r="AK153" s="173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457"/>
      <c r="BN153" s="457"/>
      <c r="BO153" s="264"/>
      <c r="BP153" s="457"/>
      <c r="BQ153" s="457"/>
      <c r="BR153" s="457"/>
      <c r="BS153" s="1"/>
      <c r="BT153" s="173"/>
      <c r="BU153" s="173"/>
      <c r="BV153" s="173"/>
      <c r="BW153" s="1"/>
      <c r="BX153" s="1"/>
      <c r="BY153" s="1"/>
      <c r="BZ153" s="1"/>
      <c r="CA153" s="1"/>
      <c r="CB153" s="1"/>
      <c r="CC153" s="1"/>
      <c r="CD153" s="1"/>
      <c r="CE153" s="457"/>
      <c r="CF153" s="457"/>
      <c r="CG153" s="264"/>
      <c r="CH153" s="457"/>
      <c r="CI153" s="457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9.75" customHeight="1">
      <c r="A154" s="1"/>
      <c r="B154" s="9"/>
      <c r="C154" s="35"/>
      <c r="D154" s="36"/>
      <c r="E154" s="36"/>
      <c r="F154" s="430"/>
      <c r="G154" s="36"/>
      <c r="H154" s="115"/>
      <c r="I154" s="36"/>
      <c r="J154" s="36"/>
      <c r="K154" s="115"/>
      <c r="L154" s="36"/>
      <c r="M154" s="36"/>
      <c r="N154" s="36"/>
      <c r="O154" s="280"/>
      <c r="P154" s="36"/>
      <c r="Q154" s="739"/>
      <c r="R154" s="173"/>
      <c r="S154" s="1"/>
      <c r="T154" s="1"/>
      <c r="U154" s="1"/>
      <c r="V154" s="1"/>
      <c r="W154" s="1"/>
      <c r="X154" s="1"/>
      <c r="Y154" s="1"/>
      <c r="Z154" s="1"/>
      <c r="AA154" s="35"/>
      <c r="AB154" s="36"/>
      <c r="AC154" s="280"/>
      <c r="AD154" s="280"/>
      <c r="AE154" s="280"/>
      <c r="AF154" s="431"/>
      <c r="AG154" s="115"/>
      <c r="AH154" s="115"/>
      <c r="AI154" s="115"/>
      <c r="AJ154" s="1"/>
      <c r="AK154" s="173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458"/>
      <c r="AW154" s="458"/>
      <c r="AX154" s="459"/>
      <c r="AY154" s="458"/>
      <c r="AZ154" s="458"/>
      <c r="BA154" s="459"/>
      <c r="BB154" s="1"/>
      <c r="BC154" s="1"/>
      <c r="BD154" s="403"/>
      <c r="BE154" s="1"/>
      <c r="BF154" s="1"/>
      <c r="BG154" s="1"/>
      <c r="BH154" s="1"/>
      <c r="BI154" s="1"/>
      <c r="BJ154" s="1"/>
      <c r="BK154" s="1"/>
      <c r="BL154" s="1"/>
      <c r="BM154" s="216"/>
      <c r="BN154" s="173"/>
      <c r="BO154" s="123"/>
      <c r="BP154" s="173"/>
      <c r="BQ154" s="173"/>
      <c r="BR154" s="3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216"/>
      <c r="CF154" s="173"/>
      <c r="CG154" s="123"/>
      <c r="CH154" s="173"/>
      <c r="CI154" s="173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27.75" customHeight="1">
      <c r="A155" s="1"/>
      <c r="B155" s="45" t="s">
        <v>157</v>
      </c>
      <c r="C155" s="120">
        <f>COUNTA(C156:C170)</f>
        <v>5</v>
      </c>
      <c r="D155" s="1"/>
      <c r="E155" s="45" t="s">
        <v>158</v>
      </c>
      <c r="F155" s="44">
        <f>COUNTA(F156:F172)</f>
        <v>6</v>
      </c>
      <c r="G155" s="8"/>
      <c r="H155" s="41" t="s">
        <v>159</v>
      </c>
      <c r="I155" s="44">
        <f>COUNTA(I156:I170)</f>
        <v>5</v>
      </c>
      <c r="J155" s="1"/>
      <c r="K155" s="41" t="s">
        <v>160</v>
      </c>
      <c r="L155" s="44">
        <f>COUNTA(L156:L170)</f>
        <v>7</v>
      </c>
      <c r="M155" s="1"/>
      <c r="N155" s="283" t="s">
        <v>161</v>
      </c>
      <c r="O155" s="125">
        <f>COUNTA(O156:O166)</f>
        <v>10</v>
      </c>
      <c r="P155" s="1"/>
      <c r="Q155" s="283" t="s">
        <v>455</v>
      </c>
      <c r="R155" s="125">
        <f>COUNTA(R156:R166)</f>
        <v>4</v>
      </c>
      <c r="S155" s="173"/>
      <c r="T155" s="1"/>
      <c r="U155" s="1"/>
      <c r="V155" s="1"/>
      <c r="W155" s="1"/>
      <c r="X155" s="1"/>
      <c r="Y155" s="1"/>
      <c r="Z155" s="41" t="s">
        <v>576</v>
      </c>
      <c r="AA155" s="127">
        <f>COUNTA(AA156:AA168)</f>
        <v>7</v>
      </c>
      <c r="AB155" s="1"/>
      <c r="AC155" s="41" t="s">
        <v>577</v>
      </c>
      <c r="AD155" s="44">
        <f>COUNTA(AD156:AD170)</f>
        <v>5</v>
      </c>
      <c r="AE155" s="173"/>
      <c r="AF155" s="41" t="s">
        <v>578</v>
      </c>
      <c r="AG155" s="44">
        <f>COUNTA(AG156:AG168)</f>
        <v>8</v>
      </c>
      <c r="AH155" s="1"/>
      <c r="AI155" s="41" t="s">
        <v>579</v>
      </c>
      <c r="AJ155" s="44">
        <f>COUNTA(AJ156:AJ168)</f>
        <v>9</v>
      </c>
      <c r="AK155" s="173"/>
      <c r="AL155" s="1"/>
      <c r="AM155" s="1"/>
      <c r="AN155" s="1"/>
      <c r="AO155" s="1"/>
      <c r="AP155" s="1"/>
      <c r="AQ155" s="1"/>
      <c r="AR155" s="1"/>
      <c r="AS155" s="1"/>
      <c r="AT155" s="371"/>
      <c r="AU155" s="41" t="s">
        <v>580</v>
      </c>
      <c r="AV155" s="120">
        <f>COUNTA(AV156:AV168)</f>
        <v>3</v>
      </c>
      <c r="AW155" s="1"/>
      <c r="AX155" s="41" t="s">
        <v>581</v>
      </c>
      <c r="AY155" s="44">
        <f>COUNTA(AY156:AY166)</f>
        <v>6</v>
      </c>
      <c r="AZ155" s="8"/>
      <c r="BA155" s="41" t="s">
        <v>582</v>
      </c>
      <c r="BB155" s="44">
        <f>COUNTA(BB156:BB168)</f>
        <v>9</v>
      </c>
      <c r="BC155" s="8"/>
      <c r="BD155" s="1"/>
      <c r="BE155" s="1"/>
      <c r="BF155" s="1"/>
      <c r="BG155" s="1"/>
      <c r="BH155" s="1"/>
      <c r="BI155" s="1"/>
      <c r="BJ155" s="1"/>
      <c r="BK155" s="1"/>
      <c r="BL155" s="128" t="s">
        <v>583</v>
      </c>
      <c r="BM155" s="121">
        <f>COUNTA(BM156:BM170)</f>
        <v>5</v>
      </c>
      <c r="BN155" s="173"/>
      <c r="BO155" s="128" t="s">
        <v>584</v>
      </c>
      <c r="BP155" s="121">
        <f>COUNTA(BP156:BP170)</f>
        <v>0</v>
      </c>
      <c r="BQ155" s="173"/>
      <c r="BR155" s="128" t="s">
        <v>585</v>
      </c>
      <c r="BS155" s="121">
        <f>COUNTA(BS156:BS170)</f>
        <v>0</v>
      </c>
      <c r="BT155" s="1"/>
      <c r="BU155" s="128" t="s">
        <v>586</v>
      </c>
      <c r="BV155" s="42">
        <f>COUNTA(BV156:BV167)</f>
        <v>0</v>
      </c>
      <c r="BW155" s="1"/>
      <c r="BX155" s="1"/>
      <c r="BY155" s="1"/>
      <c r="BZ155" s="1"/>
      <c r="CA155" s="1"/>
      <c r="CB155" s="1"/>
      <c r="CC155" s="1"/>
      <c r="CD155" s="128" t="s">
        <v>587</v>
      </c>
      <c r="CE155" s="121">
        <f>COUNTA(CE156:CE170)</f>
        <v>0</v>
      </c>
      <c r="CF155" s="173"/>
      <c r="CG155" s="128" t="s">
        <v>588</v>
      </c>
      <c r="CH155" s="121">
        <f>COUNTA(CH156:CH170)</f>
        <v>0</v>
      </c>
      <c r="CI155" s="173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28.5" customHeight="1">
      <c r="A156" s="1"/>
      <c r="B156" s="460" t="s">
        <v>589</v>
      </c>
      <c r="C156" s="461"/>
      <c r="D156" s="8" t="s">
        <v>49</v>
      </c>
      <c r="E156" s="460" t="s">
        <v>589</v>
      </c>
      <c r="F156" s="75"/>
      <c r="G156" s="8" t="s">
        <v>49</v>
      </c>
      <c r="H156" s="462" t="s">
        <v>278</v>
      </c>
      <c r="I156" s="155"/>
      <c r="J156" s="8" t="s">
        <v>49</v>
      </c>
      <c r="K156" s="220" t="s">
        <v>4417</v>
      </c>
      <c r="L156" s="66" t="s">
        <v>52</v>
      </c>
      <c r="M156" s="463" t="s">
        <v>49</v>
      </c>
      <c r="N156" s="464" t="s">
        <v>294</v>
      </c>
      <c r="O156" s="152"/>
      <c r="P156" s="1"/>
      <c r="Q156" s="146" t="s">
        <v>590</v>
      </c>
      <c r="R156" s="155" t="s">
        <v>52</v>
      </c>
      <c r="S156" s="292" t="s">
        <v>49</v>
      </c>
      <c r="T156" s="1"/>
      <c r="U156" s="1"/>
      <c r="V156" s="1"/>
      <c r="W156" s="1"/>
      <c r="X156" s="1"/>
      <c r="Y156" s="1"/>
      <c r="Z156" s="465" t="s">
        <v>243</v>
      </c>
      <c r="AA156" s="466"/>
      <c r="AB156" s="8"/>
      <c r="AC156" s="220" t="s">
        <v>591</v>
      </c>
      <c r="AD156" s="66" t="s">
        <v>52</v>
      </c>
      <c r="AE156" s="292" t="s">
        <v>238</v>
      </c>
      <c r="AF156" s="220" t="s">
        <v>288</v>
      </c>
      <c r="AG156" s="75"/>
      <c r="AH156" s="8"/>
      <c r="AI156" s="234" t="s">
        <v>592</v>
      </c>
      <c r="AJ156" s="67"/>
      <c r="AK156" s="292" t="s">
        <v>238</v>
      </c>
      <c r="AL156" s="1"/>
      <c r="AM156" s="1"/>
      <c r="AN156" s="1"/>
      <c r="AO156" s="1"/>
      <c r="AP156" s="1"/>
      <c r="AQ156" s="1"/>
      <c r="AR156" s="1"/>
      <c r="AS156" s="1"/>
      <c r="AT156" s="371" t="s">
        <v>49</v>
      </c>
      <c r="AU156" s="467" t="s">
        <v>71</v>
      </c>
      <c r="AV156" s="75"/>
      <c r="AW156" s="6"/>
      <c r="AX156" s="295" t="s">
        <v>57</v>
      </c>
      <c r="AY156" s="67"/>
      <c r="AZ156" s="6"/>
      <c r="BA156" s="468" t="s">
        <v>181</v>
      </c>
      <c r="BB156" s="469"/>
      <c r="BC156" s="8"/>
      <c r="BD156" s="403"/>
      <c r="BE156" s="1"/>
      <c r="BF156" s="1"/>
      <c r="BG156" s="1"/>
      <c r="BH156" s="1"/>
      <c r="BI156" s="1"/>
      <c r="BJ156" s="1"/>
      <c r="BK156" s="1"/>
      <c r="BL156" s="216" t="s">
        <v>275</v>
      </c>
      <c r="BM156" s="123"/>
      <c r="BN156" s="470" t="s">
        <v>49</v>
      </c>
      <c r="BO156" s="216" t="s">
        <v>590</v>
      </c>
      <c r="BP156" s="123"/>
      <c r="BQ156" s="470" t="s">
        <v>49</v>
      </c>
      <c r="BR156" s="216" t="s">
        <v>180</v>
      </c>
      <c r="BS156" s="123"/>
      <c r="BT156" s="1"/>
      <c r="BU156" s="154" t="s">
        <v>498</v>
      </c>
      <c r="BV156" s="269"/>
      <c r="BW156" s="1"/>
      <c r="BX156" s="1"/>
      <c r="BY156" s="1"/>
      <c r="BZ156" s="1"/>
      <c r="CA156" s="1"/>
      <c r="CB156" s="1"/>
      <c r="CC156" s="1"/>
      <c r="CD156" s="216"/>
      <c r="CE156" s="123"/>
      <c r="CF156" s="470" t="s">
        <v>49</v>
      </c>
      <c r="CG156" s="216"/>
      <c r="CH156" s="123"/>
      <c r="CI156" s="470" t="s">
        <v>49</v>
      </c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30" customHeight="1">
      <c r="A157" s="1"/>
      <c r="B157" s="471" t="s">
        <v>594</v>
      </c>
      <c r="C157" s="66" t="s">
        <v>52</v>
      </c>
      <c r="D157" s="157" t="s">
        <v>62</v>
      </c>
      <c r="E157" s="472" t="s">
        <v>4418</v>
      </c>
      <c r="F157" s="473" t="s">
        <v>52</v>
      </c>
      <c r="G157" s="157" t="s">
        <v>62</v>
      </c>
      <c r="H157" s="227" t="s">
        <v>595</v>
      </c>
      <c r="I157" s="155" t="s">
        <v>52</v>
      </c>
      <c r="J157" s="157" t="s">
        <v>62</v>
      </c>
      <c r="K157" s="220" t="s">
        <v>596</v>
      </c>
      <c r="L157" s="66" t="s">
        <v>52</v>
      </c>
      <c r="M157" s="157" t="s">
        <v>62</v>
      </c>
      <c r="N157" s="474" t="s">
        <v>597</v>
      </c>
      <c r="O157" s="176" t="s">
        <v>52</v>
      </c>
      <c r="P157" s="157" t="s">
        <v>62</v>
      </c>
      <c r="Q157" s="203" t="s">
        <v>598</v>
      </c>
      <c r="R157" s="176" t="s">
        <v>52</v>
      </c>
      <c r="S157" s="173"/>
      <c r="T157" s="1"/>
      <c r="U157" s="1"/>
      <c r="V157" s="1"/>
      <c r="W157" s="1"/>
      <c r="X157" s="1"/>
      <c r="Y157" s="1"/>
      <c r="Z157" s="317" t="s">
        <v>599</v>
      </c>
      <c r="AA157" s="183" t="s">
        <v>52</v>
      </c>
      <c r="AB157" s="157" t="s">
        <v>62</v>
      </c>
      <c r="AC157" s="220" t="s">
        <v>600</v>
      </c>
      <c r="AD157" s="475" t="s">
        <v>76</v>
      </c>
      <c r="AE157" s="173"/>
      <c r="AF157" s="476" t="s">
        <v>601</v>
      </c>
      <c r="AG157" s="66" t="s">
        <v>52</v>
      </c>
      <c r="AH157" s="9" t="s">
        <v>189</v>
      </c>
      <c r="AI157" s="181" t="s">
        <v>602</v>
      </c>
      <c r="AJ157" s="66" t="s">
        <v>52</v>
      </c>
      <c r="AK157" s="470" t="s">
        <v>62</v>
      </c>
      <c r="AL157" s="1"/>
      <c r="AM157" s="1"/>
      <c r="AN157" s="1"/>
      <c r="AO157" s="1"/>
      <c r="AP157" s="1"/>
      <c r="AQ157" s="1"/>
      <c r="AR157" s="1"/>
      <c r="AS157" s="1"/>
      <c r="AT157" s="371"/>
      <c r="AU157" s="477" t="s">
        <v>603</v>
      </c>
      <c r="AV157" s="82" t="s">
        <v>48</v>
      </c>
      <c r="AW157" s="441"/>
      <c r="AX157" s="220" t="s">
        <v>604</v>
      </c>
      <c r="AY157" s="142" t="s">
        <v>58</v>
      </c>
      <c r="AZ157" s="157" t="s">
        <v>62</v>
      </c>
      <c r="BA157" s="476" t="s">
        <v>605</v>
      </c>
      <c r="BB157" s="142" t="s">
        <v>58</v>
      </c>
      <c r="BC157" s="9"/>
      <c r="BD157" s="1"/>
      <c r="BE157" s="1"/>
      <c r="BF157" s="1"/>
      <c r="BG157" s="1"/>
      <c r="BH157" s="1"/>
      <c r="BI157" s="1"/>
      <c r="BJ157" s="1"/>
      <c r="BK157" s="1"/>
      <c r="BL157" s="740" t="s">
        <v>606</v>
      </c>
      <c r="BM157" s="183" t="s">
        <v>52</v>
      </c>
      <c r="BN157" s="173"/>
      <c r="BO157" s="741" t="s">
        <v>607</v>
      </c>
      <c r="BP157" s="123"/>
      <c r="BQ157" s="173"/>
      <c r="BR157" s="742" t="s">
        <v>608</v>
      </c>
      <c r="BS157" s="123"/>
      <c r="BT157" s="1"/>
      <c r="BU157" s="741" t="s">
        <v>609</v>
      </c>
      <c r="BV157" s="235"/>
      <c r="BW157" s="1"/>
      <c r="BX157" s="1"/>
      <c r="BY157" s="1"/>
      <c r="BZ157" s="1"/>
      <c r="CA157" s="1"/>
      <c r="CB157" s="1"/>
      <c r="CC157" s="1"/>
      <c r="CD157" s="346"/>
      <c r="CE157" s="31"/>
      <c r="CF157" s="173"/>
      <c r="CG157" s="346"/>
      <c r="CH157" s="31"/>
      <c r="CI157" s="173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30" customHeight="1">
      <c r="A158" s="1"/>
      <c r="B158" s="154" t="s">
        <v>613</v>
      </c>
      <c r="C158" s="66" t="s">
        <v>52</v>
      </c>
      <c r="D158" s="9"/>
      <c r="E158" s="154" t="s">
        <v>4419</v>
      </c>
      <c r="F158" s="66" t="s">
        <v>52</v>
      </c>
      <c r="G158" s="157" t="s">
        <v>62</v>
      </c>
      <c r="H158" s="227" t="s">
        <v>614</v>
      </c>
      <c r="I158" s="155" t="s">
        <v>52</v>
      </c>
      <c r="J158" s="2"/>
      <c r="K158" s="220" t="s">
        <v>615</v>
      </c>
      <c r="L158" s="66" t="s">
        <v>52</v>
      </c>
      <c r="M158" s="9"/>
      <c r="N158" s="203" t="s">
        <v>616</v>
      </c>
      <c r="O158" s="176" t="s">
        <v>52</v>
      </c>
      <c r="P158" s="1"/>
      <c r="Q158" s="443" t="s">
        <v>617</v>
      </c>
      <c r="R158" s="176" t="s">
        <v>52</v>
      </c>
      <c r="S158" s="173"/>
      <c r="T158" s="1"/>
      <c r="U158" s="1"/>
      <c r="V158" s="1"/>
      <c r="W158" s="1"/>
      <c r="X158" s="1"/>
      <c r="Y158" s="1"/>
      <c r="Z158" s="178" t="s">
        <v>618</v>
      </c>
      <c r="AA158" s="183" t="s">
        <v>52</v>
      </c>
      <c r="AB158" s="9"/>
      <c r="AC158" s="220" t="s">
        <v>619</v>
      </c>
      <c r="AD158" s="66" t="s">
        <v>52</v>
      </c>
      <c r="AE158" s="173"/>
      <c r="AF158" s="476" t="s">
        <v>620</v>
      </c>
      <c r="AG158" s="66" t="s">
        <v>52</v>
      </c>
      <c r="AH158" s="2" t="s">
        <v>189</v>
      </c>
      <c r="AI158" s="181" t="s">
        <v>621</v>
      </c>
      <c r="AJ158" s="66" t="s">
        <v>52</v>
      </c>
      <c r="AK158" s="173"/>
      <c r="AL158" s="1"/>
      <c r="AM158" s="1"/>
      <c r="AN158" s="1"/>
      <c r="AO158" s="1"/>
      <c r="AP158" s="1"/>
      <c r="AQ158" s="1"/>
      <c r="AR158" s="1"/>
      <c r="AS158" s="1"/>
      <c r="AT158" s="371"/>
      <c r="AU158" s="81" t="s">
        <v>93</v>
      </c>
      <c r="AV158" s="82" t="s">
        <v>48</v>
      </c>
      <c r="AW158" s="441"/>
      <c r="AX158" s="220" t="s">
        <v>623</v>
      </c>
      <c r="AY158" s="66" t="s">
        <v>52</v>
      </c>
      <c r="AZ158" s="157" t="s">
        <v>62</v>
      </c>
      <c r="BA158" s="476" t="s">
        <v>624</v>
      </c>
      <c r="BB158" s="142" t="s">
        <v>58</v>
      </c>
      <c r="BC158" s="9"/>
      <c r="BD158" s="403"/>
      <c r="BE158" s="1"/>
      <c r="BF158" s="1"/>
      <c r="BG158" s="1"/>
      <c r="BH158" s="1"/>
      <c r="BI158" s="1"/>
      <c r="BJ158" s="1"/>
      <c r="BK158" s="1"/>
      <c r="BL158" s="743" t="s">
        <v>625</v>
      </c>
      <c r="BM158" s="183" t="s">
        <v>52</v>
      </c>
      <c r="BN158" s="173"/>
      <c r="BO158" s="744" t="s">
        <v>626</v>
      </c>
      <c r="BP158" s="123"/>
      <c r="BQ158" s="173"/>
      <c r="BR158" s="745" t="s">
        <v>627</v>
      </c>
      <c r="BS158" s="123"/>
      <c r="BT158" s="1"/>
      <c r="BU158" s="744" t="s">
        <v>628</v>
      </c>
      <c r="BV158" s="235"/>
      <c r="BW158" s="1"/>
      <c r="BX158" s="1"/>
      <c r="BY158" s="1"/>
      <c r="BZ158" s="1"/>
      <c r="CA158" s="1"/>
      <c r="CB158" s="1"/>
      <c r="CC158" s="1"/>
      <c r="CD158" s="346"/>
      <c r="CE158" s="31"/>
      <c r="CF158" s="173"/>
      <c r="CG158" s="346"/>
      <c r="CH158" s="31"/>
      <c r="CI158" s="173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31.5" customHeight="1">
      <c r="A159" s="1"/>
      <c r="B159" s="243" t="s">
        <v>4420</v>
      </c>
      <c r="C159" s="66" t="s">
        <v>52</v>
      </c>
      <c r="D159" s="9"/>
      <c r="E159" s="154" t="s">
        <v>4421</v>
      </c>
      <c r="F159" s="66" t="s">
        <v>52</v>
      </c>
      <c r="G159" s="2"/>
      <c r="H159" s="197" t="s">
        <v>632</v>
      </c>
      <c r="I159" s="155" t="s">
        <v>52</v>
      </c>
      <c r="J159" s="2"/>
      <c r="K159" s="220" t="s">
        <v>633</v>
      </c>
      <c r="L159" s="66" t="s">
        <v>52</v>
      </c>
      <c r="M159" s="9"/>
      <c r="N159" s="443" t="s">
        <v>634</v>
      </c>
      <c r="O159" s="176" t="s">
        <v>52</v>
      </c>
      <c r="P159" s="1"/>
      <c r="Q159" s="443" t="s">
        <v>635</v>
      </c>
      <c r="R159" s="176" t="s">
        <v>52</v>
      </c>
      <c r="S159" s="173"/>
      <c r="T159" s="1"/>
      <c r="U159" s="1"/>
      <c r="V159" s="1"/>
      <c r="W159" s="1"/>
      <c r="X159" s="1"/>
      <c r="Y159" s="1"/>
      <c r="Z159" s="178" t="s">
        <v>636</v>
      </c>
      <c r="AA159" s="183" t="s">
        <v>52</v>
      </c>
      <c r="AB159" s="9"/>
      <c r="AC159" s="220" t="s">
        <v>637</v>
      </c>
      <c r="AD159" s="66" t="s">
        <v>52</v>
      </c>
      <c r="AE159" s="173"/>
      <c r="AF159" s="476" t="s">
        <v>638</v>
      </c>
      <c r="AG159" s="174" t="s">
        <v>76</v>
      </c>
      <c r="AH159" s="9"/>
      <c r="AI159" s="181" t="s">
        <v>639</v>
      </c>
      <c r="AJ159" s="66" t="s">
        <v>52</v>
      </c>
      <c r="AK159" s="470"/>
      <c r="AL159" s="1"/>
      <c r="AM159" s="1"/>
      <c r="AN159" s="1"/>
      <c r="AO159" s="1"/>
      <c r="AP159" s="1"/>
      <c r="AQ159" s="1"/>
      <c r="AR159" s="1"/>
      <c r="AS159" s="1"/>
      <c r="AT159" s="371"/>
      <c r="AU159" s="478" t="s">
        <v>622</v>
      </c>
      <c r="AV159" s="82" t="s">
        <v>48</v>
      </c>
      <c r="AW159" s="9"/>
      <c r="AX159" s="209" t="s">
        <v>640</v>
      </c>
      <c r="AY159" s="142" t="s">
        <v>58</v>
      </c>
      <c r="AZ159" s="9"/>
      <c r="BA159" s="476" t="s">
        <v>641</v>
      </c>
      <c r="BB159" s="142" t="s">
        <v>58</v>
      </c>
      <c r="BC159" s="9"/>
      <c r="BD159" s="1"/>
      <c r="BE159" s="1"/>
      <c r="BF159" s="1"/>
      <c r="BG159" s="1"/>
      <c r="BH159" s="1"/>
      <c r="BI159" s="1"/>
      <c r="BJ159" s="1"/>
      <c r="BK159" s="1"/>
      <c r="BL159" s="743" t="s">
        <v>642</v>
      </c>
      <c r="BM159" s="183" t="s">
        <v>52</v>
      </c>
      <c r="BN159" s="173"/>
      <c r="BO159" s="746" t="s">
        <v>643</v>
      </c>
      <c r="BP159" s="123"/>
      <c r="BQ159" s="173"/>
      <c r="BR159" s="745" t="s">
        <v>644</v>
      </c>
      <c r="BS159" s="123"/>
      <c r="BT159" s="1"/>
      <c r="BU159" s="744" t="s">
        <v>645</v>
      </c>
      <c r="BV159" s="479"/>
      <c r="BW159" s="1"/>
      <c r="BX159" s="1"/>
      <c r="BY159" s="1"/>
      <c r="BZ159" s="1"/>
      <c r="CA159" s="1"/>
      <c r="CB159" s="1"/>
      <c r="CC159" s="1"/>
      <c r="CD159" s="346"/>
      <c r="CE159" s="31"/>
      <c r="CF159" s="173"/>
      <c r="CG159" s="346"/>
      <c r="CH159" s="31"/>
      <c r="CI159" s="173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30" customHeight="1">
      <c r="A160" s="1"/>
      <c r="B160" s="480" t="s">
        <v>649</v>
      </c>
      <c r="C160" s="183" t="s">
        <v>52</v>
      </c>
      <c r="D160" s="9"/>
      <c r="E160" s="481" t="s">
        <v>650</v>
      </c>
      <c r="F160" s="66" t="s">
        <v>52</v>
      </c>
      <c r="G160" s="2"/>
      <c r="H160" s="482" t="s">
        <v>651</v>
      </c>
      <c r="I160" s="155" t="s">
        <v>52</v>
      </c>
      <c r="J160" s="2"/>
      <c r="K160" s="220" t="s">
        <v>652</v>
      </c>
      <c r="L160" s="66" t="s">
        <v>52</v>
      </c>
      <c r="M160" s="9"/>
      <c r="N160" s="203" t="s">
        <v>653</v>
      </c>
      <c r="O160" s="176" t="s">
        <v>52</v>
      </c>
      <c r="P160" s="1"/>
      <c r="Q160" s="347"/>
      <c r="R160" s="162"/>
      <c r="S160" s="173"/>
      <c r="T160" s="1"/>
      <c r="U160" s="1"/>
      <c r="V160" s="1"/>
      <c r="W160" s="1"/>
      <c r="X160" s="1"/>
      <c r="Y160" s="1"/>
      <c r="Z160" s="317" t="s">
        <v>655</v>
      </c>
      <c r="AA160" s="183" t="s">
        <v>52</v>
      </c>
      <c r="AB160" s="9"/>
      <c r="AC160" s="220" t="s">
        <v>656</v>
      </c>
      <c r="AD160" s="66" t="s">
        <v>52</v>
      </c>
      <c r="AE160" s="292" t="s">
        <v>62</v>
      </c>
      <c r="AF160" s="476" t="s">
        <v>657</v>
      </c>
      <c r="AG160" s="66" t="s">
        <v>52</v>
      </c>
      <c r="AH160" s="9"/>
      <c r="AI160" s="181" t="s">
        <v>658</v>
      </c>
      <c r="AJ160" s="66" t="s">
        <v>52</v>
      </c>
      <c r="AK160" s="292" t="s">
        <v>62</v>
      </c>
      <c r="AL160" s="1"/>
      <c r="AM160" s="1"/>
      <c r="AN160" s="1"/>
      <c r="AO160" s="1"/>
      <c r="AP160" s="1"/>
      <c r="AQ160" s="1"/>
      <c r="AR160" s="1"/>
      <c r="AS160" s="1"/>
      <c r="AT160" s="371"/>
      <c r="AU160" s="220"/>
      <c r="AV160" s="75"/>
      <c r="AW160" s="9"/>
      <c r="AX160" s="220" t="s">
        <v>659</v>
      </c>
      <c r="AY160" s="142" t="s">
        <v>58</v>
      </c>
      <c r="AZ160" s="9"/>
      <c r="BA160" s="476" t="s">
        <v>660</v>
      </c>
      <c r="BB160" s="142" t="s">
        <v>58</v>
      </c>
      <c r="BC160" s="9"/>
      <c r="BD160" s="403"/>
      <c r="BE160" s="1"/>
      <c r="BF160" s="1"/>
      <c r="BG160" s="1"/>
      <c r="BH160" s="1"/>
      <c r="BI160" s="1"/>
      <c r="BJ160" s="1"/>
      <c r="BK160" s="1"/>
      <c r="BL160" s="743" t="s">
        <v>661</v>
      </c>
      <c r="BM160" s="183" t="s">
        <v>52</v>
      </c>
      <c r="BN160" s="173"/>
      <c r="BO160" s="741" t="s">
        <v>662</v>
      </c>
      <c r="BP160" s="123"/>
      <c r="BQ160" s="173"/>
      <c r="BR160" s="742" t="s">
        <v>663</v>
      </c>
      <c r="BS160" s="123"/>
      <c r="BT160" s="1"/>
      <c r="BU160" s="744" t="s">
        <v>664</v>
      </c>
      <c r="BV160" s="235"/>
      <c r="BW160" s="1"/>
      <c r="BX160" s="1"/>
      <c r="BY160" s="1"/>
      <c r="BZ160" s="1"/>
      <c r="CA160" s="1"/>
      <c r="CB160" s="1"/>
      <c r="CC160" s="1"/>
      <c r="CD160" s="346"/>
      <c r="CE160" s="31"/>
      <c r="CF160" s="173"/>
      <c r="CG160" s="346"/>
      <c r="CH160" s="31"/>
      <c r="CI160" s="173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30" customHeight="1">
      <c r="A161" s="1"/>
      <c r="B161" s="483" t="s">
        <v>668</v>
      </c>
      <c r="C161" s="419" t="s">
        <v>52</v>
      </c>
      <c r="D161" s="9"/>
      <c r="E161" s="484" t="s">
        <v>4422</v>
      </c>
      <c r="F161" s="419" t="s">
        <v>52</v>
      </c>
      <c r="G161" s="2"/>
      <c r="H161" s="220" t="s">
        <v>669</v>
      </c>
      <c r="I161" s="66" t="s">
        <v>52</v>
      </c>
      <c r="J161" s="2"/>
      <c r="K161" s="220" t="s">
        <v>670</v>
      </c>
      <c r="L161" s="66" t="s">
        <v>52</v>
      </c>
      <c r="M161" s="9"/>
      <c r="N161" s="203" t="s">
        <v>205</v>
      </c>
      <c r="O161" s="176" t="s">
        <v>52</v>
      </c>
      <c r="P161" s="1"/>
      <c r="Q161" s="347"/>
      <c r="R161" s="162"/>
      <c r="S161" s="173"/>
      <c r="T161" s="1"/>
      <c r="U161" s="1"/>
      <c r="V161" s="1"/>
      <c r="W161" s="1"/>
      <c r="X161" s="1"/>
      <c r="Y161" s="1"/>
      <c r="Z161" s="178" t="s">
        <v>672</v>
      </c>
      <c r="AA161" s="183" t="s">
        <v>52</v>
      </c>
      <c r="AB161" s="9"/>
      <c r="AC161" s="747" t="s">
        <v>4423</v>
      </c>
      <c r="AD161" s="66"/>
      <c r="AE161" s="173"/>
      <c r="AF161" s="476" t="s">
        <v>673</v>
      </c>
      <c r="AG161" s="66" t="s">
        <v>52</v>
      </c>
      <c r="AH161" s="9"/>
      <c r="AI161" s="181" t="s">
        <v>674</v>
      </c>
      <c r="AJ161" s="66" t="s">
        <v>52</v>
      </c>
      <c r="AK161" s="173"/>
      <c r="AL161" s="1"/>
      <c r="AM161" s="1"/>
      <c r="AN161" s="1"/>
      <c r="AO161" s="1"/>
      <c r="AP161" s="1"/>
      <c r="AQ161" s="1"/>
      <c r="AR161" s="1"/>
      <c r="AS161" s="1"/>
      <c r="AT161" s="371"/>
      <c r="AU161" s="220"/>
      <c r="AV161" s="75"/>
      <c r="AW161" s="9"/>
      <c r="AX161" s="220" t="s">
        <v>675</v>
      </c>
      <c r="AY161" s="142" t="s">
        <v>58</v>
      </c>
      <c r="AZ161" s="9"/>
      <c r="BA161" s="476" t="s">
        <v>676</v>
      </c>
      <c r="BB161" s="142" t="s">
        <v>58</v>
      </c>
      <c r="BC161" s="9"/>
      <c r="BD161" s="1"/>
      <c r="BE161" s="1"/>
      <c r="BF161" s="1"/>
      <c r="BG161" s="1"/>
      <c r="BH161" s="1"/>
      <c r="BI161" s="1"/>
      <c r="BJ161" s="1"/>
      <c r="BK161" s="1"/>
      <c r="BL161" s="748" t="s">
        <v>677</v>
      </c>
      <c r="BM161" s="183" t="s">
        <v>52</v>
      </c>
      <c r="BN161" s="173"/>
      <c r="BO161" s="749" t="s">
        <v>678</v>
      </c>
      <c r="BP161" s="123"/>
      <c r="BQ161" s="173"/>
      <c r="BR161" s="745" t="s">
        <v>679</v>
      </c>
      <c r="BS161" s="123"/>
      <c r="BT161" s="1"/>
      <c r="BU161" s="749" t="s">
        <v>680</v>
      </c>
      <c r="BV161" s="235"/>
      <c r="BW161" s="1"/>
      <c r="BX161" s="1"/>
      <c r="BY161" s="1"/>
      <c r="BZ161" s="1"/>
      <c r="CA161" s="1"/>
      <c r="CB161" s="1"/>
      <c r="CC161" s="1"/>
      <c r="CD161" s="346"/>
      <c r="CE161" s="31"/>
      <c r="CF161" s="173"/>
      <c r="CG161" s="346"/>
      <c r="CH161" s="31"/>
      <c r="CI161" s="173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30" customHeight="1">
      <c r="A162" s="1"/>
      <c r="B162" s="81"/>
      <c r="C162" s="75"/>
      <c r="D162" s="157" t="s">
        <v>62</v>
      </c>
      <c r="E162" s="57" t="s">
        <v>4424</v>
      </c>
      <c r="F162" s="155" t="s">
        <v>52</v>
      </c>
      <c r="G162" s="2"/>
      <c r="H162" s="220"/>
      <c r="I162" s="75"/>
      <c r="J162" s="2"/>
      <c r="K162" s="220" t="s">
        <v>684</v>
      </c>
      <c r="L162" s="66" t="s">
        <v>52</v>
      </c>
      <c r="M162" s="9"/>
      <c r="N162" s="203" t="s">
        <v>685</v>
      </c>
      <c r="O162" s="176" t="s">
        <v>52</v>
      </c>
      <c r="P162" s="1"/>
      <c r="Q162" s="347"/>
      <c r="R162" s="162"/>
      <c r="S162" s="173"/>
      <c r="T162" s="1"/>
      <c r="U162" s="1"/>
      <c r="V162" s="1"/>
      <c r="W162" s="1"/>
      <c r="X162" s="1"/>
      <c r="Y162" s="1"/>
      <c r="Z162" s="317" t="s">
        <v>687</v>
      </c>
      <c r="AA162" s="485" t="s">
        <v>52</v>
      </c>
      <c r="AB162" s="9"/>
      <c r="AC162" s="234"/>
      <c r="AD162" s="235"/>
      <c r="AE162" s="173"/>
      <c r="AF162" s="476" t="s">
        <v>688</v>
      </c>
      <c r="AG162" s="66" t="s">
        <v>52</v>
      </c>
      <c r="AH162" s="9"/>
      <c r="AI162" s="181" t="s">
        <v>689</v>
      </c>
      <c r="AJ162" s="66" t="s">
        <v>52</v>
      </c>
      <c r="AK162" s="173"/>
      <c r="AL162" s="1"/>
      <c r="AM162" s="1"/>
      <c r="AN162" s="1"/>
      <c r="AO162" s="1"/>
      <c r="AP162" s="1"/>
      <c r="AQ162" s="1"/>
      <c r="AR162" s="1"/>
      <c r="AS162" s="1"/>
      <c r="AT162" s="371"/>
      <c r="AU162" s="220"/>
      <c r="AV162" s="340"/>
      <c r="AW162" s="9"/>
      <c r="AX162" s="220" t="s">
        <v>690</v>
      </c>
      <c r="AY162" s="66" t="s">
        <v>52</v>
      </c>
      <c r="AZ162" s="9"/>
      <c r="BA162" s="209" t="s">
        <v>691</v>
      </c>
      <c r="BB162" s="74" t="s">
        <v>76</v>
      </c>
      <c r="BC162" s="9"/>
      <c r="BD162" s="403"/>
      <c r="BE162" s="1"/>
      <c r="BF162" s="1"/>
      <c r="BG162" s="1"/>
      <c r="BH162" s="1"/>
      <c r="BI162" s="1"/>
      <c r="BJ162" s="1"/>
      <c r="BK162" s="1"/>
      <c r="BL162" s="1"/>
      <c r="BM162" s="1"/>
      <c r="BN162" s="9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346"/>
      <c r="CE162" s="31"/>
      <c r="CF162" s="1"/>
      <c r="CG162" s="346"/>
      <c r="CH162" s="3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30" customHeight="1">
      <c r="A163" s="1"/>
      <c r="B163" s="81"/>
      <c r="C163" s="75"/>
      <c r="D163" s="1" t="s">
        <v>62</v>
      </c>
      <c r="E163" s="81"/>
      <c r="F163" s="75"/>
      <c r="G163" s="2"/>
      <c r="H163" s="81"/>
      <c r="I163" s="75"/>
      <c r="J163" s="2"/>
      <c r="K163" s="81"/>
      <c r="L163" s="75"/>
      <c r="M163" s="9"/>
      <c r="N163" s="203" t="s">
        <v>694</v>
      </c>
      <c r="O163" s="176" t="s">
        <v>52</v>
      </c>
      <c r="P163" s="1"/>
      <c r="Q163" s="347"/>
      <c r="R163" s="162"/>
      <c r="S163" s="173"/>
      <c r="T163" s="1"/>
      <c r="U163" s="1"/>
      <c r="V163" s="1"/>
      <c r="W163" s="1"/>
      <c r="X163" s="1"/>
      <c r="Y163" s="1"/>
      <c r="Z163" s="486" t="s">
        <v>695</v>
      </c>
      <c r="AA163" s="485" t="s">
        <v>52</v>
      </c>
      <c r="AB163" s="9"/>
      <c r="AC163" s="487"/>
      <c r="AD163" s="479"/>
      <c r="AE163" s="173"/>
      <c r="AF163" s="488" t="s">
        <v>696</v>
      </c>
      <c r="AG163" s="66" t="s">
        <v>52</v>
      </c>
      <c r="AH163" s="9"/>
      <c r="AI163" s="489" t="s">
        <v>697</v>
      </c>
      <c r="AJ163" s="66" t="s">
        <v>52</v>
      </c>
      <c r="AK163" s="173"/>
      <c r="AL163" s="1"/>
      <c r="AM163" s="1"/>
      <c r="AN163" s="1"/>
      <c r="AO163" s="1"/>
      <c r="AP163" s="1"/>
      <c r="AQ163" s="1"/>
      <c r="AR163" s="1"/>
      <c r="AS163" s="1"/>
      <c r="AT163" s="371"/>
      <c r="AU163" s="220"/>
      <c r="AV163" s="340"/>
      <c r="AW163" s="9"/>
      <c r="AX163" s="209"/>
      <c r="AY163" s="56"/>
      <c r="AZ163" s="9"/>
      <c r="BA163" s="209" t="s">
        <v>699</v>
      </c>
      <c r="BB163" s="142" t="s">
        <v>58</v>
      </c>
      <c r="BC163" s="9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9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346"/>
      <c r="CE163" s="31"/>
      <c r="CF163" s="1"/>
      <c r="CG163" s="346"/>
      <c r="CH163" s="3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30" customHeight="1">
      <c r="A164" s="1"/>
      <c r="B164" s="490"/>
      <c r="C164" s="491"/>
      <c r="D164" s="1"/>
      <c r="E164" s="81"/>
      <c r="F164" s="75"/>
      <c r="G164" s="2"/>
      <c r="H164" s="81"/>
      <c r="I164" s="75"/>
      <c r="J164" s="2"/>
      <c r="K164" s="81"/>
      <c r="L164" s="75"/>
      <c r="M164" s="9"/>
      <c r="N164" s="203" t="s">
        <v>700</v>
      </c>
      <c r="O164" s="176" t="s">
        <v>52</v>
      </c>
      <c r="P164" s="1"/>
      <c r="Q164" s="347"/>
      <c r="R164" s="162"/>
      <c r="S164" s="173"/>
      <c r="T164" s="1"/>
      <c r="U164" s="1"/>
      <c r="V164" s="1"/>
      <c r="W164" s="1"/>
      <c r="X164" s="1"/>
      <c r="Y164" s="1"/>
      <c r="Z164" s="234"/>
      <c r="AA164" s="235"/>
      <c r="AB164" s="9"/>
      <c r="AC164" s="487"/>
      <c r="AD164" s="479"/>
      <c r="AE164" s="173"/>
      <c r="AF164" s="476" t="s">
        <v>702</v>
      </c>
      <c r="AG164" s="66" t="s">
        <v>52</v>
      </c>
      <c r="AH164" s="9"/>
      <c r="AI164" s="489" t="s">
        <v>703</v>
      </c>
      <c r="AJ164" s="66" t="s">
        <v>52</v>
      </c>
      <c r="AK164" s="173"/>
      <c r="AL164" s="1"/>
      <c r="AM164" s="1"/>
      <c r="AN164" s="1"/>
      <c r="AO164" s="1"/>
      <c r="AP164" s="1"/>
      <c r="AQ164" s="1"/>
      <c r="AR164" s="1"/>
      <c r="AS164" s="1"/>
      <c r="AT164" s="371"/>
      <c r="AU164" s="492"/>
      <c r="AV164" s="493"/>
      <c r="AW164" s="9"/>
      <c r="AX164" s="750"/>
      <c r="AY164" s="751"/>
      <c r="AZ164" s="9"/>
      <c r="BA164" s="494" t="s">
        <v>704</v>
      </c>
      <c r="BB164" s="74" t="s">
        <v>76</v>
      </c>
      <c r="BC164" s="9"/>
      <c r="BD164" s="403"/>
      <c r="BE164" s="1"/>
      <c r="BF164" s="1"/>
      <c r="BG164" s="1"/>
      <c r="BH164" s="1"/>
      <c r="BI164" s="1"/>
      <c r="BJ164" s="1"/>
      <c r="BK164" s="1"/>
      <c r="BL164" s="1"/>
      <c r="BM164" s="1"/>
      <c r="BN164" s="9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346"/>
      <c r="CE164" s="31"/>
      <c r="CF164" s="1"/>
      <c r="CG164" s="346"/>
      <c r="CH164" s="3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30" customHeight="1">
      <c r="A165" s="1"/>
      <c r="B165" s="2"/>
      <c r="C165" s="1"/>
      <c r="D165" s="9"/>
      <c r="E165" s="492"/>
      <c r="F165" s="333"/>
      <c r="G165" s="2"/>
      <c r="H165" s="490"/>
      <c r="I165" s="491"/>
      <c r="J165" s="2"/>
      <c r="K165" s="490"/>
      <c r="L165" s="491"/>
      <c r="M165" s="9"/>
      <c r="N165" s="203" t="s">
        <v>705</v>
      </c>
      <c r="O165" s="176" t="s">
        <v>52</v>
      </c>
      <c r="P165" s="1"/>
      <c r="Q165" s="490"/>
      <c r="R165" s="491"/>
      <c r="S165" s="173"/>
      <c r="T165" s="1"/>
      <c r="U165" s="1"/>
      <c r="V165" s="1"/>
      <c r="W165" s="1"/>
      <c r="X165" s="1"/>
      <c r="Y165" s="1"/>
      <c r="Z165" s="487"/>
      <c r="AA165" s="479"/>
      <c r="AB165" s="1"/>
      <c r="AC165" s="487"/>
      <c r="AD165" s="479"/>
      <c r="AE165" s="173"/>
      <c r="AF165" s="495" t="s">
        <v>707</v>
      </c>
      <c r="AG165" s="66"/>
      <c r="AH165" s="9"/>
      <c r="AI165" s="489" t="s">
        <v>708</v>
      </c>
      <c r="AJ165" s="66" t="s">
        <v>52</v>
      </c>
      <c r="AK165" s="173"/>
      <c r="AL165" s="1"/>
      <c r="AM165" s="1"/>
      <c r="AN165" s="1"/>
      <c r="AO165" s="1"/>
      <c r="AP165" s="1"/>
      <c r="AQ165" s="1"/>
      <c r="AR165" s="1"/>
      <c r="AS165" s="1"/>
      <c r="AT165" s="371"/>
      <c r="AU165" s="1"/>
      <c r="AV165" s="1"/>
      <c r="AW165" s="1"/>
      <c r="AX165" s="1"/>
      <c r="AY165" s="1"/>
      <c r="AZ165" s="1"/>
      <c r="BA165" s="496" t="s">
        <v>709</v>
      </c>
      <c r="BB165" s="497" t="s">
        <v>58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9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346"/>
      <c r="CE165" s="31"/>
      <c r="CF165" s="1"/>
      <c r="CG165" s="346"/>
      <c r="CH165" s="3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3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98" t="s">
        <v>710</v>
      </c>
      <c r="O166" s="499" t="s">
        <v>52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354"/>
      <c r="AA166" s="355"/>
      <c r="AB166" s="1"/>
      <c r="AC166" s="363"/>
      <c r="AD166" s="362"/>
      <c r="AE166" s="292"/>
      <c r="AF166" s="495" t="s">
        <v>711</v>
      </c>
      <c r="AG166" s="419"/>
      <c r="AH166" s="9"/>
      <c r="AI166" s="492"/>
      <c r="AJ166" s="333"/>
      <c r="AK166" s="292"/>
      <c r="AL166" s="1"/>
      <c r="AM166" s="1"/>
      <c r="AN166" s="1"/>
      <c r="AO166" s="1"/>
      <c r="AP166" s="1"/>
      <c r="AQ166" s="1"/>
      <c r="AR166" s="1"/>
      <c r="AS166" s="1"/>
      <c r="AT166" s="371"/>
      <c r="AU166" s="1"/>
      <c r="AV166" s="1"/>
      <c r="AW166" s="1"/>
      <c r="AX166" s="500"/>
      <c r="AY166" s="500"/>
      <c r="AZ166" s="500"/>
      <c r="BA166" s="500"/>
      <c r="BB166" s="500"/>
      <c r="BC166" s="500"/>
      <c r="BD166" s="500"/>
      <c r="BE166" s="1"/>
      <c r="BF166" s="1"/>
      <c r="BG166" s="1"/>
      <c r="BH166" s="1"/>
      <c r="BI166" s="1"/>
      <c r="BJ166" s="1"/>
      <c r="BK166" s="1"/>
      <c r="BL166" s="1"/>
      <c r="BM166" s="1"/>
      <c r="BN166" s="9"/>
      <c r="BO166" s="1"/>
      <c r="BP166" s="1"/>
      <c r="BQ166" s="1"/>
      <c r="BR166" s="1"/>
      <c r="BS166" s="1"/>
      <c r="BT166" s="371"/>
      <c r="BU166" s="1"/>
      <c r="BV166" s="1"/>
      <c r="BW166" s="1"/>
      <c r="BX166" s="1"/>
      <c r="BY166" s="1"/>
      <c r="BZ166" s="1"/>
      <c r="CA166" s="1"/>
      <c r="CB166" s="1"/>
      <c r="CC166" s="1"/>
      <c r="CD166" s="354"/>
      <c r="CE166" s="355"/>
      <c r="CF166" s="1"/>
      <c r="CG166" s="354"/>
      <c r="CH166" s="355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25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80"/>
      <c r="O167" s="280"/>
      <c r="P167" s="1"/>
      <c r="Q167" s="173"/>
      <c r="R167" s="173"/>
      <c r="S167" s="173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9"/>
      <c r="AF167" s="2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37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25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712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713</v>
      </c>
      <c r="AA168" s="1"/>
      <c r="AB168" s="1"/>
      <c r="AC168" s="1" t="s">
        <v>714</v>
      </c>
      <c r="AD168" s="1"/>
      <c r="AE168" s="9"/>
      <c r="AF168" s="2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37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9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9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9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9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9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9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9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9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9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9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9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9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9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9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9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9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9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9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9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9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9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9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9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9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9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9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9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9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9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9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9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9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9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9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9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9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9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9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9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9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9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9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9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9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9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9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9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9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9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9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9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9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9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9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9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9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9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9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9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9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9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9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9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9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9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9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9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9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9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9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9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9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9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9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9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9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9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9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9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9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9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9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9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50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9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9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9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9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9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9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9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9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9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9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9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9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9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9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9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9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9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9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9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9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9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9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9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9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9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9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9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9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9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9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9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9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9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9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9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9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9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9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9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9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9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9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9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9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9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9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9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9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9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9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9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9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9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9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9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9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9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9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9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9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9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9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9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9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9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9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9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9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9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9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9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9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9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9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9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9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9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9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9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9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9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9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9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9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9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9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9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9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9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9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9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9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9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</sheetData>
  <mergeCells count="85">
    <mergeCell ref="BR49:BW49"/>
    <mergeCell ref="AX52:AZ52"/>
    <mergeCell ref="CA52:CC52"/>
    <mergeCell ref="AX53:AZ53"/>
    <mergeCell ref="CA53:CC53"/>
    <mergeCell ref="BM52:BO52"/>
    <mergeCell ref="BM53:BO53"/>
    <mergeCell ref="BS76:BU76"/>
    <mergeCell ref="AX77:AZ77"/>
    <mergeCell ref="BS77:BU77"/>
    <mergeCell ref="AE10:AF10"/>
    <mergeCell ref="AG10:AH10"/>
    <mergeCell ref="AD14:AE14"/>
    <mergeCell ref="AG14:AH14"/>
    <mergeCell ref="AD15:AE15"/>
    <mergeCell ref="AG15:AH15"/>
    <mergeCell ref="AG16:AH16"/>
    <mergeCell ref="AD16:AE16"/>
    <mergeCell ref="AP16:AR16"/>
    <mergeCell ref="AS16:AT16"/>
    <mergeCell ref="AV16:AW16"/>
    <mergeCell ref="AV17:AW17"/>
    <mergeCell ref="BR47:BW48"/>
    <mergeCell ref="AE8:AF8"/>
    <mergeCell ref="AG8:AH8"/>
    <mergeCell ref="AP8:AR8"/>
    <mergeCell ref="AS8:AT8"/>
    <mergeCell ref="AG9:AH9"/>
    <mergeCell ref="AP9:AR9"/>
    <mergeCell ref="AS9:AT9"/>
    <mergeCell ref="AE9:AF9"/>
    <mergeCell ref="AH2:AR3"/>
    <mergeCell ref="AV4:AW4"/>
    <mergeCell ref="AX4:AY4"/>
    <mergeCell ref="AJ6:AN6"/>
    <mergeCell ref="AE7:AG7"/>
    <mergeCell ref="AK7:AN7"/>
    <mergeCell ref="AP7:AS7"/>
    <mergeCell ref="E76:H76"/>
    <mergeCell ref="E77:H77"/>
    <mergeCell ref="AC151:AF151"/>
    <mergeCell ref="AC152:AF152"/>
    <mergeCell ref="Z76:AC76"/>
    <mergeCell ref="Z77:AC77"/>
    <mergeCell ref="W102:AB103"/>
    <mergeCell ref="W105:AB105"/>
    <mergeCell ref="W124:AB124"/>
    <mergeCell ref="H151:L151"/>
    <mergeCell ref="H152:L152"/>
    <mergeCell ref="E52:H52"/>
    <mergeCell ref="AA52:AF52"/>
    <mergeCell ref="E53:H53"/>
    <mergeCell ref="AD17:AE17"/>
    <mergeCell ref="AG17:AH17"/>
    <mergeCell ref="AD18:AE18"/>
    <mergeCell ref="AG18:AH18"/>
    <mergeCell ref="AG23:AR24"/>
    <mergeCell ref="AJ26:AO26"/>
    <mergeCell ref="AJ27:AO27"/>
    <mergeCell ref="AL46:AU46"/>
    <mergeCell ref="BM152:BQ152"/>
    <mergeCell ref="CE152:CI152"/>
    <mergeCell ref="AY102:BD103"/>
    <mergeCell ref="BA105:BD105"/>
    <mergeCell ref="AV124:BA124"/>
    <mergeCell ref="BM151:BQ151"/>
    <mergeCell ref="CE151:CI151"/>
    <mergeCell ref="AX151:BA151"/>
    <mergeCell ref="AX152:BA152"/>
    <mergeCell ref="AL144:AU145"/>
    <mergeCell ref="AM147:AR148"/>
    <mergeCell ref="AY16:AZ16"/>
    <mergeCell ref="AV14:AW14"/>
    <mergeCell ref="AY14:AZ14"/>
    <mergeCell ref="AP14:AR14"/>
    <mergeCell ref="AP15:AR15"/>
    <mergeCell ref="AS15:AT15"/>
    <mergeCell ref="AV15:AW15"/>
    <mergeCell ref="AY15:AZ15"/>
    <mergeCell ref="AX76:AZ76"/>
    <mergeCell ref="AP10:AR10"/>
    <mergeCell ref="AS10:AT10"/>
    <mergeCell ref="AP11:AR11"/>
    <mergeCell ref="AS11:AT11"/>
    <mergeCell ref="AS14:AT14"/>
  </mergeCells>
  <phoneticPr fontId="139" type="noConversion"/>
  <conditionalFormatting sqref="N157:N161">
    <cfRule type="expression" dxfId="75" priority="55">
      <formula>(#REF!="출결제외")</formula>
    </cfRule>
  </conditionalFormatting>
  <conditionalFormatting sqref="T129:T130 T1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T129:T131 T136">
    <cfRule type="colorScale" priority="31">
      <colorScale>
        <cfvo type="min"/>
        <cfvo type="max"/>
        <color rgb="FFFFFFFF"/>
        <color rgb="FF57BB8A"/>
      </colorScale>
    </cfRule>
  </conditionalFormatting>
  <conditionalFormatting sqref="T129:T131 T136:T137">
    <cfRule type="colorScale" priority="26">
      <colorScale>
        <cfvo type="min"/>
        <cfvo type="max"/>
        <color rgb="FFFFFFFF"/>
        <color rgb="FF57BB8A"/>
      </colorScale>
    </cfRule>
  </conditionalFormatting>
  <conditionalFormatting sqref="T129:T131">
    <cfRule type="expression" dxfId="74" priority="24">
      <formula>(#REF!="출결제외")</formula>
    </cfRule>
    <cfRule type="colorScale" priority="29">
      <colorScale>
        <cfvo type="min"/>
        <cfvo type="max"/>
        <color rgb="FFFFFFFF"/>
        <color rgb="FF57BB8A"/>
      </colorScale>
    </cfRule>
    <cfRule type="colorScale" priority="32">
      <colorScale>
        <cfvo type="min"/>
        <cfvo type="max"/>
        <color rgb="FFFFFFFF"/>
        <color rgb="FF57BB8A"/>
      </colorScale>
    </cfRule>
    <cfRule type="expression" dxfId="73" priority="33">
      <formula>($S129="출결제외")</formula>
    </cfRule>
  </conditionalFormatting>
  <conditionalFormatting sqref="T131">
    <cfRule type="expression" dxfId="72" priority="28">
      <formula>($S131="출결제외")</formula>
    </cfRule>
  </conditionalFormatting>
  <conditionalFormatting sqref="T137">
    <cfRule type="colorScale" priority="27">
      <colorScale>
        <cfvo type="min"/>
        <cfvo type="max"/>
        <color rgb="FFFFFFFF"/>
        <color rgb="FF57BB8A"/>
      </colorScale>
    </cfRule>
  </conditionalFormatting>
  <conditionalFormatting sqref="W57 W60:W67 BO155 BR155 BU155">
    <cfRule type="expression" dxfId="71" priority="1">
      <formula>$Z57="중복"</formula>
    </cfRule>
    <cfRule type="expression" dxfId="70" priority="3">
      <formula>$Z57="출결제외"</formula>
    </cfRule>
  </conditionalFormatting>
  <conditionalFormatting sqref="W57 W60:W67">
    <cfRule type="containsText" dxfId="69" priority="2" operator="containsText" text="출결제외">
      <formula>NOT(ISERROR(SEARCH(("출결제외"),(W57))))</formula>
    </cfRule>
  </conditionalFormatting>
  <conditionalFormatting sqref="Z129 W129 AC130 AF129:AF131">
    <cfRule type="colorScale" priority="43">
      <colorScale>
        <cfvo type="min"/>
        <cfvo type="max"/>
        <color rgb="FFFFFFFF"/>
        <color rgb="FF57BB8A"/>
      </colorScale>
    </cfRule>
  </conditionalFormatting>
  <conditionalFormatting sqref="W129:W130 Z129:Z130 Z132 AC130:AC131 AF129:AF131">
    <cfRule type="colorScale" priority="44">
      <colorScale>
        <cfvo type="min"/>
        <cfvo type="max"/>
        <color rgb="FFFFFFFF"/>
        <color rgb="FF57BB8A"/>
      </colorScale>
    </cfRule>
  </conditionalFormatting>
  <conditionalFormatting sqref="W130:W131 Z130 Z132:Z133 AC130:AC132 AF130:AF132">
    <cfRule type="colorScale" priority="45">
      <colorScale>
        <cfvo type="min"/>
        <cfvo type="max"/>
        <color rgb="FFFFFFFF"/>
        <color rgb="FF57BB8A"/>
      </colorScale>
    </cfRule>
  </conditionalFormatting>
  <conditionalFormatting sqref="W130:W131">
    <cfRule type="expression" dxfId="68" priority="46">
      <formula>($S130="출결제외")</formula>
    </cfRule>
  </conditionalFormatting>
  <conditionalFormatting sqref="W131:W132 Z130 Z132:Z134 AC131:AC133 AF131:AF133">
    <cfRule type="colorScale" priority="39">
      <colorScale>
        <cfvo type="min"/>
        <cfvo type="max"/>
        <color rgb="FFFFFFFF"/>
        <color rgb="FF57BB8A"/>
      </colorScale>
    </cfRule>
  </conditionalFormatting>
  <conditionalFormatting sqref="W131:W132">
    <cfRule type="colorScale" priority="42">
      <colorScale>
        <cfvo type="min"/>
        <cfvo type="max"/>
        <color rgb="FFFFFFFF"/>
        <color rgb="FF57BB8A"/>
      </colorScale>
    </cfRule>
  </conditionalFormatting>
  <conditionalFormatting sqref="W132:W133">
    <cfRule type="expression" dxfId="67" priority="41">
      <formula>($S132="출결제외")</formula>
    </cfRule>
  </conditionalFormatting>
  <conditionalFormatting sqref="Z132:Z134 W132 AC132:AC133 AF132:AF133">
    <cfRule type="colorScale" priority="40">
      <colorScale>
        <cfvo type="min"/>
        <cfvo type="max"/>
        <color rgb="FFFFFFFF"/>
        <color rgb="FF57BB8A"/>
      </colorScale>
    </cfRule>
  </conditionalFormatting>
  <conditionalFormatting sqref="Z156:Z161 AC156:AC164 AI157:AI160 K157:K161 AF157:AF161 AX158">
    <cfRule type="expression" dxfId="66" priority="20">
      <formula>(#REF!="출결제외")</formula>
    </cfRule>
  </conditionalFormatting>
  <conditionalFormatting sqref="AC84:AC85 AI86 BO68:BO69 BR60:BR61 BR66 BR84:BR86 BU60:BU61 BU67 BU84:BU85 BX60:BX61 BX84:BX85 CA60:CA61 CA63:CA69 CA84:CA85 CA87:CA93 CD60:CD61 CD63:CD69 CG60:CG61 CG68:CG69">
    <cfRule type="colorScale" priority="12">
      <colorScale>
        <cfvo type="min"/>
        <cfvo type="max"/>
        <color rgb="FFFFFFFF"/>
        <color rgb="FF57BB8A"/>
      </colorScale>
    </cfRule>
  </conditionalFormatting>
  <conditionalFormatting sqref="AC128:AC136">
    <cfRule type="expression" dxfId="65" priority="34">
      <formula>$Z128="중복"</formula>
    </cfRule>
    <cfRule type="containsText" dxfId="64" priority="35" operator="containsText" text="출결제외">
      <formula>NOT(ISERROR(SEARCH(("출결제외"),(AC128))))</formula>
    </cfRule>
    <cfRule type="expression" dxfId="63" priority="36">
      <formula>$Z128="출결제외"</formula>
    </cfRule>
  </conditionalFormatting>
  <conditionalFormatting sqref="AC130:AC133 W129:W132">
    <cfRule type="expression" dxfId="62" priority="37">
      <formula>(#REF!="출결제외")</formula>
    </cfRule>
  </conditionalFormatting>
  <conditionalFormatting sqref="AU132:AU133">
    <cfRule type="expression" dxfId="61" priority="53">
      <formula>(#REF!="출결제외")</formula>
    </cfRule>
  </conditionalFormatting>
  <conditionalFormatting sqref="AX136 BA136">
    <cfRule type="colorScale" priority="54">
      <colorScale>
        <cfvo type="min"/>
        <cfvo type="max"/>
        <color rgb="FFFFFFFF"/>
        <color rgb="FF57BB8A"/>
      </colorScale>
    </cfRule>
  </conditionalFormatting>
  <conditionalFormatting sqref="AX160:AX161 Z164 AF164">
    <cfRule type="expression" dxfId="60" priority="23">
      <formula>(#REF!="출결제외")</formula>
    </cfRule>
  </conditionalFormatting>
  <conditionalFormatting sqref="BA58:BA62 BD58:BD62 BU59:BU61 BX59:BX61 BL59:BL62 BO59:BO62 CA59:CA62 CD59:CD62 CG59:CG62 BL64 BO64 CA64 CD64 CG64 BU66 BL81:BL84 AC82:AC86 AF82:AF86 Z83 BU83:BU85 BX83:BX85 BO83:BO86 CA83:CA86 W83:W89 Z85:Z91 AI86 BO88 CA88 BR95:BR96 BO98">
    <cfRule type="expression" dxfId="59" priority="4">
      <formula>(#REF!="출결제외")</formula>
    </cfRule>
  </conditionalFormatting>
  <conditionalFormatting sqref="BD110 BG110 AU116 AX116 BA116 BD116 BG116">
    <cfRule type="expression" dxfId="58" priority="48">
      <formula>(#REF!="출결제외")</formula>
    </cfRule>
  </conditionalFormatting>
  <conditionalFormatting sqref="BD112">
    <cfRule type="expression" dxfId="57" priority="49">
      <formula>(#REF!="출결제외")</formula>
    </cfRule>
  </conditionalFormatting>
  <conditionalFormatting sqref="BD129:BD132 AU130">
    <cfRule type="expression" dxfId="56" priority="50">
      <formula>(#REF!="출결제외")</formula>
    </cfRule>
  </conditionalFormatting>
  <conditionalFormatting sqref="BG112">
    <cfRule type="expression" dxfId="55" priority="47">
      <formula>(#REF!="출결제외")</formula>
    </cfRule>
  </conditionalFormatting>
  <conditionalFormatting sqref="BL59:BL60 BO59:BO60 BR60:BR61 BU60:BU61 BX60:BX61 CA60:CA61 CD60:CD61 CG60:CG61 BL62:BL68 CA63:CA69 CD63:CD69 BO64 BO66:BO69 BR66 BU67 CG68:CG69 BL81:BL84 BO83:BO84 BR83:BR86 AC84:AC85 BU84:BU85 BX84:BX85 CA84:CA85 AI86 CA87:CA93 BO88 BR89:BR90 BU89:BU91 BO90:BO92 BR95 BO98">
    <cfRule type="colorScale" priority="9">
      <colorScale>
        <cfvo type="min"/>
        <cfvo type="max"/>
        <color rgb="FFFFFFFF"/>
        <color rgb="FF57BB8A"/>
      </colorScale>
    </cfRule>
  </conditionalFormatting>
  <conditionalFormatting sqref="BL155 BO155 BR155 BU155">
    <cfRule type="containsText" dxfId="54" priority="18" operator="containsText" text="출결제외">
      <formula>NOT(ISERROR(SEARCH(("출결제외"),(BL155))))</formula>
    </cfRule>
  </conditionalFormatting>
  <conditionalFormatting sqref="BL155">
    <cfRule type="expression" dxfId="53" priority="17">
      <formula>$Z155="중복"</formula>
    </cfRule>
    <cfRule type="expression" dxfId="52" priority="19">
      <formula>$Z155="출결제외"</formula>
    </cfRule>
  </conditionalFormatting>
  <conditionalFormatting sqref="BO68:BO69 AU82:AU86 AX83:AX86 BA83:BA86 AC88:AC89 AF88:AF89 AI89">
    <cfRule type="expression" dxfId="51" priority="7">
      <formula>(#REF!="출결제외")</formula>
    </cfRule>
  </conditionalFormatting>
  <conditionalFormatting sqref="AC85 BO69 BR60:BR61 BR84:BR86 BU60:BU61 BU84:BU85 BX60:BX61 BX84:BX85 CA60:CA61 CA64:CA67 CA69 CA84:CA85 CA88:CA91 CA93 CD60:CD61 CD64:CD67 CD69 CG61 CG69">
    <cfRule type="colorScale" priority="10">
      <colorScale>
        <cfvo type="min"/>
        <cfvo type="max"/>
        <color rgb="FFFFFFFF"/>
        <color rgb="FF57BB8A"/>
      </colorScale>
    </cfRule>
  </conditionalFormatting>
  <conditionalFormatting sqref="BR58:BR59 BU58:BU59 BX58:BX59 CA58:CA59 CD58:CD59 CG58:CG59 CA61:CA67 CD61:CD67 BR64:BR66 BU64 CG64:CG67 BO66:BO67 BU66:BU67 AC82:AC83 BR82:BR84 BU82:BU83 BX82:BX83 CA82:CA83 W83 CA85:CA91 AI86 W88:W89">
    <cfRule type="colorScale" priority="14">
      <colorScale>
        <cfvo type="min"/>
        <cfvo type="max"/>
        <color rgb="FFFFFFFF"/>
        <color rgb="FF57BB8A"/>
      </colorScale>
    </cfRule>
  </conditionalFormatting>
  <conditionalFormatting sqref="BR59:BR60 BU59:BU60 BX59:BX60 CA59:CA60 CD59:CD60 CG59:CG60 CA62:CA68 CD62:CD68 CG64 BR65:BR66 BU66:BU67 CG66:CG68 BO67:BO68 W83 AC83:AC84 BR83:BR85 BU83:BU84 BX83:BX84 CA83:CA84 AI86 CA86:CA92 W89">
    <cfRule type="colorScale" priority="15">
      <colorScale>
        <cfvo type="min"/>
        <cfvo type="max"/>
        <color rgb="FFFFFFFF"/>
        <color rgb="FF57BB8A"/>
      </colorScale>
    </cfRule>
  </conditionalFormatting>
  <conditionalFormatting sqref="BR59:BR60">
    <cfRule type="expression" dxfId="50" priority="16">
      <formula>($S59="출결제외")</formula>
    </cfRule>
  </conditionalFormatting>
  <conditionalFormatting sqref="BR58 BU58 BX58 CA58 CD58 CG58 CA61:CA66 CD61:CD66 BR64:BR66 BU64 CG65:CG66 BO66:BO67 BU66 AC82 BR82 BU82 BX82 CA82 CA85:CA90 AI86 W88:W8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U59:BU61 BX59:BX61 CA59:CA62 CD59:CD62 CG59:CG62 BR60:BR61 CA64 CD64 BO67:BO69 BU83:BU85 BX83:BX85 BR83:BR86 CA83:CA86 CA88 BL59:BL60 BO59:BO60 BL64 BO64 BR66 BL83:BL84 BO83:BO84 AI86 BO88 BR90 BO91:BO92 BR95 BO98 Z129:Z130 AF129:AF134 AC130:AC134 Z132:Z135 T136:T137">
    <cfRule type="expression" dxfId="49" priority="11">
      <formula>(#REF!="출결제외")</formula>
    </cfRule>
  </conditionalFormatting>
  <conditionalFormatting sqref="CD155 CG155">
    <cfRule type="containsText" dxfId="48" priority="62" operator="containsText" text="출결제외">
      <formula>NOT(ISERROR(SEARCH(("출결제외"),(CD155))))</formula>
    </cfRule>
  </conditionalFormatting>
  <conditionalFormatting sqref="CD155">
    <cfRule type="expression" dxfId="47" priority="61">
      <formula>$Z155="중복"</formula>
    </cfRule>
    <cfRule type="expression" dxfId="46" priority="63">
      <formula>$Z155="출결제외"</formula>
    </cfRule>
  </conditionalFormatting>
  <conditionalFormatting sqref="CG155">
    <cfRule type="expression" dxfId="45" priority="59">
      <formula>$Z155="중복"</formula>
    </cfRule>
    <cfRule type="expression" dxfId="44" priority="60">
      <formula>$Z155="출결제외"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615">
        <v>7285</v>
      </c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1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1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1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1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1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1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1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1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1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1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1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1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1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1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1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642</v>
      </c>
      <c r="D19" s="654" t="s">
        <v>747</v>
      </c>
      <c r="E19" s="516">
        <f>SUBTOTAL(103,$F$21:F710)</f>
        <v>642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4425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866</v>
      </c>
      <c r="AJ32" s="516"/>
      <c r="AK32" s="516" t="s">
        <v>860</v>
      </c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937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/>
      <c r="S34" s="516"/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 t="s">
        <v>925</v>
      </c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937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937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937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937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/>
      <c r="AI38" s="516" t="s">
        <v>866</v>
      </c>
      <c r="AJ38" s="516"/>
      <c r="AK38" s="516" t="s">
        <v>860</v>
      </c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 t="s">
        <v>918</v>
      </c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/>
      <c r="AI44" s="516" t="s">
        <v>866</v>
      </c>
      <c r="AJ44" s="516"/>
      <c r="AK44" s="516" t="s">
        <v>860</v>
      </c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/>
      <c r="AI45" s="516" t="s">
        <v>866</v>
      </c>
      <c r="AJ45" s="516"/>
      <c r="AK45" s="516" t="s">
        <v>860</v>
      </c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/>
      <c r="AI56" s="516" t="s">
        <v>866</v>
      </c>
      <c r="AJ56" s="516" t="s">
        <v>976</v>
      </c>
      <c r="AK56" s="516" t="s">
        <v>860</v>
      </c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/>
      <c r="AI57" s="516" t="s">
        <v>866</v>
      </c>
      <c r="AJ57" s="516" t="s">
        <v>867</v>
      </c>
      <c r="AK57" s="516" t="s">
        <v>860</v>
      </c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/>
      <c r="AI58" s="516" t="s">
        <v>866</v>
      </c>
      <c r="AJ58" s="516" t="s">
        <v>903</v>
      </c>
      <c r="AK58" s="516" t="s">
        <v>860</v>
      </c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982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/>
      <c r="AI69" s="516" t="s">
        <v>866</v>
      </c>
      <c r="AJ69" s="516"/>
      <c r="AK69" s="516" t="s">
        <v>860</v>
      </c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2423</v>
      </c>
      <c r="AJ76" s="516"/>
      <c r="AK76" s="516" t="s">
        <v>860</v>
      </c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 t="s">
        <v>1050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 t="s">
        <v>1054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 t="s">
        <v>1062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 t="s">
        <v>1066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1082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851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/>
      <c r="AI98" s="516" t="s">
        <v>866</v>
      </c>
      <c r="AJ98" s="516"/>
      <c r="AK98" s="516" t="s">
        <v>934</v>
      </c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866</v>
      </c>
      <c r="AJ99" s="516"/>
      <c r="AK99" s="516" t="s">
        <v>860</v>
      </c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/>
      <c r="AI100" s="516" t="s">
        <v>866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982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 t="s">
        <v>1162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 t="s">
        <v>1167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 t="s">
        <v>1181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 t="s">
        <v>1185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 t="s">
        <v>1189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 t="s">
        <v>1197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 t="s">
        <v>1263</v>
      </c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/>
      <c r="AI133" s="516" t="s">
        <v>1283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851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/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851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/>
      <c r="AI151" s="516" t="s">
        <v>1379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/>
      <c r="AI152" s="516" t="s">
        <v>1386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/>
      <c r="AI153" s="516" t="s">
        <v>1392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 t="s">
        <v>1399</v>
      </c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 t="s">
        <v>1443</v>
      </c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 t="s">
        <v>4429</v>
      </c>
      <c r="AJ163" s="516" t="s">
        <v>903</v>
      </c>
      <c r="AK163" s="516" t="s">
        <v>860</v>
      </c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/>
      <c r="AI170" s="516" t="s">
        <v>1496</v>
      </c>
      <c r="AJ170" s="516" t="s">
        <v>1497</v>
      </c>
      <c r="AK170" s="516" t="s">
        <v>860</v>
      </c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982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 t="s">
        <v>1513</v>
      </c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 t="s">
        <v>1518</v>
      </c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16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/>
      <c r="AI190" s="516" t="s">
        <v>1559</v>
      </c>
      <c r="AJ190" s="516" t="s">
        <v>844</v>
      </c>
      <c r="AK190" s="576" t="s">
        <v>1560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/>
      <c r="AI191" s="516" t="s">
        <v>1565</v>
      </c>
      <c r="AJ191" s="516" t="s">
        <v>844</v>
      </c>
      <c r="AK191" s="576" t="s">
        <v>1560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1572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/>
      <c r="AI193" s="516" t="s">
        <v>1578</v>
      </c>
      <c r="AJ193" s="516" t="s">
        <v>1535</v>
      </c>
      <c r="AK193" s="516" t="s">
        <v>1560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4430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 t="s">
        <v>1667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 t="s">
        <v>1671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 t="s">
        <v>1682</v>
      </c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345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/>
      <c r="AI225" s="516" t="s">
        <v>1787</v>
      </c>
      <c r="AJ225" s="516" t="s">
        <v>971</v>
      </c>
      <c r="AK225" s="516" t="s">
        <v>860</v>
      </c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/>
      <c r="AI228" s="516" t="s">
        <v>1804</v>
      </c>
      <c r="AJ228" s="516" t="s">
        <v>844</v>
      </c>
      <c r="AK228" s="516" t="s">
        <v>1805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/>
      <c r="AI229" s="516" t="s">
        <v>1810</v>
      </c>
      <c r="AJ229" s="516" t="s">
        <v>971</v>
      </c>
      <c r="AK229" s="516" t="s">
        <v>1805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/>
      <c r="AI230" s="516" t="s">
        <v>1815</v>
      </c>
      <c r="AJ230" s="516" t="s">
        <v>971</v>
      </c>
      <c r="AK230" s="516" t="s">
        <v>1805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/>
      <c r="AI231" s="516" t="s">
        <v>866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/>
      <c r="AI232" s="516" t="s">
        <v>1827</v>
      </c>
      <c r="AJ232" s="516" t="s">
        <v>903</v>
      </c>
      <c r="AK232" s="516" t="s">
        <v>1805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/>
      <c r="AI233" s="516" t="s">
        <v>1804</v>
      </c>
      <c r="AJ233" s="516" t="s">
        <v>1535</v>
      </c>
      <c r="AK233" s="572" t="s">
        <v>1833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851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851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851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851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/>
      <c r="AI253" s="516" t="s">
        <v>866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/>
      <c r="AI254" s="516" t="s">
        <v>1936</v>
      </c>
      <c r="AJ254" s="516" t="s">
        <v>903</v>
      </c>
      <c r="AK254" s="516" t="s">
        <v>1805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 t="s">
        <v>1991</v>
      </c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4432</v>
      </c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 t="s">
        <v>2034</v>
      </c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379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/>
      <c r="S315" s="516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16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310</v>
      </c>
      <c r="D329" s="516" t="s">
        <v>2319</v>
      </c>
      <c r="E329" s="516">
        <f t="shared" si="2"/>
        <v>289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2319</v>
      </c>
      <c r="L329" s="535" t="s">
        <v>2320</v>
      </c>
      <c r="M329" s="536"/>
      <c r="N329" s="537"/>
      <c r="O329" s="537"/>
      <c r="P329" s="548" t="s">
        <v>828</v>
      </c>
      <c r="Q329" s="539"/>
      <c r="R329" s="516" t="s">
        <v>49</v>
      </c>
      <c r="S329" s="516" t="s">
        <v>168</v>
      </c>
      <c r="T329" s="516"/>
      <c r="U329" s="516" t="s">
        <v>799</v>
      </c>
      <c r="V329" s="548" t="s">
        <v>2321</v>
      </c>
      <c r="W329" s="541" t="s">
        <v>2322</v>
      </c>
      <c r="X329" s="516" t="s">
        <v>790</v>
      </c>
      <c r="Y329" s="542">
        <v>26171</v>
      </c>
      <c r="Z329" s="543">
        <f t="shared" ca="1" si="3"/>
        <v>54</v>
      </c>
      <c r="AA329" s="534" t="s">
        <v>2323</v>
      </c>
      <c r="AB329" s="516" t="s">
        <v>2324</v>
      </c>
      <c r="AC329" s="516" t="s">
        <v>802</v>
      </c>
      <c r="AD329" s="516" t="s">
        <v>794</v>
      </c>
      <c r="AE329" s="534" t="s">
        <v>815</v>
      </c>
      <c r="AF329" s="534" t="s">
        <v>815</v>
      </c>
      <c r="AG329" s="534" t="s">
        <v>2317</v>
      </c>
      <c r="AH329" s="516"/>
      <c r="AI329" s="516"/>
      <c r="AJ329" s="516"/>
      <c r="AK329" s="516"/>
      <c r="AL329" s="544"/>
      <c r="AM329" s="544"/>
    </row>
    <row r="330" spans="3:39" ht="18" customHeight="1">
      <c r="C330" s="516">
        <v>311</v>
      </c>
      <c r="D330" s="516" t="s">
        <v>2320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38" t="s">
        <v>828</v>
      </c>
      <c r="Q330" s="539"/>
      <c r="R330" s="516" t="s">
        <v>62</v>
      </c>
      <c r="S330" s="516" t="s">
        <v>548</v>
      </c>
      <c r="T330" s="516"/>
      <c r="U330" s="516" t="s">
        <v>799</v>
      </c>
      <c r="V330" s="538" t="s">
        <v>2325</v>
      </c>
      <c r="W330" s="541" t="s">
        <v>2326</v>
      </c>
      <c r="X330" s="516" t="s">
        <v>790</v>
      </c>
      <c r="Y330" s="542">
        <v>27634</v>
      </c>
      <c r="Z330" s="543">
        <f t="shared" ca="1" si="3"/>
        <v>50</v>
      </c>
      <c r="AA330" s="534" t="s">
        <v>2327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1282</v>
      </c>
      <c r="AH330" s="516"/>
      <c r="AI330" s="516"/>
      <c r="AJ330" s="516" t="s">
        <v>903</v>
      </c>
      <c r="AK330" s="516"/>
      <c r="AL330" s="544"/>
      <c r="AM330" s="544"/>
    </row>
    <row r="331" spans="3:39" ht="18" customHeight="1">
      <c r="C331" s="516">
        <v>312</v>
      </c>
      <c r="D331" s="516" t="s">
        <v>2329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/>
      <c r="S331" s="516"/>
      <c r="T331" s="516"/>
      <c r="U331" s="516" t="s">
        <v>799</v>
      </c>
      <c r="V331" s="538" t="s">
        <v>291</v>
      </c>
      <c r="W331" s="541" t="s">
        <v>2330</v>
      </c>
      <c r="X331" s="516" t="s">
        <v>790</v>
      </c>
      <c r="Y331" s="542">
        <v>26832</v>
      </c>
      <c r="Z331" s="543">
        <f t="shared" ca="1" si="3"/>
        <v>52</v>
      </c>
      <c r="AA331" s="534" t="s">
        <v>2331</v>
      </c>
      <c r="AB331" s="516"/>
      <c r="AC331" s="516" t="s">
        <v>842</v>
      </c>
      <c r="AD331" s="516" t="s">
        <v>851</v>
      </c>
      <c r="AE331" s="534" t="s">
        <v>815</v>
      </c>
      <c r="AF331" s="534" t="s">
        <v>815</v>
      </c>
      <c r="AG331" s="534" t="s">
        <v>2333</v>
      </c>
      <c r="AH331" s="516"/>
      <c r="AI331" s="516"/>
      <c r="AJ331" s="516" t="s">
        <v>867</v>
      </c>
      <c r="AK331" s="516"/>
      <c r="AL331" s="544"/>
      <c r="AM331" s="544"/>
    </row>
    <row r="332" spans="3:39" ht="18" customHeight="1">
      <c r="C332" s="516">
        <v>313</v>
      </c>
      <c r="D332" s="516" t="s">
        <v>2334</v>
      </c>
      <c r="E332" s="516">
        <f t="shared" si="2"/>
        <v>292</v>
      </c>
      <c r="F332" s="534" t="s">
        <v>811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2335</v>
      </c>
      <c r="W332" s="541" t="s">
        <v>2336</v>
      </c>
      <c r="X332" s="516" t="s">
        <v>790</v>
      </c>
      <c r="Y332" s="542">
        <v>23664</v>
      </c>
      <c r="Z332" s="543">
        <f t="shared" ca="1" si="3"/>
        <v>61</v>
      </c>
      <c r="AA332" s="534" t="s">
        <v>864</v>
      </c>
      <c r="AB332" s="516"/>
      <c r="AC332" s="516" t="s">
        <v>802</v>
      </c>
      <c r="AD332" s="516" t="s">
        <v>794</v>
      </c>
      <c r="AE332" s="534" t="s">
        <v>236</v>
      </c>
      <c r="AF332" s="534" t="s">
        <v>236</v>
      </c>
      <c r="AG332" s="534" t="s">
        <v>865</v>
      </c>
      <c r="AH332" s="516"/>
      <c r="AI332" s="516"/>
      <c r="AJ332" s="516" t="s">
        <v>903</v>
      </c>
      <c r="AK332" s="516"/>
      <c r="AL332" s="544"/>
      <c r="AM332" s="544"/>
    </row>
    <row r="333" spans="3:39" ht="18" customHeight="1">
      <c r="C333" s="516">
        <v>314</v>
      </c>
      <c r="D333" s="516" t="s">
        <v>2338</v>
      </c>
      <c r="E333" s="516">
        <f t="shared" si="2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2339</v>
      </c>
      <c r="W333" s="541" t="s">
        <v>2340</v>
      </c>
      <c r="X333" s="516" t="s">
        <v>790</v>
      </c>
      <c r="Y333" s="542">
        <v>31932</v>
      </c>
      <c r="Z333" s="543">
        <f t="shared" ca="1" si="3"/>
        <v>38</v>
      </c>
      <c r="AA333" s="534" t="s">
        <v>2341</v>
      </c>
      <c r="AB333" s="516"/>
      <c r="AC333" s="516" t="s">
        <v>802</v>
      </c>
      <c r="AD333" s="516" t="s">
        <v>794</v>
      </c>
      <c r="AE333" s="534" t="s">
        <v>1256</v>
      </c>
      <c r="AF333" s="534" t="s">
        <v>1256</v>
      </c>
      <c r="AG333" s="534" t="s">
        <v>2343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315</v>
      </c>
      <c r="D334" s="516" t="s">
        <v>2344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874</v>
      </c>
      <c r="V334" s="538" t="s">
        <v>2345</v>
      </c>
      <c r="W334" s="541" t="s">
        <v>2346</v>
      </c>
      <c r="X334" s="516" t="s">
        <v>876</v>
      </c>
      <c r="Y334" s="542">
        <v>27553</v>
      </c>
      <c r="Z334" s="543">
        <f t="shared" ca="1" si="3"/>
        <v>50</v>
      </c>
      <c r="AA334" s="534" t="s">
        <v>2347</v>
      </c>
      <c r="AB334" s="516"/>
      <c r="AC334" s="516" t="s">
        <v>842</v>
      </c>
      <c r="AD334" s="516" t="s">
        <v>851</v>
      </c>
      <c r="AE334" s="534" t="s">
        <v>815</v>
      </c>
      <c r="AF334" s="534" t="s">
        <v>815</v>
      </c>
      <c r="AG334" s="534" t="s">
        <v>2349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316</v>
      </c>
      <c r="D335" s="516" t="s">
        <v>2350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2351</v>
      </c>
      <c r="W335" s="541" t="s">
        <v>2352</v>
      </c>
      <c r="X335" s="516" t="s">
        <v>876</v>
      </c>
      <c r="Y335" s="542">
        <v>30200</v>
      </c>
      <c r="Z335" s="543">
        <f t="shared" ca="1" si="3"/>
        <v>43</v>
      </c>
      <c r="AA335" s="534" t="s">
        <v>2353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1282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317</v>
      </c>
      <c r="D336" s="516" t="s">
        <v>2355</v>
      </c>
      <c r="E336" s="516">
        <f t="shared" si="2"/>
        <v>296</v>
      </c>
      <c r="F336" s="534" t="s">
        <v>811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 t="s">
        <v>308</v>
      </c>
      <c r="R336" s="516"/>
      <c r="S336" s="516"/>
      <c r="T336" s="516"/>
      <c r="U336" s="516" t="s">
        <v>799</v>
      </c>
      <c r="V336" s="538" t="s">
        <v>2356</v>
      </c>
      <c r="W336" s="541" t="s">
        <v>2357</v>
      </c>
      <c r="X336" s="516" t="s">
        <v>790</v>
      </c>
      <c r="Y336" s="542">
        <v>30794</v>
      </c>
      <c r="Z336" s="543">
        <f t="shared" ca="1" si="3"/>
        <v>41</v>
      </c>
      <c r="AA336" s="534" t="s">
        <v>2358</v>
      </c>
      <c r="AB336" s="516"/>
      <c r="AC336" s="516" t="s">
        <v>842</v>
      </c>
      <c r="AD336" s="516" t="s">
        <v>851</v>
      </c>
      <c r="AE336" s="534" t="s">
        <v>815</v>
      </c>
      <c r="AF336" s="606" t="s">
        <v>815</v>
      </c>
      <c r="AG336" s="534" t="s">
        <v>1282</v>
      </c>
      <c r="AH336" s="516"/>
      <c r="AI336" s="516"/>
      <c r="AJ336" s="516" t="s">
        <v>971</v>
      </c>
      <c r="AK336" s="516"/>
      <c r="AL336" s="544"/>
      <c r="AM336" s="544"/>
    </row>
    <row r="337" spans="1:39" ht="18" customHeight="1">
      <c r="C337" s="516">
        <v>318</v>
      </c>
      <c r="D337" s="516" t="s">
        <v>2360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59" t="s">
        <v>828</v>
      </c>
      <c r="Q337" s="539" t="s">
        <v>308</v>
      </c>
      <c r="R337" s="516"/>
      <c r="S337" s="516"/>
      <c r="T337" s="516"/>
      <c r="U337" s="516" t="s">
        <v>799</v>
      </c>
      <c r="V337" s="559" t="s">
        <v>296</v>
      </c>
      <c r="W337" s="541" t="s">
        <v>2361</v>
      </c>
      <c r="X337" s="516" t="s">
        <v>790</v>
      </c>
      <c r="Y337" s="542">
        <v>32505</v>
      </c>
      <c r="Z337" s="543">
        <f t="shared" ca="1" si="3"/>
        <v>37</v>
      </c>
      <c r="AA337" s="534" t="s">
        <v>2362</v>
      </c>
      <c r="AB337" s="516"/>
      <c r="AC337" s="516" t="s">
        <v>842</v>
      </c>
      <c r="AD337" s="516" t="s">
        <v>843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69" t="s">
        <v>1224</v>
      </c>
      <c r="AK337" s="516"/>
      <c r="AL337" s="544"/>
      <c r="AM337" s="544"/>
    </row>
    <row r="338" spans="1:39" ht="18" customHeight="1">
      <c r="C338" s="516">
        <v>319</v>
      </c>
      <c r="D338" s="516" t="s">
        <v>2368</v>
      </c>
      <c r="E338" s="516">
        <f t="shared" si="2"/>
        <v>298</v>
      </c>
      <c r="F338" s="534" t="s">
        <v>981</v>
      </c>
      <c r="G338" s="534" t="s">
        <v>2369</v>
      </c>
      <c r="H338" s="535" t="s">
        <v>1144</v>
      </c>
      <c r="I338" s="535" t="s">
        <v>2370</v>
      </c>
      <c r="J338" s="535" t="s">
        <v>2368</v>
      </c>
      <c r="K338" s="535" t="s">
        <v>2368</v>
      </c>
      <c r="L338" s="535"/>
      <c r="M338" s="536"/>
      <c r="N338" s="537"/>
      <c r="O338" s="537"/>
      <c r="P338" s="548" t="s">
        <v>2372</v>
      </c>
      <c r="Q338" s="539"/>
      <c r="R338" s="516" t="s">
        <v>163</v>
      </c>
      <c r="S338" s="516" t="s">
        <v>500</v>
      </c>
      <c r="T338" s="516" t="s">
        <v>49</v>
      </c>
      <c r="U338" s="516" t="s">
        <v>874</v>
      </c>
      <c r="V338" s="548" t="s">
        <v>2370</v>
      </c>
      <c r="W338" s="541" t="s">
        <v>2373</v>
      </c>
      <c r="X338" s="516" t="s">
        <v>876</v>
      </c>
      <c r="Y338" s="542">
        <v>25905</v>
      </c>
      <c r="Z338" s="543">
        <f t="shared" ca="1" si="3"/>
        <v>55</v>
      </c>
      <c r="AA338" s="534" t="s">
        <v>2374</v>
      </c>
      <c r="AB338" s="516" t="s">
        <v>2375</v>
      </c>
      <c r="AC338" s="516" t="s">
        <v>802</v>
      </c>
      <c r="AD338" s="516" t="s">
        <v>794</v>
      </c>
      <c r="AE338" s="534" t="s">
        <v>815</v>
      </c>
      <c r="AF338" s="534" t="s">
        <v>815</v>
      </c>
      <c r="AG338" s="534" t="s">
        <v>2271</v>
      </c>
      <c r="AH338" s="516"/>
      <c r="AI338" s="516"/>
      <c r="AJ338" s="516" t="s">
        <v>844</v>
      </c>
      <c r="AK338" s="516"/>
      <c r="AL338" s="544"/>
      <c r="AM338" s="544"/>
    </row>
    <row r="339" spans="1:39" ht="18" customHeight="1">
      <c r="C339" s="516">
        <v>320</v>
      </c>
      <c r="D339" s="516" t="s">
        <v>2379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38" t="s">
        <v>2372</v>
      </c>
      <c r="Q339" s="539"/>
      <c r="R339" s="516"/>
      <c r="S339" s="516"/>
      <c r="T339" s="516"/>
      <c r="U339" s="516" t="s">
        <v>874</v>
      </c>
      <c r="V339" s="538" t="s">
        <v>217</v>
      </c>
      <c r="W339" s="541" t="s">
        <v>2380</v>
      </c>
      <c r="X339" s="516" t="s">
        <v>876</v>
      </c>
      <c r="Y339" s="542">
        <v>23437</v>
      </c>
      <c r="Z339" s="543">
        <f t="shared" ca="1" si="3"/>
        <v>61</v>
      </c>
      <c r="AA339" s="534" t="s">
        <v>2381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2383</v>
      </c>
      <c r="AH339" s="516"/>
      <c r="AI339" s="516"/>
      <c r="AJ339" s="516"/>
      <c r="AK339" s="516"/>
      <c r="AL339" s="544"/>
      <c r="AM339" s="544"/>
    </row>
    <row r="340" spans="1:39" ht="18" customHeight="1">
      <c r="C340" s="516">
        <v>321</v>
      </c>
      <c r="D340" s="516" t="s">
        <v>2384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 t="s">
        <v>49</v>
      </c>
      <c r="S340" s="516" t="s">
        <v>168</v>
      </c>
      <c r="T340" s="516"/>
      <c r="U340" s="516" t="s">
        <v>874</v>
      </c>
      <c r="V340" s="538" t="s">
        <v>197</v>
      </c>
      <c r="W340" s="541" t="s">
        <v>2385</v>
      </c>
      <c r="X340" s="516" t="s">
        <v>876</v>
      </c>
      <c r="Y340" s="542">
        <v>28739</v>
      </c>
      <c r="Z340" s="543">
        <f t="shared" ca="1" si="3"/>
        <v>47</v>
      </c>
      <c r="AA340" s="534"/>
      <c r="AB340" s="516" t="s">
        <v>2387</v>
      </c>
      <c r="AC340" s="516" t="s">
        <v>802</v>
      </c>
      <c r="AD340" s="516" t="s">
        <v>794</v>
      </c>
      <c r="AE340" s="534" t="s">
        <v>1735</v>
      </c>
      <c r="AF340" s="534" t="s">
        <v>1735</v>
      </c>
      <c r="AG340" s="534" t="s">
        <v>2388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322</v>
      </c>
      <c r="D341" s="516" t="s">
        <v>2389</v>
      </c>
      <c r="E341" s="516">
        <f t="shared" si="2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898</v>
      </c>
      <c r="V341" s="538" t="s">
        <v>237</v>
      </c>
      <c r="W341" s="541" t="s">
        <v>2390</v>
      </c>
      <c r="X341" s="516" t="s">
        <v>876</v>
      </c>
      <c r="Y341" s="542">
        <v>15634</v>
      </c>
      <c r="Z341" s="543">
        <f t="shared" ca="1" si="3"/>
        <v>83</v>
      </c>
      <c r="AA341" s="534" t="s">
        <v>2391</v>
      </c>
      <c r="AB341" s="516"/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323</v>
      </c>
      <c r="D342" s="516" t="s">
        <v>2392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255</v>
      </c>
      <c r="W342" s="541" t="s">
        <v>2393</v>
      </c>
      <c r="X342" s="516" t="s">
        <v>876</v>
      </c>
      <c r="Y342" s="542">
        <v>18124</v>
      </c>
      <c r="Z342" s="543">
        <f t="shared" ca="1" si="3"/>
        <v>76</v>
      </c>
      <c r="AA342" s="534" t="s">
        <v>2394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1:39" ht="18" customHeight="1">
      <c r="C343" s="516">
        <v>324</v>
      </c>
      <c r="D343" s="516" t="s">
        <v>2396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874</v>
      </c>
      <c r="V343" s="538" t="s">
        <v>272</v>
      </c>
      <c r="W343" s="541" t="s">
        <v>2397</v>
      </c>
      <c r="X343" s="516" t="s">
        <v>876</v>
      </c>
      <c r="Y343" s="542">
        <v>25188</v>
      </c>
      <c r="Z343" s="543">
        <f t="shared" ca="1" si="3"/>
        <v>57</v>
      </c>
      <c r="AA343" s="534" t="s">
        <v>2398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325</v>
      </c>
      <c r="D344" s="516" t="s">
        <v>2371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 t="s">
        <v>62</v>
      </c>
      <c r="S344" s="516" t="s">
        <v>548</v>
      </c>
      <c r="T344" s="516"/>
      <c r="U344" s="516" t="s">
        <v>874</v>
      </c>
      <c r="V344" s="538" t="s">
        <v>283</v>
      </c>
      <c r="W344" s="541" t="s">
        <v>2376</v>
      </c>
      <c r="X344" s="516" t="s">
        <v>876</v>
      </c>
      <c r="Y344" s="542">
        <v>26792</v>
      </c>
      <c r="Z344" s="543">
        <f t="shared" ca="1" si="3"/>
        <v>52</v>
      </c>
      <c r="AA344" s="534" t="s">
        <v>2377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326</v>
      </c>
      <c r="D345" s="516" t="s">
        <v>2399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608" t="s">
        <v>292</v>
      </c>
      <c r="W345" s="541" t="s">
        <v>2400</v>
      </c>
      <c r="X345" s="516" t="s">
        <v>876</v>
      </c>
      <c r="Y345" s="542">
        <v>22076</v>
      </c>
      <c r="Z345" s="543">
        <f t="shared" ca="1" si="3"/>
        <v>65</v>
      </c>
      <c r="AA345" s="534" t="s">
        <v>2401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A346" s="173"/>
      <c r="B346" s="173"/>
      <c r="C346" s="516">
        <v>360</v>
      </c>
      <c r="D346" s="516" t="s">
        <v>2403</v>
      </c>
      <c r="E346" s="516">
        <f>SUBTOTAL(103,$U$21:U346)</f>
        <v>306</v>
      </c>
      <c r="F346" s="609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54"/>
      <c r="N346" s="567"/>
      <c r="O346" s="567"/>
      <c r="P346" s="538" t="s">
        <v>2372</v>
      </c>
      <c r="Q346" s="568"/>
      <c r="R346" s="554"/>
      <c r="S346" s="554"/>
      <c r="T346" s="554"/>
      <c r="U346" s="555" t="s">
        <v>788</v>
      </c>
      <c r="V346" s="610" t="s">
        <v>297</v>
      </c>
      <c r="W346" s="557" t="s">
        <v>2404</v>
      </c>
      <c r="X346" s="516" t="s">
        <v>876</v>
      </c>
      <c r="Y346" s="542">
        <v>34440</v>
      </c>
      <c r="Z346" s="543">
        <f t="shared" ca="1" si="3"/>
        <v>31</v>
      </c>
      <c r="AA346" s="516" t="s">
        <v>2405</v>
      </c>
      <c r="AB346" s="516" t="s">
        <v>2406</v>
      </c>
      <c r="AC346" s="516" t="s">
        <v>793</v>
      </c>
      <c r="AD346" s="516" t="s">
        <v>794</v>
      </c>
      <c r="AE346" s="516" t="s">
        <v>815</v>
      </c>
      <c r="AF346" s="516" t="s">
        <v>815</v>
      </c>
      <c r="AG346" s="516" t="s">
        <v>2317</v>
      </c>
      <c r="AH346" s="554"/>
      <c r="AI346" s="554"/>
      <c r="AJ346" s="554"/>
      <c r="AK346" s="554"/>
      <c r="AL346" s="554"/>
      <c r="AM346" s="554"/>
    </row>
    <row r="347" spans="1:39" ht="18" customHeight="1">
      <c r="C347" s="516">
        <v>327</v>
      </c>
      <c r="D347" s="516" t="s">
        <v>2368</v>
      </c>
      <c r="E347" s="516">
        <f t="shared" ref="E347:E601" si="4">SUBTOTAL(103,$U$21:U347)</f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1:39" ht="18" customHeight="1">
      <c r="C348" s="516">
        <v>328</v>
      </c>
      <c r="D348" s="516" t="s">
        <v>2424</v>
      </c>
      <c r="E348" s="516">
        <f t="shared" si="4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1:39" ht="18" customHeight="1">
      <c r="C349" s="516">
        <v>329</v>
      </c>
      <c r="D349" s="516" t="s">
        <v>2430</v>
      </c>
      <c r="E349" s="516">
        <f t="shared" si="4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1:39" ht="18" customHeight="1">
      <c r="C350" s="516">
        <v>330</v>
      </c>
      <c r="D350" s="516" t="s">
        <v>2434</v>
      </c>
      <c r="E350" s="516">
        <f t="shared" si="4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1:39" ht="18" customHeight="1">
      <c r="C351" s="516">
        <v>331</v>
      </c>
      <c r="D351" s="516" t="s">
        <v>2439</v>
      </c>
      <c r="E351" s="516">
        <f t="shared" si="4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/>
      <c r="AI351" s="516" t="s">
        <v>2443</v>
      </c>
      <c r="AJ351" s="516" t="s">
        <v>844</v>
      </c>
      <c r="AK351" s="516"/>
      <c r="AL351" s="544"/>
      <c r="AM351" s="544"/>
    </row>
    <row r="352" spans="1:39" ht="18" customHeight="1">
      <c r="C352" s="516">
        <v>332</v>
      </c>
      <c r="D352" s="516" t="s">
        <v>2444</v>
      </c>
      <c r="E352" s="516">
        <f t="shared" si="4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/>
      <c r="AI352" s="516" t="s">
        <v>2443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4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4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4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4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802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4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4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 t="s">
        <v>2492</v>
      </c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4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851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4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851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4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851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4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 t="s">
        <v>2511</v>
      </c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4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4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4"/>
        <v>324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38" t="s">
        <v>938</v>
      </c>
      <c r="Q365" s="539"/>
      <c r="R365" s="516" t="s">
        <v>49</v>
      </c>
      <c r="S365" s="516" t="s">
        <v>168</v>
      </c>
      <c r="T365" s="516"/>
      <c r="U365" s="516" t="s">
        <v>874</v>
      </c>
      <c r="V365" s="53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 t="s">
        <v>2524</v>
      </c>
      <c r="AC365" s="516" t="s">
        <v>802</v>
      </c>
      <c r="AD365" s="516" t="s">
        <v>794</v>
      </c>
      <c r="AE365" s="534" t="s">
        <v>815</v>
      </c>
      <c r="AF365" s="606" t="s">
        <v>815</v>
      </c>
      <c r="AG365" s="534" t="s">
        <v>2525</v>
      </c>
      <c r="AH365" s="516"/>
      <c r="AI365" s="516"/>
      <c r="AJ365" s="516" t="s">
        <v>903</v>
      </c>
      <c r="AK365" s="516"/>
      <c r="AL365" s="544"/>
      <c r="AM365" s="544"/>
    </row>
    <row r="366" spans="3:39" ht="18" customHeight="1">
      <c r="C366" s="516">
        <v>346</v>
      </c>
      <c r="D366" s="516" t="s">
        <v>2531</v>
      </c>
      <c r="E366" s="516">
        <f t="shared" si="4"/>
        <v>325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 t="s">
        <v>308</v>
      </c>
      <c r="R366" s="516" t="s">
        <v>62</v>
      </c>
      <c r="S366" s="516" t="s">
        <v>548</v>
      </c>
      <c r="T366" s="516"/>
      <c r="U366" s="516" t="s">
        <v>898</v>
      </c>
      <c r="V366" s="538" t="s">
        <v>200</v>
      </c>
      <c r="W366" s="541" t="s">
        <v>2532</v>
      </c>
      <c r="X366" s="516" t="s">
        <v>876</v>
      </c>
      <c r="Y366" s="542">
        <v>19481</v>
      </c>
      <c r="Z366" s="543">
        <f t="shared" ca="1" si="3"/>
        <v>72</v>
      </c>
      <c r="AA366" s="534" t="s">
        <v>2533</v>
      </c>
      <c r="AB366" s="516"/>
      <c r="AC366" s="516" t="s">
        <v>842</v>
      </c>
      <c r="AD366" s="516" t="s">
        <v>843</v>
      </c>
      <c r="AE366" s="534" t="s">
        <v>942</v>
      </c>
      <c r="AF366" s="534" t="s">
        <v>2535</v>
      </c>
      <c r="AG366" s="534" t="s">
        <v>2536</v>
      </c>
      <c r="AH366" s="516"/>
      <c r="AI366" s="516"/>
      <c r="AJ366" s="516" t="s">
        <v>1497</v>
      </c>
      <c r="AK366" s="516"/>
      <c r="AL366" s="544"/>
      <c r="AM366" s="544"/>
    </row>
    <row r="367" spans="3:39" ht="18" customHeight="1">
      <c r="C367" s="516">
        <v>347</v>
      </c>
      <c r="D367" s="516" t="s">
        <v>2537</v>
      </c>
      <c r="E367" s="516">
        <f t="shared" si="4"/>
        <v>326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/>
      <c r="S367" s="516"/>
      <c r="T367" s="516"/>
      <c r="U367" s="516" t="s">
        <v>898</v>
      </c>
      <c r="V367" s="538" t="s">
        <v>221</v>
      </c>
      <c r="W367" s="541" t="s">
        <v>2538</v>
      </c>
      <c r="X367" s="516" t="s">
        <v>876</v>
      </c>
      <c r="Y367" s="542">
        <v>19809</v>
      </c>
      <c r="Z367" s="543">
        <f t="shared" ca="1" si="3"/>
        <v>71</v>
      </c>
      <c r="AA367" s="534" t="s">
        <v>2539</v>
      </c>
      <c r="AB367" s="516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2496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2521</v>
      </c>
      <c r="E368" s="516">
        <f t="shared" si="4"/>
        <v>327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 t="s">
        <v>62</v>
      </c>
      <c r="S368" s="516" t="s">
        <v>548</v>
      </c>
      <c r="T368" s="516"/>
      <c r="U368" s="516" t="s">
        <v>874</v>
      </c>
      <c r="V368" s="538" t="s">
        <v>241</v>
      </c>
      <c r="W368" s="541" t="s">
        <v>4433</v>
      </c>
      <c r="X368" s="516" t="s">
        <v>876</v>
      </c>
      <c r="Y368" s="542">
        <v>23880</v>
      </c>
      <c r="Z368" s="543">
        <f t="shared" ca="1" si="3"/>
        <v>60</v>
      </c>
      <c r="AA368" s="534" t="s">
        <v>2527</v>
      </c>
      <c r="AB368" s="516"/>
      <c r="AC368" s="516" t="s">
        <v>842</v>
      </c>
      <c r="AD368" s="516" t="s">
        <v>843</v>
      </c>
      <c r="AE368" s="534" t="s">
        <v>815</v>
      </c>
      <c r="AF368" s="534" t="s">
        <v>2529</v>
      </c>
      <c r="AG368" s="534" t="s">
        <v>2530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2541</v>
      </c>
      <c r="E369" s="516">
        <f t="shared" si="4"/>
        <v>328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59" t="s">
        <v>938</v>
      </c>
      <c r="Q369" s="539" t="s">
        <v>308</v>
      </c>
      <c r="R369" s="516"/>
      <c r="S369" s="516"/>
      <c r="T369" s="516"/>
      <c r="U369" s="516" t="s">
        <v>874</v>
      </c>
      <c r="V369" s="559" t="s">
        <v>258</v>
      </c>
      <c r="W369" s="541" t="s">
        <v>2542</v>
      </c>
      <c r="X369" s="516" t="s">
        <v>876</v>
      </c>
      <c r="Y369" s="542">
        <v>26431</v>
      </c>
      <c r="Z369" s="543">
        <f t="shared" ca="1" si="3"/>
        <v>53</v>
      </c>
      <c r="AA369" s="534" t="s">
        <v>2543</v>
      </c>
      <c r="AB369" s="516"/>
      <c r="AC369" s="516" t="s">
        <v>842</v>
      </c>
      <c r="AD369" s="516" t="s">
        <v>843</v>
      </c>
      <c r="AE369" s="534" t="s">
        <v>815</v>
      </c>
      <c r="AF369" s="606" t="s">
        <v>815</v>
      </c>
      <c r="AG369" s="534" t="s">
        <v>2297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1258</v>
      </c>
      <c r="E370" s="516">
        <f t="shared" si="4"/>
        <v>328</v>
      </c>
      <c r="F370" s="534"/>
      <c r="G370" s="534" t="s">
        <v>2369</v>
      </c>
      <c r="H370" s="535" t="s">
        <v>1144</v>
      </c>
      <c r="I370" s="535" t="s">
        <v>2370</v>
      </c>
      <c r="J370" s="535" t="s">
        <v>1106</v>
      </c>
      <c r="K370" s="535" t="s">
        <v>1258</v>
      </c>
      <c r="L370" s="535" t="s">
        <v>786</v>
      </c>
      <c r="M370" s="536"/>
      <c r="N370" s="537"/>
      <c r="O370" s="537"/>
      <c r="P370" s="548" t="s">
        <v>978</v>
      </c>
      <c r="Q370" s="539"/>
      <c r="R370" s="516" t="s">
        <v>49</v>
      </c>
      <c r="S370" s="516" t="s">
        <v>49</v>
      </c>
      <c r="T370" s="516"/>
      <c r="U370" s="516"/>
      <c r="V370" s="548" t="s">
        <v>166</v>
      </c>
      <c r="W370" s="541" t="s">
        <v>1261</v>
      </c>
      <c r="X370" s="516" t="s">
        <v>876</v>
      </c>
      <c r="Y370" s="542">
        <v>21384</v>
      </c>
      <c r="Z370" s="543">
        <f t="shared" ca="1" si="3"/>
        <v>67</v>
      </c>
      <c r="AA370" s="534" t="s">
        <v>1262</v>
      </c>
      <c r="AB370" s="516"/>
      <c r="AC370" s="516" t="s">
        <v>842</v>
      </c>
      <c r="AD370" s="516" t="s">
        <v>794</v>
      </c>
      <c r="AE370" s="534" t="s">
        <v>713</v>
      </c>
      <c r="AF370" s="534" t="s">
        <v>1163</v>
      </c>
      <c r="AG370" s="534" t="s">
        <v>1172</v>
      </c>
      <c r="AH370" s="516" t="s">
        <v>872</v>
      </c>
      <c r="AI370" s="516"/>
      <c r="AJ370" s="516"/>
      <c r="AK370" s="516"/>
      <c r="AL370" s="544"/>
      <c r="AM370" s="544"/>
    </row>
    <row r="371" spans="3:39" ht="18" customHeight="1">
      <c r="C371" s="516">
        <v>351</v>
      </c>
      <c r="D371" s="516" t="s">
        <v>2553</v>
      </c>
      <c r="E371" s="516">
        <f t="shared" si="4"/>
        <v>329</v>
      </c>
      <c r="F371" s="534" t="s">
        <v>811</v>
      </c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38" t="s">
        <v>978</v>
      </c>
      <c r="Q371" s="539" t="s">
        <v>308</v>
      </c>
      <c r="R371" s="516"/>
      <c r="S371" s="516"/>
      <c r="T371" s="516"/>
      <c r="U371" s="516" t="s">
        <v>874</v>
      </c>
      <c r="V371" s="538" t="s">
        <v>201</v>
      </c>
      <c r="W371" s="541" t="s">
        <v>2554</v>
      </c>
      <c r="X371" s="516" t="s">
        <v>876</v>
      </c>
      <c r="Y371" s="542">
        <v>21961</v>
      </c>
      <c r="Z371" s="543">
        <f t="shared" ca="1" si="3"/>
        <v>65</v>
      </c>
      <c r="AA371" s="534" t="s">
        <v>1591</v>
      </c>
      <c r="AB371" s="516"/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1352</v>
      </c>
      <c r="AH371" s="516"/>
      <c r="AI371" s="516"/>
      <c r="AJ371" s="565" t="s">
        <v>1087</v>
      </c>
      <c r="AK371" s="516"/>
      <c r="AL371" s="544"/>
      <c r="AM371" s="544"/>
    </row>
    <row r="372" spans="3:39" ht="18" customHeight="1">
      <c r="C372" s="516">
        <v>352</v>
      </c>
      <c r="D372" s="516" t="s">
        <v>2556</v>
      </c>
      <c r="E372" s="516">
        <f t="shared" si="4"/>
        <v>330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222</v>
      </c>
      <c r="W372" s="541" t="s">
        <v>2557</v>
      </c>
      <c r="X372" s="516" t="s">
        <v>876</v>
      </c>
      <c r="Y372" s="542">
        <v>22297</v>
      </c>
      <c r="Z372" s="543">
        <f t="shared" ca="1" si="3"/>
        <v>65</v>
      </c>
      <c r="AA372" s="534" t="s">
        <v>2558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2560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2545</v>
      </c>
      <c r="E373" s="516">
        <f t="shared" si="4"/>
        <v>331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 t="s">
        <v>62</v>
      </c>
      <c r="S373" s="516" t="s">
        <v>548</v>
      </c>
      <c r="T373" s="516"/>
      <c r="U373" s="516" t="s">
        <v>874</v>
      </c>
      <c r="V373" s="538" t="s">
        <v>242</v>
      </c>
      <c r="W373" s="541" t="s">
        <v>2547</v>
      </c>
      <c r="X373" s="516" t="s">
        <v>876</v>
      </c>
      <c r="Y373" s="542">
        <v>25424</v>
      </c>
      <c r="Z373" s="543">
        <f t="shared" ca="1" si="3"/>
        <v>56</v>
      </c>
      <c r="AA373" s="534" t="s">
        <v>2548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1352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2561</v>
      </c>
      <c r="E374" s="516">
        <f t="shared" si="4"/>
        <v>332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/>
      <c r="S374" s="516"/>
      <c r="T374" s="516"/>
      <c r="U374" s="516" t="s">
        <v>874</v>
      </c>
      <c r="V374" s="538" t="s">
        <v>259</v>
      </c>
      <c r="W374" s="541" t="s">
        <v>2562</v>
      </c>
      <c r="X374" s="516" t="s">
        <v>876</v>
      </c>
      <c r="Y374" s="542">
        <v>25568</v>
      </c>
      <c r="Z374" s="543">
        <f t="shared" ca="1" si="3"/>
        <v>56</v>
      </c>
      <c r="AA374" s="534" t="s">
        <v>2563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2306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2565</v>
      </c>
      <c r="E375" s="516">
        <f t="shared" si="4"/>
        <v>333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274</v>
      </c>
      <c r="W375" s="541" t="s">
        <v>2566</v>
      </c>
      <c r="X375" s="516" t="s">
        <v>876</v>
      </c>
      <c r="Y375" s="542">
        <v>25925</v>
      </c>
      <c r="Z375" s="543">
        <f t="shared" ca="1" si="3"/>
        <v>55</v>
      </c>
      <c r="AA375" s="534" t="s">
        <v>2567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2546</v>
      </c>
      <c r="E376" s="516">
        <f t="shared" si="4"/>
        <v>334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3"/>
        <v>54</v>
      </c>
      <c r="AA376" s="534" t="s">
        <v>2551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2569</v>
      </c>
      <c r="E377" s="516">
        <f t="shared" si="4"/>
        <v>335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2570</v>
      </c>
      <c r="W377" s="541" t="s">
        <v>2571</v>
      </c>
      <c r="X377" s="516" t="s">
        <v>876</v>
      </c>
      <c r="Y377" s="542">
        <v>26507</v>
      </c>
      <c r="Z377" s="543">
        <f t="shared" ca="1" si="3"/>
        <v>53</v>
      </c>
      <c r="AA377" s="534" t="s">
        <v>2572</v>
      </c>
      <c r="AB377" s="516"/>
      <c r="AC377" s="516" t="s">
        <v>842</v>
      </c>
      <c r="AD377" s="516" t="s">
        <v>843</v>
      </c>
      <c r="AE377" s="534" t="s">
        <v>1289</v>
      </c>
      <c r="AF377" s="534" t="s">
        <v>1289</v>
      </c>
      <c r="AG377" s="534" t="s">
        <v>2573</v>
      </c>
      <c r="AH377" s="516"/>
      <c r="AI377" s="516" t="s">
        <v>4434</v>
      </c>
      <c r="AJ377" s="565" t="s">
        <v>1087</v>
      </c>
      <c r="AK377" s="516" t="s">
        <v>860</v>
      </c>
      <c r="AL377" s="544"/>
      <c r="AM377" s="544"/>
    </row>
    <row r="378" spans="3:39" ht="18" customHeight="1">
      <c r="C378" s="516">
        <v>358</v>
      </c>
      <c r="D378" s="516" t="s">
        <v>2574</v>
      </c>
      <c r="E378" s="516">
        <f t="shared" si="4"/>
        <v>336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298</v>
      </c>
      <c r="W378" s="541" t="s">
        <v>2575</v>
      </c>
      <c r="X378" s="516" t="s">
        <v>876</v>
      </c>
      <c r="Y378" s="542">
        <v>29212</v>
      </c>
      <c r="Z378" s="543">
        <f t="shared" ca="1" si="3"/>
        <v>46</v>
      </c>
      <c r="AA378" s="534" t="s">
        <v>2576</v>
      </c>
      <c r="AB378" s="516"/>
      <c r="AC378" s="516" t="s">
        <v>842</v>
      </c>
      <c r="AD378" s="516" t="s">
        <v>851</v>
      </c>
      <c r="AE378" s="534" t="s">
        <v>815</v>
      </c>
      <c r="AF378" s="534" t="s">
        <v>2578</v>
      </c>
      <c r="AG378" s="534" t="s">
        <v>2579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2580</v>
      </c>
      <c r="E379" s="516">
        <f t="shared" si="4"/>
        <v>337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59" t="s">
        <v>978</v>
      </c>
      <c r="Q379" s="539" t="s">
        <v>308</v>
      </c>
      <c r="R379" s="516"/>
      <c r="S379" s="516"/>
      <c r="T379" s="516"/>
      <c r="U379" s="516" t="s">
        <v>874</v>
      </c>
      <c r="V379" s="559" t="s">
        <v>302</v>
      </c>
      <c r="W379" s="541" t="s">
        <v>2581</v>
      </c>
      <c r="X379" s="516" t="s">
        <v>876</v>
      </c>
      <c r="Y379" s="542">
        <v>31483</v>
      </c>
      <c r="Z379" s="543">
        <f t="shared" ca="1" si="3"/>
        <v>39</v>
      </c>
      <c r="AA379" s="534" t="s">
        <v>2582</v>
      </c>
      <c r="AB379" s="516"/>
      <c r="AC379" s="516" t="s">
        <v>842</v>
      </c>
      <c r="AD379" s="516" t="s">
        <v>851</v>
      </c>
      <c r="AE379" s="534" t="s">
        <v>815</v>
      </c>
      <c r="AF379" s="606" t="s">
        <v>815</v>
      </c>
      <c r="AG379" s="534" t="s">
        <v>2301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81</v>
      </c>
      <c r="D380" s="516" t="s">
        <v>1144</v>
      </c>
      <c r="E380" s="516">
        <f t="shared" si="4"/>
        <v>337</v>
      </c>
      <c r="F380" s="534"/>
      <c r="G380" s="534" t="s">
        <v>2584</v>
      </c>
      <c r="H380" s="535" t="s">
        <v>1144</v>
      </c>
      <c r="I380" s="535" t="s">
        <v>107</v>
      </c>
      <c r="J380" s="535" t="s">
        <v>1144</v>
      </c>
      <c r="K380" s="535" t="s">
        <v>2403</v>
      </c>
      <c r="L380" s="535" t="s">
        <v>786</v>
      </c>
      <c r="M380" s="536" t="s">
        <v>786</v>
      </c>
      <c r="N380" s="537"/>
      <c r="O380" s="537"/>
      <c r="P380" s="548" t="s">
        <v>787</v>
      </c>
      <c r="Q380" s="539"/>
      <c r="R380" s="516" t="s">
        <v>163</v>
      </c>
      <c r="S380" s="516" t="s">
        <v>1145</v>
      </c>
      <c r="T380" s="516" t="s">
        <v>49</v>
      </c>
      <c r="U380" s="516"/>
      <c r="V380" s="548" t="s">
        <v>107</v>
      </c>
      <c r="W380" s="541" t="s">
        <v>1146</v>
      </c>
      <c r="X380" s="516" t="s">
        <v>876</v>
      </c>
      <c r="Y380" s="534"/>
      <c r="Z380" s="534"/>
      <c r="AA380" s="534"/>
      <c r="AB380" s="516"/>
      <c r="AC380" s="516"/>
      <c r="AD380" s="516"/>
      <c r="AE380" s="516"/>
      <c r="AF380" s="516"/>
      <c r="AG380" s="516"/>
      <c r="AH380" s="516" t="s">
        <v>872</v>
      </c>
      <c r="AI380" s="516"/>
      <c r="AJ380" s="516"/>
      <c r="AK380" s="516"/>
      <c r="AL380" s="544"/>
      <c r="AM380" s="544"/>
    </row>
    <row r="381" spans="3:39" ht="18" customHeight="1">
      <c r="C381" s="516">
        <v>365</v>
      </c>
      <c r="D381" s="516" t="s">
        <v>2585</v>
      </c>
      <c r="E381" s="516">
        <f t="shared" si="4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38" t="s">
        <v>787</v>
      </c>
      <c r="Q381" s="539"/>
      <c r="R381" s="516"/>
      <c r="S381" s="516"/>
      <c r="T381" s="516"/>
      <c r="U381" s="516" t="s">
        <v>788</v>
      </c>
      <c r="V381" s="538" t="s">
        <v>2586</v>
      </c>
      <c r="W381" s="541" t="s">
        <v>2587</v>
      </c>
      <c r="X381" s="516" t="s">
        <v>876</v>
      </c>
      <c r="Y381" s="542">
        <v>35049</v>
      </c>
      <c r="Z381" s="543">
        <f t="shared" ref="Z381:Z635" ca="1" si="5">DATEDIF(Y381,TODAY(),"Y")</f>
        <v>30</v>
      </c>
      <c r="AA381" s="534"/>
      <c r="AB381" s="516"/>
      <c r="AC381" s="516" t="s">
        <v>842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 t="s">
        <v>2443</v>
      </c>
      <c r="AJ381" s="516"/>
      <c r="AK381" s="516"/>
      <c r="AL381" s="544"/>
      <c r="AM381" s="544"/>
    </row>
    <row r="382" spans="3:39" ht="18" customHeight="1">
      <c r="C382" s="516">
        <v>366</v>
      </c>
      <c r="D382" s="516" t="s">
        <v>2588</v>
      </c>
      <c r="E382" s="516">
        <f t="shared" si="4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874</v>
      </c>
      <c r="V382" s="538" t="s">
        <v>2589</v>
      </c>
      <c r="W382" s="541" t="s">
        <v>2590</v>
      </c>
      <c r="X382" s="516" t="s">
        <v>876</v>
      </c>
      <c r="Y382" s="542">
        <v>29815</v>
      </c>
      <c r="Z382" s="543">
        <f t="shared" ca="1" si="5"/>
        <v>44</v>
      </c>
      <c r="AA382" s="534"/>
      <c r="AB382" s="516"/>
      <c r="AC382" s="516" t="s">
        <v>842</v>
      </c>
      <c r="AD382" s="516" t="s">
        <v>794</v>
      </c>
      <c r="AE382" s="534" t="s">
        <v>815</v>
      </c>
      <c r="AF382" s="534" t="s">
        <v>815</v>
      </c>
      <c r="AG382" s="534" t="s">
        <v>2592</v>
      </c>
      <c r="AH382" s="516"/>
      <c r="AI382" s="516" t="s">
        <v>2593</v>
      </c>
      <c r="AJ382" s="516"/>
      <c r="AK382" s="516"/>
      <c r="AL382" s="544"/>
      <c r="AM382" s="544"/>
    </row>
    <row r="383" spans="3:39" ht="18" customHeight="1">
      <c r="C383" s="516">
        <v>368</v>
      </c>
      <c r="D383" s="516" t="s">
        <v>2594</v>
      </c>
      <c r="E383" s="516">
        <f t="shared" si="4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59" t="s">
        <v>787</v>
      </c>
      <c r="Q383" s="539"/>
      <c r="R383" s="516"/>
      <c r="S383" s="516"/>
      <c r="T383" s="516"/>
      <c r="U383" s="516" t="s">
        <v>788</v>
      </c>
      <c r="V383" s="559" t="s">
        <v>2595</v>
      </c>
      <c r="W383" s="541" t="s">
        <v>2596</v>
      </c>
      <c r="X383" s="516" t="s">
        <v>876</v>
      </c>
      <c r="Y383" s="542">
        <v>38225</v>
      </c>
      <c r="Z383" s="543">
        <f t="shared" ca="1" si="5"/>
        <v>21</v>
      </c>
      <c r="AA383" s="534" t="s">
        <v>2597</v>
      </c>
      <c r="AB383" s="516"/>
      <c r="AC383" s="516" t="s">
        <v>842</v>
      </c>
      <c r="AD383" s="516" t="s">
        <v>843</v>
      </c>
      <c r="AE383" s="534" t="s">
        <v>815</v>
      </c>
      <c r="AF383" s="534" t="s">
        <v>815</v>
      </c>
      <c r="AG383" s="534" t="s">
        <v>2598</v>
      </c>
      <c r="AH383" s="516"/>
      <c r="AI383" s="538"/>
      <c r="AJ383" s="516" t="s">
        <v>903</v>
      </c>
      <c r="AK383" s="516"/>
      <c r="AL383" s="544"/>
      <c r="AM383" s="544"/>
    </row>
    <row r="384" spans="3:39" ht="18" customHeight="1">
      <c r="C384" s="516">
        <v>369</v>
      </c>
      <c r="D384" s="516" t="s">
        <v>2599</v>
      </c>
      <c r="E384" s="516">
        <f t="shared" si="4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2599</v>
      </c>
      <c r="L384" s="535" t="s">
        <v>2600</v>
      </c>
      <c r="M384" s="536" t="s">
        <v>2601</v>
      </c>
      <c r="N384" s="537"/>
      <c r="O384" s="537"/>
      <c r="P384" s="548" t="s">
        <v>828</v>
      </c>
      <c r="Q384" s="539"/>
      <c r="R384" s="516" t="s">
        <v>49</v>
      </c>
      <c r="S384" s="516" t="s">
        <v>168</v>
      </c>
      <c r="T384" s="516"/>
      <c r="U384" s="516" t="s">
        <v>788</v>
      </c>
      <c r="V384" s="548" t="s">
        <v>327</v>
      </c>
      <c r="W384" s="541" t="s">
        <v>2602</v>
      </c>
      <c r="X384" s="516" t="s">
        <v>790</v>
      </c>
      <c r="Y384" s="542">
        <v>37769</v>
      </c>
      <c r="Z384" s="543">
        <f t="shared" ca="1" si="5"/>
        <v>22</v>
      </c>
      <c r="AA384" s="534" t="s">
        <v>2603</v>
      </c>
      <c r="AB384" s="516" t="s">
        <v>2604</v>
      </c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1352</v>
      </c>
      <c r="AH384" s="516"/>
      <c r="AI384" s="516"/>
      <c r="AJ384" s="516" t="s">
        <v>844</v>
      </c>
      <c r="AK384" s="516"/>
      <c r="AL384" s="544"/>
      <c r="AM384" s="544"/>
    </row>
    <row r="385" spans="3:39" ht="18" customHeight="1">
      <c r="C385" s="516">
        <v>370</v>
      </c>
      <c r="D385" s="516" t="s">
        <v>2600</v>
      </c>
      <c r="E385" s="516">
        <f t="shared" si="4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2599</v>
      </c>
      <c r="L385" s="535" t="s">
        <v>2600</v>
      </c>
      <c r="M385" s="536" t="s">
        <v>2601</v>
      </c>
      <c r="N385" s="537"/>
      <c r="O385" s="537"/>
      <c r="P385" s="538" t="s">
        <v>828</v>
      </c>
      <c r="Q385" s="539"/>
      <c r="R385" s="516" t="s">
        <v>62</v>
      </c>
      <c r="S385" s="516" t="s">
        <v>548</v>
      </c>
      <c r="T385" s="516"/>
      <c r="U385" s="516" t="s">
        <v>788</v>
      </c>
      <c r="V385" s="538" t="s">
        <v>341</v>
      </c>
      <c r="W385" s="541" t="s">
        <v>2605</v>
      </c>
      <c r="X385" s="516" t="s">
        <v>876</v>
      </c>
      <c r="Y385" s="542">
        <v>37727</v>
      </c>
      <c r="Z385" s="543">
        <f t="shared" ca="1" si="5"/>
        <v>22</v>
      </c>
      <c r="AA385" s="534" t="s">
        <v>2606</v>
      </c>
      <c r="AB385" s="516"/>
      <c r="AC385" s="516" t="s">
        <v>793</v>
      </c>
      <c r="AD385" s="516" t="s">
        <v>794</v>
      </c>
      <c r="AE385" s="534" t="s">
        <v>815</v>
      </c>
      <c r="AF385" s="534" t="s">
        <v>815</v>
      </c>
      <c r="AG385" s="534" t="s">
        <v>2004</v>
      </c>
      <c r="AH385" s="516"/>
      <c r="AI385" s="516"/>
      <c r="AJ385" s="516" t="s">
        <v>867</v>
      </c>
      <c r="AK385" s="516"/>
      <c r="AL385" s="544"/>
      <c r="AM385" s="544"/>
    </row>
    <row r="386" spans="3:39" ht="18" customHeight="1">
      <c r="C386" s="516">
        <v>371</v>
      </c>
      <c r="D386" s="516" t="s">
        <v>2601</v>
      </c>
      <c r="E386" s="516">
        <f t="shared" si="4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2599</v>
      </c>
      <c r="L386" s="535" t="s">
        <v>2600</v>
      </c>
      <c r="M386" s="536" t="s">
        <v>2601</v>
      </c>
      <c r="N386" s="537"/>
      <c r="O386" s="537"/>
      <c r="P386" s="538" t="s">
        <v>828</v>
      </c>
      <c r="Q386" s="539"/>
      <c r="R386" s="516" t="s">
        <v>62</v>
      </c>
      <c r="S386" s="516" t="s">
        <v>548</v>
      </c>
      <c r="T386" s="516"/>
      <c r="U386" s="516" t="s">
        <v>788</v>
      </c>
      <c r="V386" s="538" t="s">
        <v>2608</v>
      </c>
      <c r="W386" s="541" t="s">
        <v>2609</v>
      </c>
      <c r="X386" s="516" t="s">
        <v>790</v>
      </c>
      <c r="Y386" s="542">
        <v>38733</v>
      </c>
      <c r="Z386" s="543">
        <f t="shared" ca="1" si="5"/>
        <v>20</v>
      </c>
      <c r="AA386" s="534" t="s">
        <v>2610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1400</v>
      </c>
      <c r="AG386" s="534"/>
      <c r="AH386" s="516"/>
      <c r="AI386" s="516"/>
      <c r="AJ386" s="516" t="s">
        <v>903</v>
      </c>
      <c r="AK386" s="516"/>
      <c r="AL386" s="544"/>
      <c r="AM386" s="544"/>
    </row>
    <row r="387" spans="3:39" ht="18" customHeight="1">
      <c r="C387" s="516">
        <v>372</v>
      </c>
      <c r="D387" s="516" t="s">
        <v>2620</v>
      </c>
      <c r="E387" s="516">
        <f t="shared" si="4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38" t="s">
        <v>828</v>
      </c>
      <c r="Q387" s="539"/>
      <c r="R387" s="516"/>
      <c r="S387" s="516"/>
      <c r="T387" s="516"/>
      <c r="U387" s="516" t="s">
        <v>788</v>
      </c>
      <c r="V387" s="538" t="s">
        <v>393</v>
      </c>
      <c r="W387" s="541" t="s">
        <v>2621</v>
      </c>
      <c r="X387" s="516" t="s">
        <v>876</v>
      </c>
      <c r="Y387" s="542">
        <v>37305</v>
      </c>
      <c r="Z387" s="543">
        <f t="shared" ca="1" si="5"/>
        <v>23</v>
      </c>
      <c r="AA387" s="534" t="s">
        <v>2622</v>
      </c>
      <c r="AB387" s="516"/>
      <c r="AC387" s="516" t="s">
        <v>793</v>
      </c>
      <c r="AD387" s="516" t="s">
        <v>794</v>
      </c>
      <c r="AE387" s="534" t="s">
        <v>815</v>
      </c>
      <c r="AF387" s="534" t="s">
        <v>2624</v>
      </c>
      <c r="AG387" s="534" t="s">
        <v>2625</v>
      </c>
      <c r="AH387" s="516"/>
      <c r="AI387" s="516"/>
      <c r="AJ387" s="516" t="s">
        <v>867</v>
      </c>
      <c r="AK387" s="516"/>
      <c r="AL387" s="544"/>
      <c r="AM387" s="544"/>
    </row>
    <row r="388" spans="3:39" ht="18" customHeight="1">
      <c r="C388" s="516">
        <v>373</v>
      </c>
      <c r="D388" s="516" t="s">
        <v>2626</v>
      </c>
      <c r="E388" s="516">
        <f t="shared" si="4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/>
      <c r="S388" s="516"/>
      <c r="T388" s="516"/>
      <c r="U388" s="516" t="s">
        <v>788</v>
      </c>
      <c r="V388" s="538" t="s">
        <v>405</v>
      </c>
      <c r="W388" s="541" t="s">
        <v>2627</v>
      </c>
      <c r="X388" s="516" t="s">
        <v>876</v>
      </c>
      <c r="Y388" s="542">
        <v>37780</v>
      </c>
      <c r="Z388" s="543">
        <f t="shared" ca="1" si="5"/>
        <v>22</v>
      </c>
      <c r="AA388" s="534" t="s">
        <v>2628</v>
      </c>
      <c r="AB388" s="516"/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2630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374</v>
      </c>
      <c r="D389" s="516" t="s">
        <v>2631</v>
      </c>
      <c r="E389" s="516">
        <f t="shared" si="4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/>
      <c r="S389" s="516"/>
      <c r="T389" s="516"/>
      <c r="U389" s="516" t="s">
        <v>1886</v>
      </c>
      <c r="V389" s="538" t="s">
        <v>2632</v>
      </c>
      <c r="W389" s="541" t="s">
        <v>2633</v>
      </c>
      <c r="X389" s="516" t="s">
        <v>790</v>
      </c>
      <c r="Y389" s="542">
        <v>39172</v>
      </c>
      <c r="Z389" s="543">
        <f t="shared" ca="1" si="5"/>
        <v>18</v>
      </c>
      <c r="AA389" s="534" t="s">
        <v>2634</v>
      </c>
      <c r="AB389" s="516"/>
      <c r="AC389" s="516" t="s">
        <v>842</v>
      </c>
      <c r="AD389" s="516" t="s">
        <v>851</v>
      </c>
      <c r="AE389" s="534" t="s">
        <v>815</v>
      </c>
      <c r="AF389" s="534" t="s">
        <v>815</v>
      </c>
      <c r="AG389" s="534" t="s">
        <v>2636</v>
      </c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375</v>
      </c>
      <c r="D390" s="516" t="s">
        <v>2637</v>
      </c>
      <c r="E390" s="516">
        <f t="shared" si="4"/>
        <v>347</v>
      </c>
      <c r="F390" s="534" t="s">
        <v>811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 t="s">
        <v>308</v>
      </c>
      <c r="R390" s="516"/>
      <c r="S390" s="516"/>
      <c r="T390" s="516"/>
      <c r="U390" s="516" t="s">
        <v>788</v>
      </c>
      <c r="V390" s="538" t="s">
        <v>420</v>
      </c>
      <c r="W390" s="541" t="s">
        <v>2638</v>
      </c>
      <c r="X390" s="516" t="s">
        <v>790</v>
      </c>
      <c r="Y390" s="542">
        <v>38008</v>
      </c>
      <c r="Z390" s="543">
        <f t="shared" ca="1" si="5"/>
        <v>22</v>
      </c>
      <c r="AA390" s="534" t="s">
        <v>2639</v>
      </c>
      <c r="AB390" s="516"/>
      <c r="AC390" s="516" t="s">
        <v>842</v>
      </c>
      <c r="AD390" s="516" t="s">
        <v>843</v>
      </c>
      <c r="AE390" s="534" t="s">
        <v>815</v>
      </c>
      <c r="AF390" s="606" t="s">
        <v>815</v>
      </c>
      <c r="AG390" s="534" t="s">
        <v>2641</v>
      </c>
      <c r="AH390" s="516"/>
      <c r="AI390" s="516"/>
      <c r="AJ390" s="593" t="s">
        <v>1604</v>
      </c>
      <c r="AK390" s="516"/>
      <c r="AL390" s="544"/>
      <c r="AM390" s="544"/>
    </row>
    <row r="391" spans="3:39" ht="18" customHeight="1">
      <c r="C391" s="516">
        <v>376</v>
      </c>
      <c r="D391" s="516" t="s">
        <v>2642</v>
      </c>
      <c r="E391" s="516">
        <f t="shared" si="4"/>
        <v>348</v>
      </c>
      <c r="F391" s="534" t="s">
        <v>811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 t="s">
        <v>308</v>
      </c>
      <c r="R391" s="516"/>
      <c r="S391" s="516"/>
      <c r="T391" s="516"/>
      <c r="U391" s="516" t="s">
        <v>788</v>
      </c>
      <c r="V391" s="538" t="s">
        <v>428</v>
      </c>
      <c r="W391" s="541" t="s">
        <v>2643</v>
      </c>
      <c r="X391" s="516" t="s">
        <v>790</v>
      </c>
      <c r="Y391" s="542">
        <v>37580</v>
      </c>
      <c r="Z391" s="543">
        <f t="shared" ca="1" si="5"/>
        <v>23</v>
      </c>
      <c r="AA391" s="534" t="s">
        <v>2644</v>
      </c>
      <c r="AB391" s="516"/>
      <c r="AC391" s="516" t="s">
        <v>842</v>
      </c>
      <c r="AD391" s="516" t="s">
        <v>843</v>
      </c>
      <c r="AE391" s="534" t="s">
        <v>815</v>
      </c>
      <c r="AF391" s="606" t="s">
        <v>815</v>
      </c>
      <c r="AG391" s="534" t="s">
        <v>2641</v>
      </c>
      <c r="AH391" s="516"/>
      <c r="AI391" s="516"/>
      <c r="AJ391" s="593" t="s">
        <v>1604</v>
      </c>
      <c r="AK391" s="516"/>
      <c r="AL391" s="544"/>
      <c r="AM391" s="544"/>
    </row>
    <row r="392" spans="3:39" ht="18" customHeight="1">
      <c r="C392" s="516">
        <v>377</v>
      </c>
      <c r="D392" s="516" t="s">
        <v>2646</v>
      </c>
      <c r="E392" s="516">
        <f t="shared" si="4"/>
        <v>349</v>
      </c>
      <c r="F392" s="534" t="s">
        <v>811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 t="s">
        <v>308</v>
      </c>
      <c r="R392" s="516"/>
      <c r="S392" s="516"/>
      <c r="T392" s="516"/>
      <c r="U392" s="516" t="s">
        <v>788</v>
      </c>
      <c r="V392" s="538" t="s">
        <v>432</v>
      </c>
      <c r="W392" s="541" t="s">
        <v>2647</v>
      </c>
      <c r="X392" s="516" t="s">
        <v>790</v>
      </c>
      <c r="Y392" s="542">
        <v>37196</v>
      </c>
      <c r="Z392" s="543">
        <f t="shared" ca="1" si="5"/>
        <v>24</v>
      </c>
      <c r="AA392" s="534" t="s">
        <v>2648</v>
      </c>
      <c r="AB392" s="516"/>
      <c r="AC392" s="516" t="s">
        <v>842</v>
      </c>
      <c r="AD392" s="516" t="s">
        <v>843</v>
      </c>
      <c r="AE392" s="534" t="s">
        <v>815</v>
      </c>
      <c r="AF392" s="606" t="s">
        <v>815</v>
      </c>
      <c r="AG392" s="534" t="s">
        <v>2641</v>
      </c>
      <c r="AH392" s="516"/>
      <c r="AI392" s="516"/>
      <c r="AJ392" s="593" t="s">
        <v>1604</v>
      </c>
      <c r="AK392" s="516"/>
      <c r="AL392" s="544"/>
      <c r="AM392" s="544"/>
    </row>
    <row r="393" spans="3:39" ht="18" customHeight="1">
      <c r="C393" s="516">
        <v>378</v>
      </c>
      <c r="D393" s="516" t="s">
        <v>2649</v>
      </c>
      <c r="E393" s="516">
        <f t="shared" si="4"/>
        <v>350</v>
      </c>
      <c r="F393" s="534" t="s">
        <v>1310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 t="s">
        <v>308</v>
      </c>
      <c r="R393" s="516"/>
      <c r="S393" s="516"/>
      <c r="T393" s="516"/>
      <c r="U393" s="516" t="s">
        <v>1886</v>
      </c>
      <c r="V393" s="538" t="s">
        <v>434</v>
      </c>
      <c r="W393" s="541" t="s">
        <v>2650</v>
      </c>
      <c r="X393" s="516" t="s">
        <v>790</v>
      </c>
      <c r="Y393" s="542">
        <v>39093</v>
      </c>
      <c r="Z393" s="543">
        <f t="shared" ca="1" si="5"/>
        <v>19</v>
      </c>
      <c r="AA393" s="534" t="s">
        <v>2651</v>
      </c>
      <c r="AB393" s="516"/>
      <c r="AC393" s="516" t="s">
        <v>842</v>
      </c>
      <c r="AD393" s="516" t="s">
        <v>843</v>
      </c>
      <c r="AE393" s="534" t="s">
        <v>713</v>
      </c>
      <c r="AF393" s="534" t="s">
        <v>713</v>
      </c>
      <c r="AG393" s="534" t="s">
        <v>1570</v>
      </c>
      <c r="AH393" s="516"/>
      <c r="AI393" s="516"/>
      <c r="AJ393" s="516" t="s">
        <v>1497</v>
      </c>
      <c r="AK393" s="516"/>
      <c r="AL393" s="544"/>
      <c r="AM393" s="544"/>
    </row>
    <row r="394" spans="3:39" ht="18" customHeight="1">
      <c r="C394" s="516">
        <v>379</v>
      </c>
      <c r="D394" s="516" t="s">
        <v>2653</v>
      </c>
      <c r="E394" s="516">
        <f t="shared" si="4"/>
        <v>351</v>
      </c>
      <c r="F394" s="534" t="s">
        <v>1310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 t="s">
        <v>308</v>
      </c>
      <c r="R394" s="516"/>
      <c r="S394" s="516"/>
      <c r="T394" s="516"/>
      <c r="U394" s="516" t="s">
        <v>1886</v>
      </c>
      <c r="V394" s="538" t="s">
        <v>436</v>
      </c>
      <c r="W394" s="541" t="s">
        <v>2654</v>
      </c>
      <c r="X394" s="516" t="s">
        <v>790</v>
      </c>
      <c r="Y394" s="542">
        <v>40221</v>
      </c>
      <c r="Z394" s="543">
        <f t="shared" ca="1" si="5"/>
        <v>15</v>
      </c>
      <c r="AA394" s="534" t="s">
        <v>2655</v>
      </c>
      <c r="AB394" s="516"/>
      <c r="AC394" s="516" t="s">
        <v>842</v>
      </c>
      <c r="AD394" s="516" t="s">
        <v>843</v>
      </c>
      <c r="AE394" s="534" t="s">
        <v>809</v>
      </c>
      <c r="AF394" s="534" t="s">
        <v>809</v>
      </c>
      <c r="AG394" s="534" t="s">
        <v>2085</v>
      </c>
      <c r="AH394" s="516"/>
      <c r="AI394" s="516"/>
      <c r="AJ394" s="516" t="s">
        <v>1497</v>
      </c>
      <c r="AK394" s="516"/>
      <c r="AL394" s="544"/>
      <c r="AM394" s="544"/>
    </row>
    <row r="395" spans="3:39" ht="18" customHeight="1">
      <c r="C395" s="516">
        <v>380</v>
      </c>
      <c r="D395" s="516" t="s">
        <v>2657</v>
      </c>
      <c r="E395" s="516">
        <f t="shared" si="4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788</v>
      </c>
      <c r="V395" s="538" t="s">
        <v>438</v>
      </c>
      <c r="W395" s="541" t="s">
        <v>2658</v>
      </c>
      <c r="X395" s="516" t="s">
        <v>790</v>
      </c>
      <c r="Y395" s="542">
        <v>36480</v>
      </c>
      <c r="Z395" s="543">
        <f t="shared" ca="1" si="5"/>
        <v>26</v>
      </c>
      <c r="AA395" s="534" t="s">
        <v>2659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1552</v>
      </c>
      <c r="AG395" s="534" t="s">
        <v>2661</v>
      </c>
      <c r="AH395" s="516"/>
      <c r="AI395" s="516"/>
      <c r="AJ395" s="516" t="s">
        <v>867</v>
      </c>
      <c r="AK395" s="516"/>
      <c r="AL395" s="544"/>
      <c r="AM395" s="544"/>
    </row>
    <row r="396" spans="3:39" ht="18" customHeight="1">
      <c r="C396" s="516">
        <v>367</v>
      </c>
      <c r="D396" s="516" t="s">
        <v>2313</v>
      </c>
      <c r="E396" s="516">
        <f t="shared" si="4"/>
        <v>353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/>
      <c r="R396" s="516"/>
      <c r="S396" s="516"/>
      <c r="T396" s="516"/>
      <c r="U396" s="516" t="s">
        <v>788</v>
      </c>
      <c r="V396" s="538" t="s">
        <v>2314</v>
      </c>
      <c r="W396" s="541" t="s">
        <v>2315</v>
      </c>
      <c r="X396" s="516" t="s">
        <v>790</v>
      </c>
      <c r="Y396" s="542">
        <v>35416</v>
      </c>
      <c r="Z396" s="543">
        <f t="shared" ca="1" si="5"/>
        <v>29</v>
      </c>
      <c r="AA396" s="534"/>
      <c r="AB396" s="516"/>
      <c r="AC396" s="516" t="s">
        <v>842</v>
      </c>
      <c r="AD396" s="516" t="s">
        <v>851</v>
      </c>
      <c r="AE396" s="534" t="s">
        <v>815</v>
      </c>
      <c r="AF396" s="534" t="s">
        <v>815</v>
      </c>
      <c r="AG396" s="534" t="s">
        <v>2317</v>
      </c>
      <c r="AH396" s="516" t="s">
        <v>1571</v>
      </c>
      <c r="AI396" s="516" t="s">
        <v>2318</v>
      </c>
      <c r="AJ396" s="516"/>
      <c r="AK396" s="516"/>
      <c r="AL396" s="544"/>
      <c r="AM396" s="544"/>
    </row>
    <row r="397" spans="3:39" ht="18" customHeight="1">
      <c r="C397" s="516">
        <v>381</v>
      </c>
      <c r="D397" s="516" t="s">
        <v>2662</v>
      </c>
      <c r="E397" s="516">
        <f t="shared" si="4"/>
        <v>354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/>
      <c r="R397" s="516"/>
      <c r="S397" s="516"/>
      <c r="T397" s="516"/>
      <c r="U397" s="516" t="s">
        <v>788</v>
      </c>
      <c r="V397" s="538" t="s">
        <v>2663</v>
      </c>
      <c r="W397" s="541" t="s">
        <v>2664</v>
      </c>
      <c r="X397" s="516" t="s">
        <v>790</v>
      </c>
      <c r="Y397" s="542">
        <v>31601</v>
      </c>
      <c r="Z397" s="543">
        <f t="shared" ca="1" si="5"/>
        <v>39</v>
      </c>
      <c r="AA397" s="534" t="s">
        <v>2665</v>
      </c>
      <c r="AB397" s="516"/>
      <c r="AC397" s="516" t="s">
        <v>842</v>
      </c>
      <c r="AD397" s="516" t="s">
        <v>843</v>
      </c>
      <c r="AE397" s="534" t="s">
        <v>815</v>
      </c>
      <c r="AF397" s="534" t="s">
        <v>815</v>
      </c>
      <c r="AG397" s="534" t="s">
        <v>2306</v>
      </c>
      <c r="AH397" s="516"/>
      <c r="AI397" s="516" t="s">
        <v>2666</v>
      </c>
      <c r="AJ397" s="516" t="s">
        <v>867</v>
      </c>
      <c r="AK397" s="516"/>
      <c r="AL397" s="544"/>
      <c r="AM397" s="544"/>
    </row>
    <row r="398" spans="3:39" ht="18" customHeight="1">
      <c r="C398" s="516">
        <v>382</v>
      </c>
      <c r="D398" s="516" t="s">
        <v>2667</v>
      </c>
      <c r="E398" s="516">
        <f t="shared" si="4"/>
        <v>355</v>
      </c>
      <c r="F398" s="534" t="s">
        <v>981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/>
      <c r="R398" s="516"/>
      <c r="S398" s="516"/>
      <c r="T398" s="516"/>
      <c r="U398" s="516" t="s">
        <v>788</v>
      </c>
      <c r="V398" s="538" t="s">
        <v>2668</v>
      </c>
      <c r="W398" s="541" t="s">
        <v>2669</v>
      </c>
      <c r="X398" s="516" t="s">
        <v>876</v>
      </c>
      <c r="Y398" s="542">
        <v>37074</v>
      </c>
      <c r="Z398" s="543">
        <f t="shared" ca="1" si="5"/>
        <v>24</v>
      </c>
      <c r="AA398" s="534" t="s">
        <v>2670</v>
      </c>
      <c r="AB398" s="516"/>
      <c r="AC398" s="516" t="s">
        <v>842</v>
      </c>
      <c r="AD398" s="516" t="s">
        <v>843</v>
      </c>
      <c r="AE398" s="534" t="s">
        <v>1256</v>
      </c>
      <c r="AF398" s="534" t="s">
        <v>1256</v>
      </c>
      <c r="AG398" s="534" t="s">
        <v>1257</v>
      </c>
      <c r="AH398" s="516"/>
      <c r="AI398" s="516" t="s">
        <v>2672</v>
      </c>
      <c r="AJ398" s="516" t="s">
        <v>867</v>
      </c>
      <c r="AK398" s="516"/>
      <c r="AL398" s="544"/>
      <c r="AM398" s="544"/>
    </row>
    <row r="399" spans="3:39" ht="18" customHeight="1">
      <c r="C399" s="516">
        <v>383</v>
      </c>
      <c r="D399" s="516" t="s">
        <v>2673</v>
      </c>
      <c r="E399" s="516">
        <f t="shared" si="4"/>
        <v>356</v>
      </c>
      <c r="F399" s="534" t="s">
        <v>1822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/>
      <c r="R399" s="516"/>
      <c r="S399" s="516"/>
      <c r="T399" s="516"/>
      <c r="U399" s="516" t="s">
        <v>788</v>
      </c>
      <c r="V399" s="538" t="s">
        <v>2674</v>
      </c>
      <c r="W399" s="541" t="s">
        <v>2675</v>
      </c>
      <c r="X399" s="516" t="s">
        <v>790</v>
      </c>
      <c r="Y399" s="542">
        <v>37324</v>
      </c>
      <c r="Z399" s="543">
        <f t="shared" ca="1" si="5"/>
        <v>23</v>
      </c>
      <c r="AA399" s="534" t="s">
        <v>2676</v>
      </c>
      <c r="AB399" s="516"/>
      <c r="AC399" s="516" t="s">
        <v>842</v>
      </c>
      <c r="AD399" s="516" t="s">
        <v>843</v>
      </c>
      <c r="AE399" s="534" t="s">
        <v>1868</v>
      </c>
      <c r="AF399" s="534" t="s">
        <v>1868</v>
      </c>
      <c r="AG399" s="534" t="s">
        <v>2677</v>
      </c>
      <c r="AH399" s="516"/>
      <c r="AI399" s="516" t="s">
        <v>2443</v>
      </c>
      <c r="AJ399" s="516" t="s">
        <v>867</v>
      </c>
      <c r="AK399" s="516" t="s">
        <v>1805</v>
      </c>
      <c r="AL399" s="544"/>
      <c r="AM399" s="544"/>
    </row>
    <row r="400" spans="3:39" ht="18" customHeight="1">
      <c r="C400" s="516">
        <v>384</v>
      </c>
      <c r="D400" s="516" t="s">
        <v>2678</v>
      </c>
      <c r="E400" s="516">
        <f t="shared" si="4"/>
        <v>357</v>
      </c>
      <c r="F400" s="534" t="s">
        <v>1822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2679</v>
      </c>
      <c r="W400" s="541" t="s">
        <v>2680</v>
      </c>
      <c r="X400" s="516" t="s">
        <v>876</v>
      </c>
      <c r="Y400" s="542">
        <v>37492</v>
      </c>
      <c r="Z400" s="543">
        <f t="shared" ca="1" si="5"/>
        <v>23</v>
      </c>
      <c r="AA400" s="534" t="s">
        <v>2681</v>
      </c>
      <c r="AB400" s="516"/>
      <c r="AC400" s="516" t="s">
        <v>842</v>
      </c>
      <c r="AD400" s="516" t="s">
        <v>843</v>
      </c>
      <c r="AE400" s="534" t="s">
        <v>1868</v>
      </c>
      <c r="AF400" s="534" t="s">
        <v>1868</v>
      </c>
      <c r="AG400" s="534" t="s">
        <v>2677</v>
      </c>
      <c r="AH400" s="516"/>
      <c r="AI400" s="516" t="s">
        <v>2443</v>
      </c>
      <c r="AJ400" s="516" t="s">
        <v>867</v>
      </c>
      <c r="AK400" s="516" t="s">
        <v>1805</v>
      </c>
      <c r="AL400" s="544"/>
      <c r="AM400" s="544"/>
    </row>
    <row r="401" spans="3:39" ht="18" customHeight="1">
      <c r="C401" s="516">
        <v>385</v>
      </c>
      <c r="D401" s="516" t="s">
        <v>2682</v>
      </c>
      <c r="E401" s="516">
        <f t="shared" si="4"/>
        <v>358</v>
      </c>
      <c r="F401" s="534" t="s">
        <v>1822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59" t="s">
        <v>828</v>
      </c>
      <c r="Q401" s="539"/>
      <c r="R401" s="516"/>
      <c r="S401" s="516"/>
      <c r="T401" s="516"/>
      <c r="U401" s="516" t="s">
        <v>788</v>
      </c>
      <c r="V401" s="559" t="s">
        <v>2683</v>
      </c>
      <c r="W401" s="541" t="s">
        <v>2684</v>
      </c>
      <c r="X401" s="516" t="s">
        <v>790</v>
      </c>
      <c r="Y401" s="542">
        <v>37852</v>
      </c>
      <c r="Z401" s="543">
        <f t="shared" ca="1" si="5"/>
        <v>22</v>
      </c>
      <c r="AA401" s="534" t="s">
        <v>2685</v>
      </c>
      <c r="AB401" s="516"/>
      <c r="AC401" s="516" t="s">
        <v>842</v>
      </c>
      <c r="AD401" s="516" t="s">
        <v>843</v>
      </c>
      <c r="AE401" s="534" t="s">
        <v>1868</v>
      </c>
      <c r="AF401" s="534" t="s">
        <v>1868</v>
      </c>
      <c r="AG401" s="534" t="s">
        <v>2677</v>
      </c>
      <c r="AH401" s="516"/>
      <c r="AI401" s="516" t="s">
        <v>2443</v>
      </c>
      <c r="AJ401" s="516" t="s">
        <v>867</v>
      </c>
      <c r="AK401" s="572" t="s">
        <v>1284</v>
      </c>
      <c r="AL401" s="544"/>
      <c r="AM401" s="544"/>
    </row>
    <row r="402" spans="3:39" ht="18" customHeight="1">
      <c r="C402" s="516">
        <v>386</v>
      </c>
      <c r="D402" s="516" t="s">
        <v>2686</v>
      </c>
      <c r="E402" s="516">
        <f t="shared" si="4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2686</v>
      </c>
      <c r="L402" s="535" t="s">
        <v>2687</v>
      </c>
      <c r="M402" s="536" t="s">
        <v>2688</v>
      </c>
      <c r="N402" s="537"/>
      <c r="O402" s="537"/>
      <c r="P402" s="548" t="s">
        <v>938</v>
      </c>
      <c r="Q402" s="539"/>
      <c r="R402" s="516" t="s">
        <v>49</v>
      </c>
      <c r="S402" s="516" t="s">
        <v>168</v>
      </c>
      <c r="T402" s="516"/>
      <c r="U402" s="516" t="s">
        <v>788</v>
      </c>
      <c r="V402" s="548" t="s">
        <v>2689</v>
      </c>
      <c r="W402" s="541" t="s">
        <v>2690</v>
      </c>
      <c r="X402" s="516" t="s">
        <v>876</v>
      </c>
      <c r="Y402" s="542">
        <v>37703</v>
      </c>
      <c r="Z402" s="543">
        <f t="shared" ca="1" si="5"/>
        <v>22</v>
      </c>
      <c r="AA402" s="534" t="s">
        <v>2691</v>
      </c>
      <c r="AB402" s="516" t="s">
        <v>2692</v>
      </c>
      <c r="AC402" s="516" t="s">
        <v>842</v>
      </c>
      <c r="AD402" s="516" t="s">
        <v>851</v>
      </c>
      <c r="AE402" s="534" t="s">
        <v>815</v>
      </c>
      <c r="AF402" s="534" t="s">
        <v>1400</v>
      </c>
      <c r="AG402" s="534" t="s">
        <v>2693</v>
      </c>
      <c r="AH402" s="516"/>
      <c r="AI402" s="516"/>
      <c r="AJ402" s="516" t="s">
        <v>903</v>
      </c>
      <c r="AK402" s="516"/>
      <c r="AL402" s="544"/>
      <c r="AM402" s="544"/>
    </row>
    <row r="403" spans="3:39" ht="18" customHeight="1">
      <c r="C403" s="516">
        <v>387</v>
      </c>
      <c r="D403" s="516" t="s">
        <v>2687</v>
      </c>
      <c r="E403" s="516">
        <f t="shared" si="4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2686</v>
      </c>
      <c r="L403" s="535" t="s">
        <v>2687</v>
      </c>
      <c r="M403" s="536" t="s">
        <v>2688</v>
      </c>
      <c r="N403" s="537"/>
      <c r="O403" s="537"/>
      <c r="P403" s="538" t="s">
        <v>938</v>
      </c>
      <c r="Q403" s="539"/>
      <c r="R403" s="516" t="s">
        <v>62</v>
      </c>
      <c r="S403" s="516" t="s">
        <v>548</v>
      </c>
      <c r="T403" s="516"/>
      <c r="U403" s="516" t="s">
        <v>1886</v>
      </c>
      <c r="V403" s="538" t="s">
        <v>2694</v>
      </c>
      <c r="W403" s="541" t="s">
        <v>2695</v>
      </c>
      <c r="X403" s="516" t="s">
        <v>876</v>
      </c>
      <c r="Y403" s="542">
        <v>39645</v>
      </c>
      <c r="Z403" s="543">
        <f t="shared" ca="1" si="5"/>
        <v>17</v>
      </c>
      <c r="AA403" s="534" t="s">
        <v>2696</v>
      </c>
      <c r="AB403" s="516"/>
      <c r="AC403" s="516" t="s">
        <v>842</v>
      </c>
      <c r="AD403" s="516" t="s">
        <v>794</v>
      </c>
      <c r="AE403" s="534" t="s">
        <v>815</v>
      </c>
      <c r="AF403" s="534" t="s">
        <v>2698</v>
      </c>
      <c r="AG403" s="534"/>
      <c r="AH403" s="516"/>
      <c r="AI403" s="516"/>
      <c r="AJ403" s="516" t="s">
        <v>903</v>
      </c>
      <c r="AK403" s="516"/>
      <c r="AL403" s="544"/>
      <c r="AM403" s="544"/>
    </row>
    <row r="404" spans="3:39" ht="18" customHeight="1">
      <c r="C404" s="516">
        <v>388</v>
      </c>
      <c r="D404" s="516" t="s">
        <v>2688</v>
      </c>
      <c r="E404" s="516">
        <f t="shared" si="4"/>
        <v>361</v>
      </c>
      <c r="F404" s="534" t="s">
        <v>811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2686</v>
      </c>
      <c r="L404" s="535" t="s">
        <v>2687</v>
      </c>
      <c r="M404" s="536" t="s">
        <v>2688</v>
      </c>
      <c r="N404" s="537"/>
      <c r="O404" s="537"/>
      <c r="P404" s="538" t="s">
        <v>938</v>
      </c>
      <c r="Q404" s="539" t="s">
        <v>308</v>
      </c>
      <c r="R404" s="516" t="s">
        <v>62</v>
      </c>
      <c r="S404" s="516" t="s">
        <v>548</v>
      </c>
      <c r="T404" s="516"/>
      <c r="U404" s="516" t="s">
        <v>788</v>
      </c>
      <c r="V404" s="538" t="s">
        <v>355</v>
      </c>
      <c r="W404" s="541" t="s">
        <v>2699</v>
      </c>
      <c r="X404" s="516" t="s">
        <v>876</v>
      </c>
      <c r="Y404" s="542">
        <v>37883</v>
      </c>
      <c r="Z404" s="543">
        <f t="shared" ca="1" si="5"/>
        <v>22</v>
      </c>
      <c r="AA404" s="534" t="s">
        <v>2700</v>
      </c>
      <c r="AB404" s="516"/>
      <c r="AC404" s="516" t="s">
        <v>842</v>
      </c>
      <c r="AD404" s="516" t="s">
        <v>851</v>
      </c>
      <c r="AE404" s="534" t="s">
        <v>713</v>
      </c>
      <c r="AF404" s="566" t="s">
        <v>713</v>
      </c>
      <c r="AG404" s="534" t="s">
        <v>2297</v>
      </c>
      <c r="AH404" s="516"/>
      <c r="AI404" s="516"/>
      <c r="AJ404" s="516" t="s">
        <v>1497</v>
      </c>
      <c r="AK404" s="516"/>
      <c r="AL404" s="544"/>
      <c r="AM404" s="544"/>
    </row>
    <row r="405" spans="3:39" ht="18" customHeight="1">
      <c r="C405" s="516">
        <v>363</v>
      </c>
      <c r="D405" s="516" t="s">
        <v>2702</v>
      </c>
      <c r="E405" s="516">
        <f t="shared" si="4"/>
        <v>362</v>
      </c>
      <c r="F405" s="534" t="s">
        <v>981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2686</v>
      </c>
      <c r="L405" s="535" t="s">
        <v>2687</v>
      </c>
      <c r="M405" s="536" t="s">
        <v>2688</v>
      </c>
      <c r="N405" s="537"/>
      <c r="O405" s="537"/>
      <c r="P405" s="538" t="s">
        <v>938</v>
      </c>
      <c r="Q405" s="539"/>
      <c r="R405" s="516"/>
      <c r="S405" s="516"/>
      <c r="T405" s="516"/>
      <c r="U405" s="516" t="s">
        <v>788</v>
      </c>
      <c r="V405" s="538" t="s">
        <v>2703</v>
      </c>
      <c r="W405" s="541" t="s">
        <v>2704</v>
      </c>
      <c r="X405" s="516" t="s">
        <v>876</v>
      </c>
      <c r="Y405" s="542">
        <v>36932</v>
      </c>
      <c r="Z405" s="543">
        <f t="shared" ca="1" si="5"/>
        <v>24</v>
      </c>
      <c r="AA405" s="534"/>
      <c r="AB405" s="516"/>
      <c r="AC405" s="516" t="s">
        <v>842</v>
      </c>
      <c r="AD405" s="516" t="s">
        <v>851</v>
      </c>
      <c r="AE405" s="534" t="s">
        <v>815</v>
      </c>
      <c r="AF405" s="534" t="s">
        <v>2706</v>
      </c>
      <c r="AG405" s="534" t="s">
        <v>2707</v>
      </c>
      <c r="AH405" s="516"/>
      <c r="AI405" s="516"/>
      <c r="AJ405" s="516" t="s">
        <v>832</v>
      </c>
      <c r="AK405" s="516"/>
      <c r="AL405" s="544"/>
      <c r="AM405" s="544"/>
    </row>
    <row r="406" spans="3:39" ht="18" customHeight="1">
      <c r="C406" s="516">
        <v>364</v>
      </c>
      <c r="D406" s="516" t="s">
        <v>2708</v>
      </c>
      <c r="E406" s="516">
        <f t="shared" si="4"/>
        <v>363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38" t="s">
        <v>938</v>
      </c>
      <c r="Q406" s="539"/>
      <c r="R406" s="516"/>
      <c r="S406" s="516"/>
      <c r="T406" s="516"/>
      <c r="U406" s="516" t="s">
        <v>788</v>
      </c>
      <c r="V406" s="538" t="s">
        <v>2709</v>
      </c>
      <c r="W406" s="541" t="s">
        <v>2710</v>
      </c>
      <c r="X406" s="516" t="s">
        <v>876</v>
      </c>
      <c r="Y406" s="542">
        <v>36693</v>
      </c>
      <c r="Z406" s="543">
        <f t="shared" ca="1" si="5"/>
        <v>25</v>
      </c>
      <c r="AA406" s="534" t="s">
        <v>2711</v>
      </c>
      <c r="AB406" s="516"/>
      <c r="AC406" s="516" t="s">
        <v>842</v>
      </c>
      <c r="AD406" s="516" t="s">
        <v>843</v>
      </c>
      <c r="AE406" s="534" t="s">
        <v>815</v>
      </c>
      <c r="AF406" s="534" t="s">
        <v>1400</v>
      </c>
      <c r="AG406" s="534" t="s">
        <v>2713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390</v>
      </c>
      <c r="D407" s="516" t="s">
        <v>2714</v>
      </c>
      <c r="E407" s="516">
        <f t="shared" si="4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/>
      <c r="T407" s="516"/>
      <c r="U407" s="516" t="s">
        <v>788</v>
      </c>
      <c r="V407" s="538" t="s">
        <v>2715</v>
      </c>
      <c r="W407" s="541" t="s">
        <v>2716</v>
      </c>
      <c r="X407" s="516" t="s">
        <v>876</v>
      </c>
      <c r="Y407" s="542">
        <v>37525</v>
      </c>
      <c r="Z407" s="543">
        <f t="shared" ca="1" si="5"/>
        <v>23</v>
      </c>
      <c r="AA407" s="534" t="s">
        <v>2717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815</v>
      </c>
      <c r="AG407" s="534" t="s">
        <v>1282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391</v>
      </c>
      <c r="D408" s="516" t="s">
        <v>2719</v>
      </c>
      <c r="E408" s="516">
        <f t="shared" si="4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/>
      <c r="S408" s="516"/>
      <c r="T408" s="516"/>
      <c r="U408" s="516" t="s">
        <v>788</v>
      </c>
      <c r="V408" s="538" t="s">
        <v>2720</v>
      </c>
      <c r="W408" s="541" t="s">
        <v>2721</v>
      </c>
      <c r="X408" s="516" t="s">
        <v>876</v>
      </c>
      <c r="Y408" s="542">
        <v>37583</v>
      </c>
      <c r="Z408" s="543">
        <f t="shared" ca="1" si="5"/>
        <v>23</v>
      </c>
      <c r="AA408" s="534" t="s">
        <v>2722</v>
      </c>
      <c r="AB408" s="516"/>
      <c r="AC408" s="516" t="s">
        <v>842</v>
      </c>
      <c r="AD408" s="516" t="s">
        <v>851</v>
      </c>
      <c r="AE408" s="534" t="s">
        <v>815</v>
      </c>
      <c r="AF408" s="534" t="s">
        <v>815</v>
      </c>
      <c r="AG408" s="534" t="s">
        <v>1282</v>
      </c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392</v>
      </c>
      <c r="D409" s="516" t="s">
        <v>2724</v>
      </c>
      <c r="E409" s="516">
        <f t="shared" si="4"/>
        <v>366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2725</v>
      </c>
      <c r="W409" s="541" t="s">
        <v>2726</v>
      </c>
      <c r="X409" s="516" t="s">
        <v>876</v>
      </c>
      <c r="Y409" s="542">
        <v>38675</v>
      </c>
      <c r="Z409" s="543">
        <f t="shared" ca="1" si="5"/>
        <v>20</v>
      </c>
      <c r="AA409" s="534" t="s">
        <v>2727</v>
      </c>
      <c r="AB409" s="516"/>
      <c r="AC409" s="516" t="s">
        <v>842</v>
      </c>
      <c r="AD409" s="516" t="s">
        <v>843</v>
      </c>
      <c r="AE409" s="534" t="s">
        <v>815</v>
      </c>
      <c r="AF409" s="534" t="s">
        <v>815</v>
      </c>
      <c r="AG409" s="534" t="s">
        <v>2525</v>
      </c>
      <c r="AH409" s="516"/>
      <c r="AI409" s="516"/>
      <c r="AJ409" s="516" t="s">
        <v>903</v>
      </c>
      <c r="AK409" s="516"/>
      <c r="AL409" s="544"/>
      <c r="AM409" s="544"/>
    </row>
    <row r="410" spans="3:39" ht="18" customHeight="1">
      <c r="C410" s="516">
        <v>393</v>
      </c>
      <c r="D410" s="516" t="s">
        <v>2729</v>
      </c>
      <c r="E410" s="516">
        <f t="shared" si="4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2730</v>
      </c>
      <c r="W410" s="541" t="s">
        <v>2731</v>
      </c>
      <c r="X410" s="516" t="s">
        <v>876</v>
      </c>
      <c r="Y410" s="542">
        <v>37348</v>
      </c>
      <c r="Z410" s="543">
        <f t="shared" ca="1" si="5"/>
        <v>23</v>
      </c>
      <c r="AA410" s="534" t="s">
        <v>2732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815</v>
      </c>
      <c r="AG410" s="534" t="s">
        <v>2734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394</v>
      </c>
      <c r="D411" s="516" t="s">
        <v>2735</v>
      </c>
      <c r="E411" s="516">
        <f t="shared" si="4"/>
        <v>368</v>
      </c>
      <c r="F411" s="534" t="s">
        <v>811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 t="s">
        <v>308</v>
      </c>
      <c r="R411" s="516"/>
      <c r="S411" s="516"/>
      <c r="T411" s="516"/>
      <c r="U411" s="516" t="s">
        <v>788</v>
      </c>
      <c r="V411" s="538" t="s">
        <v>421</v>
      </c>
      <c r="W411" s="541" t="s">
        <v>2736</v>
      </c>
      <c r="X411" s="516" t="s">
        <v>876</v>
      </c>
      <c r="Y411" s="542">
        <v>37194</v>
      </c>
      <c r="Z411" s="543">
        <f t="shared" ca="1" si="5"/>
        <v>24</v>
      </c>
      <c r="AA411" s="534" t="s">
        <v>2737</v>
      </c>
      <c r="AB411" s="516"/>
      <c r="AC411" s="516" t="s">
        <v>842</v>
      </c>
      <c r="AD411" s="516" t="s">
        <v>851</v>
      </c>
      <c r="AE411" s="534" t="s">
        <v>815</v>
      </c>
      <c r="AF411" s="606" t="s">
        <v>815</v>
      </c>
      <c r="AG411" s="534" t="s">
        <v>2598</v>
      </c>
      <c r="AH411" s="516"/>
      <c r="AI411" s="516"/>
      <c r="AJ411" s="516" t="s">
        <v>1497</v>
      </c>
      <c r="AK411" s="516"/>
      <c r="AL411" s="544"/>
      <c r="AM411" s="544"/>
    </row>
    <row r="412" spans="3:39" ht="18" customHeight="1">
      <c r="C412" s="516">
        <v>395</v>
      </c>
      <c r="D412" s="516" t="s">
        <v>2739</v>
      </c>
      <c r="E412" s="516">
        <f t="shared" si="4"/>
        <v>369</v>
      </c>
      <c r="F412" s="534" t="s">
        <v>1310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 t="s">
        <v>308</v>
      </c>
      <c r="R412" s="516"/>
      <c r="S412" s="516"/>
      <c r="T412" s="516"/>
      <c r="U412" s="516" t="s">
        <v>1886</v>
      </c>
      <c r="V412" s="538" t="s">
        <v>429</v>
      </c>
      <c r="W412" s="541" t="s">
        <v>2740</v>
      </c>
      <c r="X412" s="516" t="s">
        <v>876</v>
      </c>
      <c r="Y412" s="542">
        <v>39601</v>
      </c>
      <c r="Z412" s="543">
        <f t="shared" ca="1" si="5"/>
        <v>17</v>
      </c>
      <c r="AA412" s="534" t="s">
        <v>2741</v>
      </c>
      <c r="AB412" s="516"/>
      <c r="AC412" s="516" t="s">
        <v>842</v>
      </c>
      <c r="AD412" s="516" t="s">
        <v>843</v>
      </c>
      <c r="AE412" s="534" t="s">
        <v>815</v>
      </c>
      <c r="AF412" s="534" t="s">
        <v>815</v>
      </c>
      <c r="AG412" s="534" t="s">
        <v>2743</v>
      </c>
      <c r="AH412" s="516"/>
      <c r="AI412" s="516"/>
      <c r="AJ412" s="516" t="s">
        <v>1497</v>
      </c>
      <c r="AK412" s="516"/>
      <c r="AL412" s="544"/>
      <c r="AM412" s="544"/>
    </row>
    <row r="413" spans="3:39" ht="18" customHeight="1">
      <c r="C413" s="516">
        <v>389</v>
      </c>
      <c r="D413" s="516" t="s">
        <v>2744</v>
      </c>
      <c r="E413" s="516">
        <f t="shared" si="4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2745</v>
      </c>
      <c r="W413" s="541" t="s">
        <v>2746</v>
      </c>
      <c r="X413" s="516" t="s">
        <v>876</v>
      </c>
      <c r="Y413" s="542">
        <v>37308</v>
      </c>
      <c r="Z413" s="543">
        <f t="shared" ca="1" si="5"/>
        <v>23</v>
      </c>
      <c r="AA413" s="534" t="s">
        <v>2747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1552</v>
      </c>
      <c r="AG413" s="534" t="s">
        <v>2749</v>
      </c>
      <c r="AH413" s="516"/>
      <c r="AI413" s="516" t="s">
        <v>4435</v>
      </c>
      <c r="AJ413" s="516" t="s">
        <v>903</v>
      </c>
      <c r="AK413" s="516" t="s">
        <v>860</v>
      </c>
      <c r="AL413" s="544"/>
      <c r="AM413" s="544"/>
    </row>
    <row r="414" spans="3:39" ht="18" customHeight="1">
      <c r="C414" s="516">
        <v>396</v>
      </c>
      <c r="D414" s="516" t="s">
        <v>2751</v>
      </c>
      <c r="E414" s="516">
        <f t="shared" si="4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2752</v>
      </c>
      <c r="W414" s="541" t="s">
        <v>2753</v>
      </c>
      <c r="X414" s="516" t="s">
        <v>876</v>
      </c>
      <c r="Y414" s="542">
        <v>37265</v>
      </c>
      <c r="Z414" s="543">
        <f t="shared" ca="1" si="5"/>
        <v>24</v>
      </c>
      <c r="AA414" s="534" t="s">
        <v>2754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2756</v>
      </c>
      <c r="AG414" s="534" t="s">
        <v>2756</v>
      </c>
      <c r="AH414" s="516"/>
      <c r="AI414" s="516" t="s">
        <v>2443</v>
      </c>
      <c r="AJ414" s="516" t="s">
        <v>903</v>
      </c>
      <c r="AK414" s="516"/>
      <c r="AL414" s="544"/>
      <c r="AM414" s="544"/>
    </row>
    <row r="415" spans="3:39" ht="18" customHeight="1">
      <c r="C415" s="516">
        <v>397</v>
      </c>
      <c r="D415" s="516" t="s">
        <v>2757</v>
      </c>
      <c r="E415" s="516">
        <f t="shared" si="4"/>
        <v>372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2758</v>
      </c>
      <c r="W415" s="541" t="s">
        <v>2759</v>
      </c>
      <c r="X415" s="516" t="s">
        <v>876</v>
      </c>
      <c r="Y415" s="542">
        <v>38907</v>
      </c>
      <c r="Z415" s="543">
        <f t="shared" ca="1" si="5"/>
        <v>19</v>
      </c>
      <c r="AA415" s="534" t="s">
        <v>2760</v>
      </c>
      <c r="AB415" s="516"/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2762</v>
      </c>
      <c r="AH415" s="516"/>
      <c r="AI415" s="516" t="s">
        <v>1936</v>
      </c>
      <c r="AJ415" s="516" t="s">
        <v>903</v>
      </c>
      <c r="AK415" s="516"/>
      <c r="AL415" s="544"/>
      <c r="AM415" s="544"/>
    </row>
    <row r="416" spans="3:39" ht="18" customHeight="1">
      <c r="C416" s="516">
        <v>398</v>
      </c>
      <c r="D416" s="516" t="s">
        <v>2763</v>
      </c>
      <c r="E416" s="516">
        <f t="shared" si="4"/>
        <v>373</v>
      </c>
      <c r="F416" s="534" t="s">
        <v>981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/>
      <c r="R416" s="516"/>
      <c r="S416" s="516"/>
      <c r="T416" s="516"/>
      <c r="U416" s="516" t="s">
        <v>788</v>
      </c>
      <c r="V416" s="538" t="s">
        <v>437</v>
      </c>
      <c r="W416" s="541" t="s">
        <v>2764</v>
      </c>
      <c r="X416" s="516" t="s">
        <v>876</v>
      </c>
      <c r="Y416" s="542" t="s">
        <v>2765</v>
      </c>
      <c r="Z416" s="543">
        <f t="shared" ca="1" si="5"/>
        <v>24</v>
      </c>
      <c r="AA416" s="534" t="s">
        <v>2766</v>
      </c>
      <c r="AB416" s="516"/>
      <c r="AC416" s="516" t="s">
        <v>842</v>
      </c>
      <c r="AD416" s="516" t="s">
        <v>843</v>
      </c>
      <c r="AE416" s="534" t="s">
        <v>1256</v>
      </c>
      <c r="AF416" s="534" t="s">
        <v>1256</v>
      </c>
      <c r="AG416" s="534" t="s">
        <v>2768</v>
      </c>
      <c r="AH416" s="516"/>
      <c r="AI416" s="516" t="s">
        <v>2672</v>
      </c>
      <c r="AJ416" s="516" t="s">
        <v>976</v>
      </c>
      <c r="AK416" s="516"/>
      <c r="AL416" s="544"/>
      <c r="AM416" s="544"/>
    </row>
    <row r="417" spans="3:39" ht="18" customHeight="1">
      <c r="C417" s="516">
        <v>399</v>
      </c>
      <c r="D417" s="516" t="s">
        <v>2769</v>
      </c>
      <c r="E417" s="516">
        <f t="shared" si="4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59" t="s">
        <v>938</v>
      </c>
      <c r="Q417" s="539"/>
      <c r="R417" s="516"/>
      <c r="S417" s="516"/>
      <c r="T417" s="516"/>
      <c r="U417" s="516" t="s">
        <v>874</v>
      </c>
      <c r="V417" s="559" t="s">
        <v>2770</v>
      </c>
      <c r="W417" s="541" t="s">
        <v>2771</v>
      </c>
      <c r="X417" s="516" t="s">
        <v>876</v>
      </c>
      <c r="Y417" s="542">
        <v>37308</v>
      </c>
      <c r="Z417" s="543">
        <f t="shared" ca="1" si="5"/>
        <v>23</v>
      </c>
      <c r="AA417" s="534" t="s">
        <v>2747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1827</v>
      </c>
      <c r="AJ417" s="516" t="s">
        <v>903</v>
      </c>
      <c r="AK417" s="572" t="s">
        <v>1284</v>
      </c>
      <c r="AL417" s="544"/>
      <c r="AM417" s="544"/>
    </row>
    <row r="418" spans="3:39" ht="18" customHeight="1">
      <c r="C418" s="516">
        <v>400</v>
      </c>
      <c r="D418" s="516" t="s">
        <v>2772</v>
      </c>
      <c r="E418" s="516">
        <f t="shared" si="4"/>
        <v>375</v>
      </c>
      <c r="F418" s="534" t="s">
        <v>811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2772</v>
      </c>
      <c r="L418" s="535" t="s">
        <v>2773</v>
      </c>
      <c r="M418" s="536"/>
      <c r="N418" s="537"/>
      <c r="O418" s="537"/>
      <c r="P418" s="548" t="s">
        <v>978</v>
      </c>
      <c r="Q418" s="539"/>
      <c r="R418" s="516" t="s">
        <v>163</v>
      </c>
      <c r="S418" s="516" t="s">
        <v>500</v>
      </c>
      <c r="T418" s="516"/>
      <c r="U418" s="516" t="s">
        <v>874</v>
      </c>
      <c r="V418" s="548" t="s">
        <v>328</v>
      </c>
      <c r="W418" s="541" t="s">
        <v>2774</v>
      </c>
      <c r="X418" s="516" t="s">
        <v>876</v>
      </c>
      <c r="Y418" s="542">
        <v>36536</v>
      </c>
      <c r="Z418" s="543">
        <f t="shared" ca="1" si="5"/>
        <v>26</v>
      </c>
      <c r="AA418" s="534" t="s">
        <v>2775</v>
      </c>
      <c r="AB418" s="516" t="s">
        <v>2776</v>
      </c>
      <c r="AC418" s="516" t="s">
        <v>842</v>
      </c>
      <c r="AD418" s="516" t="s">
        <v>843</v>
      </c>
      <c r="AE418" s="534" t="s">
        <v>815</v>
      </c>
      <c r="AF418" s="534" t="s">
        <v>1267</v>
      </c>
      <c r="AG418" s="534" t="s">
        <v>1268</v>
      </c>
      <c r="AH418" s="516"/>
      <c r="AI418" s="516"/>
      <c r="AJ418" s="516" t="s">
        <v>832</v>
      </c>
      <c r="AK418" s="516"/>
      <c r="AL418" s="544"/>
      <c r="AM418" s="544"/>
    </row>
    <row r="419" spans="3:39" ht="18" customHeight="1">
      <c r="C419" s="516">
        <v>401</v>
      </c>
      <c r="D419" s="516" t="s">
        <v>2773</v>
      </c>
      <c r="E419" s="516">
        <f t="shared" si="4"/>
        <v>376</v>
      </c>
      <c r="F419" s="534" t="s">
        <v>811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2772</v>
      </c>
      <c r="L419" s="535" t="s">
        <v>2773</v>
      </c>
      <c r="M419" s="536"/>
      <c r="N419" s="537"/>
      <c r="O419" s="537"/>
      <c r="P419" s="538" t="s">
        <v>978</v>
      </c>
      <c r="Q419" s="539"/>
      <c r="R419" s="516" t="s">
        <v>62</v>
      </c>
      <c r="S419" s="516" t="s">
        <v>548</v>
      </c>
      <c r="T419" s="516"/>
      <c r="U419" s="516" t="s">
        <v>874</v>
      </c>
      <c r="V419" s="538" t="s">
        <v>342</v>
      </c>
      <c r="W419" s="541" t="s">
        <v>2777</v>
      </c>
      <c r="X419" s="516" t="s">
        <v>876</v>
      </c>
      <c r="Y419" s="542">
        <v>35989</v>
      </c>
      <c r="Z419" s="543">
        <f t="shared" ca="1" si="5"/>
        <v>27</v>
      </c>
      <c r="AA419" s="534" t="s">
        <v>2778</v>
      </c>
      <c r="AB419" s="516"/>
      <c r="AC419" s="516" t="s">
        <v>842</v>
      </c>
      <c r="AD419" s="516" t="s">
        <v>851</v>
      </c>
      <c r="AE419" s="534" t="s">
        <v>815</v>
      </c>
      <c r="AF419" s="606" t="s">
        <v>815</v>
      </c>
      <c r="AG419" s="534" t="s">
        <v>2525</v>
      </c>
      <c r="AH419" s="516"/>
      <c r="AI419" s="516"/>
      <c r="AJ419" s="516" t="s">
        <v>976</v>
      </c>
      <c r="AK419" s="516"/>
      <c r="AL419" s="544"/>
      <c r="AM419" s="544"/>
    </row>
    <row r="420" spans="3:39" ht="18" customHeight="1">
      <c r="C420" s="516">
        <v>402</v>
      </c>
      <c r="D420" s="516" t="s">
        <v>2780</v>
      </c>
      <c r="E420" s="516">
        <f t="shared" si="4"/>
        <v>377</v>
      </c>
      <c r="F420" s="534" t="s">
        <v>811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2772</v>
      </c>
      <c r="L420" s="535" t="s">
        <v>2773</v>
      </c>
      <c r="M420" s="536"/>
      <c r="N420" s="537"/>
      <c r="O420" s="537"/>
      <c r="P420" s="538" t="s">
        <v>978</v>
      </c>
      <c r="Q420" s="539"/>
      <c r="R420" s="516"/>
      <c r="S420" s="516"/>
      <c r="T420" s="516"/>
      <c r="U420" s="516" t="s">
        <v>874</v>
      </c>
      <c r="V420" s="538" t="s">
        <v>2781</v>
      </c>
      <c r="W420" s="541" t="s">
        <v>2782</v>
      </c>
      <c r="X420" s="516" t="s">
        <v>876</v>
      </c>
      <c r="Y420" s="542">
        <v>31694</v>
      </c>
      <c r="Z420" s="543">
        <f t="shared" ca="1" si="5"/>
        <v>39</v>
      </c>
      <c r="AA420" s="534" t="s">
        <v>2783</v>
      </c>
      <c r="AB420" s="516"/>
      <c r="AC420" s="516" t="s">
        <v>842</v>
      </c>
      <c r="AD420" s="516" t="s">
        <v>851</v>
      </c>
      <c r="AE420" s="534" t="s">
        <v>815</v>
      </c>
      <c r="AF420" s="534" t="s">
        <v>2785</v>
      </c>
      <c r="AG420" s="534"/>
      <c r="AH420" s="516"/>
      <c r="AI420" s="516"/>
      <c r="AJ420" s="516" t="s">
        <v>976</v>
      </c>
      <c r="AK420" s="516"/>
      <c r="AL420" s="544"/>
      <c r="AM420" s="544"/>
    </row>
    <row r="421" spans="3:39" ht="18" customHeight="1">
      <c r="C421" s="516">
        <v>403</v>
      </c>
      <c r="D421" s="516" t="s">
        <v>2786</v>
      </c>
      <c r="E421" s="516">
        <f t="shared" si="4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38" t="s">
        <v>978</v>
      </c>
      <c r="Q421" s="539"/>
      <c r="R421" s="516"/>
      <c r="S421" s="516"/>
      <c r="T421" s="516"/>
      <c r="U421" s="516" t="s">
        <v>874</v>
      </c>
      <c r="V421" s="538" t="s">
        <v>369</v>
      </c>
      <c r="W421" s="541" t="s">
        <v>2787</v>
      </c>
      <c r="X421" s="516" t="s">
        <v>876</v>
      </c>
      <c r="Y421" s="542">
        <v>33359</v>
      </c>
      <c r="Z421" s="543">
        <f t="shared" ca="1" si="5"/>
        <v>34</v>
      </c>
      <c r="AA421" s="534" t="s">
        <v>2788</v>
      </c>
      <c r="AB421" s="516"/>
      <c r="AC421" s="516" t="s">
        <v>842</v>
      </c>
      <c r="AD421" s="516" t="s">
        <v>843</v>
      </c>
      <c r="AE421" s="534" t="s">
        <v>815</v>
      </c>
      <c r="AF421" s="606" t="s">
        <v>815</v>
      </c>
      <c r="AG421" s="534" t="s">
        <v>2525</v>
      </c>
      <c r="AH421" s="516"/>
      <c r="AI421" s="516"/>
      <c r="AJ421" s="516" t="s">
        <v>976</v>
      </c>
      <c r="AK421" s="516"/>
      <c r="AL421" s="544"/>
      <c r="AM421" s="544"/>
    </row>
    <row r="422" spans="3:39" ht="18" customHeight="1">
      <c r="C422" s="516">
        <v>404</v>
      </c>
      <c r="D422" s="516" t="s">
        <v>2789</v>
      </c>
      <c r="E422" s="516">
        <f t="shared" si="4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/>
      <c r="S422" s="516"/>
      <c r="T422" s="516"/>
      <c r="U422" s="516" t="s">
        <v>874</v>
      </c>
      <c r="V422" s="538" t="s">
        <v>382</v>
      </c>
      <c r="W422" s="541" t="s">
        <v>2790</v>
      </c>
      <c r="X422" s="516" t="s">
        <v>876</v>
      </c>
      <c r="Y422" s="542">
        <v>34616</v>
      </c>
      <c r="Z422" s="543">
        <f t="shared" ca="1" si="5"/>
        <v>31</v>
      </c>
      <c r="AA422" s="534" t="s">
        <v>2791</v>
      </c>
      <c r="AB422" s="516"/>
      <c r="AC422" s="516" t="s">
        <v>842</v>
      </c>
      <c r="AD422" s="516" t="s">
        <v>851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405</v>
      </c>
      <c r="D423" s="516" t="s">
        <v>2793</v>
      </c>
      <c r="E423" s="516">
        <f t="shared" si="4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788</v>
      </c>
      <c r="V423" s="538" t="s">
        <v>394</v>
      </c>
      <c r="W423" s="541" t="s">
        <v>2794</v>
      </c>
      <c r="X423" s="516" t="s">
        <v>876</v>
      </c>
      <c r="Y423" s="542">
        <v>35621</v>
      </c>
      <c r="Z423" s="543">
        <f t="shared" ca="1" si="5"/>
        <v>28</v>
      </c>
      <c r="AA423" s="534" t="s">
        <v>2795</v>
      </c>
      <c r="AB423" s="516"/>
      <c r="AC423" s="516" t="s">
        <v>842</v>
      </c>
      <c r="AD423" s="516" t="s">
        <v>851</v>
      </c>
      <c r="AE423" s="534" t="s">
        <v>815</v>
      </c>
      <c r="AF423" s="534" t="s">
        <v>2797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406</v>
      </c>
      <c r="D424" s="516" t="s">
        <v>2798</v>
      </c>
      <c r="E424" s="516">
        <f t="shared" si="4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788</v>
      </c>
      <c r="V424" s="538" t="s">
        <v>406</v>
      </c>
      <c r="W424" s="541" t="s">
        <v>2799</v>
      </c>
      <c r="X424" s="516" t="s">
        <v>876</v>
      </c>
      <c r="Y424" s="542" t="s">
        <v>2800</v>
      </c>
      <c r="Z424" s="543">
        <f t="shared" ca="1" si="5"/>
        <v>24</v>
      </c>
      <c r="AA424" s="534" t="s">
        <v>2801</v>
      </c>
      <c r="AB424" s="516"/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2803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407</v>
      </c>
      <c r="D425" s="516" t="s">
        <v>2804</v>
      </c>
      <c r="E425" s="516">
        <f t="shared" si="4"/>
        <v>382</v>
      </c>
      <c r="F425" s="534" t="s">
        <v>1310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788</v>
      </c>
      <c r="V425" s="538" t="s">
        <v>414</v>
      </c>
      <c r="W425" s="541" t="s">
        <v>2805</v>
      </c>
      <c r="X425" s="516" t="s">
        <v>876</v>
      </c>
      <c r="Y425" s="542" t="s">
        <v>2806</v>
      </c>
      <c r="Z425" s="543">
        <f t="shared" ca="1" si="5"/>
        <v>19</v>
      </c>
      <c r="AA425" s="534" t="s">
        <v>2807</v>
      </c>
      <c r="AB425" s="516"/>
      <c r="AC425" s="516" t="s">
        <v>842</v>
      </c>
      <c r="AD425" s="516" t="s">
        <v>843</v>
      </c>
      <c r="AE425" s="534" t="s">
        <v>815</v>
      </c>
      <c r="AF425" s="534" t="s">
        <v>815</v>
      </c>
      <c r="AG425" s="534" t="s">
        <v>2809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408</v>
      </c>
      <c r="D426" s="516" t="s">
        <v>2810</v>
      </c>
      <c r="E426" s="516">
        <f t="shared" si="4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59" t="s">
        <v>978</v>
      </c>
      <c r="Q426" s="539" t="s">
        <v>308</v>
      </c>
      <c r="R426" s="516"/>
      <c r="S426" s="516"/>
      <c r="T426" s="516"/>
      <c r="U426" s="516" t="s">
        <v>874</v>
      </c>
      <c r="V426" s="540" t="s">
        <v>2811</v>
      </c>
      <c r="W426" s="541" t="s">
        <v>2812</v>
      </c>
      <c r="X426" s="516" t="s">
        <v>876</v>
      </c>
      <c r="Y426" s="542">
        <v>35825</v>
      </c>
      <c r="Z426" s="543">
        <f t="shared" ca="1" si="5"/>
        <v>27</v>
      </c>
      <c r="AA426" s="534" t="s">
        <v>2813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1352</v>
      </c>
      <c r="AH426" s="516"/>
      <c r="AI426" s="516"/>
      <c r="AJ426" s="516" t="s">
        <v>971</v>
      </c>
      <c r="AK426" s="516"/>
      <c r="AL426" s="544"/>
      <c r="AM426" s="544"/>
    </row>
    <row r="427" spans="3:39" ht="18" customHeight="1">
      <c r="C427" s="516">
        <v>409</v>
      </c>
      <c r="D427" s="516" t="s">
        <v>2814</v>
      </c>
      <c r="E427" s="516">
        <f t="shared" si="4"/>
        <v>384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2814</v>
      </c>
      <c r="L427" s="535" t="s">
        <v>2815</v>
      </c>
      <c r="M427" s="536"/>
      <c r="N427" s="537"/>
      <c r="O427" s="537"/>
      <c r="P427" s="548" t="s">
        <v>2817</v>
      </c>
      <c r="Q427" s="539"/>
      <c r="R427" s="516" t="s">
        <v>49</v>
      </c>
      <c r="S427" s="516" t="s">
        <v>168</v>
      </c>
      <c r="T427" s="516"/>
      <c r="U427" s="562" t="s">
        <v>788</v>
      </c>
      <c r="V427" s="548" t="s">
        <v>330</v>
      </c>
      <c r="W427" s="560" t="s">
        <v>2818</v>
      </c>
      <c r="X427" s="516" t="s">
        <v>876</v>
      </c>
      <c r="Y427" s="542">
        <v>32520</v>
      </c>
      <c r="Z427" s="543">
        <f t="shared" ca="1" si="5"/>
        <v>37</v>
      </c>
      <c r="AA427" s="534"/>
      <c r="AB427" s="516" t="s">
        <v>2820</v>
      </c>
      <c r="AC427" s="516" t="s">
        <v>793</v>
      </c>
      <c r="AD427" s="516" t="s">
        <v>794</v>
      </c>
      <c r="AE427" s="534" t="s">
        <v>815</v>
      </c>
      <c r="AF427" s="534" t="s">
        <v>2785</v>
      </c>
      <c r="AG427" s="534" t="s">
        <v>2821</v>
      </c>
      <c r="AH427" s="516"/>
      <c r="AI427" s="516"/>
      <c r="AJ427" s="516" t="s">
        <v>1535</v>
      </c>
      <c r="AK427" s="516"/>
      <c r="AL427" s="544"/>
      <c r="AM427" s="544"/>
    </row>
    <row r="428" spans="3:39" ht="18" customHeight="1">
      <c r="C428" s="516">
        <v>410</v>
      </c>
      <c r="D428" s="516" t="s">
        <v>2815</v>
      </c>
      <c r="E428" s="516">
        <f t="shared" si="4"/>
        <v>385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2814</v>
      </c>
      <c r="L428" s="535" t="s">
        <v>2815</v>
      </c>
      <c r="M428" s="536"/>
      <c r="N428" s="537"/>
      <c r="O428" s="537"/>
      <c r="P428" s="538" t="s">
        <v>2817</v>
      </c>
      <c r="Q428" s="539"/>
      <c r="R428" s="516" t="s">
        <v>62</v>
      </c>
      <c r="S428" s="516" t="s">
        <v>548</v>
      </c>
      <c r="T428" s="516"/>
      <c r="U428" s="562" t="s">
        <v>874</v>
      </c>
      <c r="V428" s="538" t="s">
        <v>343</v>
      </c>
      <c r="W428" s="560" t="s">
        <v>2822</v>
      </c>
      <c r="X428" s="516" t="s">
        <v>876</v>
      </c>
      <c r="Y428" s="542">
        <v>35366</v>
      </c>
      <c r="Z428" s="543">
        <f t="shared" ca="1" si="5"/>
        <v>29</v>
      </c>
      <c r="AA428" s="534" t="s">
        <v>2823</v>
      </c>
      <c r="AB428" s="516"/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2825</v>
      </c>
      <c r="AH428" s="516"/>
      <c r="AI428" s="516"/>
      <c r="AJ428" s="516" t="s">
        <v>1852</v>
      </c>
      <c r="AK428" s="516"/>
      <c r="AL428" s="544"/>
      <c r="AM428" s="544"/>
    </row>
    <row r="429" spans="3:39" ht="18" customHeight="1">
      <c r="C429" s="516">
        <v>411</v>
      </c>
      <c r="D429" s="516" t="s">
        <v>2816</v>
      </c>
      <c r="E429" s="516">
        <f t="shared" si="4"/>
        <v>386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2814</v>
      </c>
      <c r="L429" s="535" t="s">
        <v>2815</v>
      </c>
      <c r="M429" s="536"/>
      <c r="N429" s="537"/>
      <c r="O429" s="537"/>
      <c r="P429" s="538" t="s">
        <v>2817</v>
      </c>
      <c r="Q429" s="539"/>
      <c r="R429" s="516"/>
      <c r="S429" s="516"/>
      <c r="T429" s="516"/>
      <c r="U429" s="562" t="s">
        <v>788</v>
      </c>
      <c r="V429" s="549" t="s">
        <v>423</v>
      </c>
      <c r="W429" s="560" t="s">
        <v>2826</v>
      </c>
      <c r="X429" s="516" t="s">
        <v>876</v>
      </c>
      <c r="Y429" s="542">
        <v>38451</v>
      </c>
      <c r="Z429" s="543">
        <f t="shared" ca="1" si="5"/>
        <v>20</v>
      </c>
      <c r="AA429" s="534" t="s">
        <v>2827</v>
      </c>
      <c r="AB429" s="516"/>
      <c r="AC429" s="516" t="s">
        <v>842</v>
      </c>
      <c r="AD429" s="516" t="s">
        <v>851</v>
      </c>
      <c r="AE429" s="534" t="s">
        <v>815</v>
      </c>
      <c r="AF429" s="534" t="s">
        <v>1400</v>
      </c>
      <c r="AG429" s="534" t="s">
        <v>2829</v>
      </c>
      <c r="AH429" s="516"/>
      <c r="AI429" s="516"/>
      <c r="AJ429" s="516" t="s">
        <v>1852</v>
      </c>
      <c r="AK429" s="516"/>
      <c r="AL429" s="544"/>
      <c r="AM429" s="544"/>
    </row>
    <row r="430" spans="3:39" ht="18" customHeight="1">
      <c r="C430" s="516">
        <v>412</v>
      </c>
      <c r="D430" s="516" t="s">
        <v>2830</v>
      </c>
      <c r="E430" s="516">
        <f t="shared" si="4"/>
        <v>387</v>
      </c>
      <c r="F430" s="534" t="s">
        <v>811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38" t="s">
        <v>2817</v>
      </c>
      <c r="Q430" s="539"/>
      <c r="R430" s="516"/>
      <c r="S430" s="516"/>
      <c r="T430" s="516"/>
      <c r="U430" s="562" t="s">
        <v>874</v>
      </c>
      <c r="V430" s="550" t="s">
        <v>357</v>
      </c>
      <c r="W430" s="560" t="s">
        <v>2831</v>
      </c>
      <c r="X430" s="516" t="s">
        <v>876</v>
      </c>
      <c r="Y430" s="542">
        <v>33267</v>
      </c>
      <c r="Z430" s="543">
        <f t="shared" ca="1" si="5"/>
        <v>34</v>
      </c>
      <c r="AA430" s="534" t="s">
        <v>2832</v>
      </c>
      <c r="AB430" s="516"/>
      <c r="AC430" s="516" t="s">
        <v>842</v>
      </c>
      <c r="AD430" s="516" t="s">
        <v>851</v>
      </c>
      <c r="AE430" s="534" t="s">
        <v>815</v>
      </c>
      <c r="AF430" s="606" t="s">
        <v>815</v>
      </c>
      <c r="AG430" s="534" t="s">
        <v>2834</v>
      </c>
      <c r="AH430" s="516"/>
      <c r="AI430" s="516"/>
      <c r="AJ430" s="516" t="s">
        <v>1852</v>
      </c>
      <c r="AK430" s="516"/>
      <c r="AL430" s="544"/>
      <c r="AM430" s="544"/>
    </row>
    <row r="431" spans="3:39" ht="18" customHeight="1">
      <c r="C431" s="516">
        <v>413</v>
      </c>
      <c r="D431" s="516" t="s">
        <v>2835</v>
      </c>
      <c r="E431" s="516">
        <f t="shared" si="4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/>
      <c r="S431" s="516"/>
      <c r="T431" s="516"/>
      <c r="U431" s="562" t="s">
        <v>874</v>
      </c>
      <c r="V431" s="538" t="s">
        <v>370</v>
      </c>
      <c r="W431" s="560" t="s">
        <v>2836</v>
      </c>
      <c r="X431" s="516" t="s">
        <v>876</v>
      </c>
      <c r="Y431" s="542">
        <v>33415</v>
      </c>
      <c r="Z431" s="543">
        <f t="shared" ca="1" si="5"/>
        <v>34</v>
      </c>
      <c r="AA431" s="534" t="s">
        <v>2837</v>
      </c>
      <c r="AB431" s="516"/>
      <c r="AC431" s="516" t="s">
        <v>842</v>
      </c>
      <c r="AD431" s="516" t="s">
        <v>851</v>
      </c>
      <c r="AE431" s="534" t="s">
        <v>815</v>
      </c>
      <c r="AF431" s="606" t="s">
        <v>815</v>
      </c>
      <c r="AG431" s="534" t="s">
        <v>2839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414</v>
      </c>
      <c r="D432" s="516" t="s">
        <v>2841</v>
      </c>
      <c r="E432" s="516">
        <f t="shared" si="4"/>
        <v>389</v>
      </c>
      <c r="F432" s="534" t="s">
        <v>811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874</v>
      </c>
      <c r="V432" s="538" t="s">
        <v>383</v>
      </c>
      <c r="W432" s="560" t="s">
        <v>2842</v>
      </c>
      <c r="X432" s="516" t="s">
        <v>876</v>
      </c>
      <c r="Y432" s="542">
        <v>35523</v>
      </c>
      <c r="Z432" s="543">
        <f t="shared" ca="1" si="5"/>
        <v>28</v>
      </c>
      <c r="AA432" s="534" t="s">
        <v>2843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2845</v>
      </c>
      <c r="AG432" s="534" t="s">
        <v>2846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415</v>
      </c>
      <c r="D433" s="516" t="s">
        <v>2847</v>
      </c>
      <c r="E433" s="516">
        <f t="shared" si="4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38" t="s">
        <v>395</v>
      </c>
      <c r="W433" s="560" t="s">
        <v>2848</v>
      </c>
      <c r="X433" s="516" t="s">
        <v>876</v>
      </c>
      <c r="Y433" s="542">
        <v>35944</v>
      </c>
      <c r="Z433" s="543">
        <f t="shared" ca="1" si="5"/>
        <v>27</v>
      </c>
      <c r="AA433" s="534" t="s">
        <v>2849</v>
      </c>
      <c r="AB433" s="516"/>
      <c r="AC433" s="516" t="s">
        <v>842</v>
      </c>
      <c r="AD433" s="516" t="s">
        <v>843</v>
      </c>
      <c r="AE433" s="534" t="s">
        <v>815</v>
      </c>
      <c r="AF433" s="534" t="s">
        <v>1400</v>
      </c>
      <c r="AG433" s="534" t="s">
        <v>2851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416</v>
      </c>
      <c r="D434" s="516" t="s">
        <v>2852</v>
      </c>
      <c r="E434" s="516">
        <f t="shared" si="4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407</v>
      </c>
      <c r="W434" s="560" t="s">
        <v>2854</v>
      </c>
      <c r="X434" s="516" t="s">
        <v>876</v>
      </c>
      <c r="Y434" s="542">
        <v>36800</v>
      </c>
      <c r="Z434" s="543">
        <f t="shared" ca="1" si="5"/>
        <v>25</v>
      </c>
      <c r="AA434" s="534" t="s">
        <v>2855</v>
      </c>
      <c r="AB434" s="516"/>
      <c r="AC434" s="516" t="s">
        <v>842</v>
      </c>
      <c r="AD434" s="516" t="s">
        <v>851</v>
      </c>
      <c r="AE434" s="534" t="s">
        <v>815</v>
      </c>
      <c r="AF434" s="534" t="s">
        <v>1552</v>
      </c>
      <c r="AG434" s="534" t="s">
        <v>2857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417</v>
      </c>
      <c r="D435" s="516" t="s">
        <v>2858</v>
      </c>
      <c r="E435" s="516">
        <f t="shared" si="4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788</v>
      </c>
      <c r="V435" s="559" t="s">
        <v>415</v>
      </c>
      <c r="W435" s="560" t="s">
        <v>2859</v>
      </c>
      <c r="X435" s="516" t="s">
        <v>876</v>
      </c>
      <c r="Y435" s="542">
        <v>37404</v>
      </c>
      <c r="Z435" s="543">
        <f t="shared" ca="1" si="5"/>
        <v>23</v>
      </c>
      <c r="AA435" s="534" t="s">
        <v>2860</v>
      </c>
      <c r="AB435" s="516"/>
      <c r="AC435" s="516" t="s">
        <v>842</v>
      </c>
      <c r="AD435" s="516" t="s">
        <v>851</v>
      </c>
      <c r="AE435" s="534" t="s">
        <v>815</v>
      </c>
      <c r="AF435" s="534" t="s">
        <v>1400</v>
      </c>
      <c r="AG435" s="534" t="s">
        <v>2862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418</v>
      </c>
      <c r="D436" s="516" t="s">
        <v>2814</v>
      </c>
      <c r="E436" s="516">
        <f t="shared" si="4"/>
        <v>392</v>
      </c>
      <c r="F436" s="534"/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2863</v>
      </c>
      <c r="M436" s="536"/>
      <c r="N436" s="537"/>
      <c r="O436" s="537"/>
      <c r="P436" s="548" t="s">
        <v>2864</v>
      </c>
      <c r="Q436" s="539"/>
      <c r="R436" s="516" t="s">
        <v>49</v>
      </c>
      <c r="S436" s="516" t="s">
        <v>168</v>
      </c>
      <c r="T436" s="516"/>
      <c r="U436" s="516"/>
      <c r="V436" s="550" t="s">
        <v>330</v>
      </c>
      <c r="W436" s="541" t="s">
        <v>2818</v>
      </c>
      <c r="X436" s="516" t="s">
        <v>876</v>
      </c>
      <c r="Y436" s="542">
        <v>32520</v>
      </c>
      <c r="Z436" s="543">
        <f t="shared" ca="1" si="5"/>
        <v>37</v>
      </c>
      <c r="AA436" s="534"/>
      <c r="AB436" s="516"/>
      <c r="AC436" s="516" t="s">
        <v>793</v>
      </c>
      <c r="AD436" s="516" t="s">
        <v>794</v>
      </c>
      <c r="AE436" s="534" t="s">
        <v>815</v>
      </c>
      <c r="AF436" s="534" t="s">
        <v>2785</v>
      </c>
      <c r="AG436" s="534" t="s">
        <v>2821</v>
      </c>
      <c r="AH436" s="516" t="s">
        <v>872</v>
      </c>
      <c r="AI436" s="516"/>
      <c r="AJ436" s="516"/>
      <c r="AK436" s="516"/>
      <c r="AL436" s="544"/>
      <c r="AM436" s="544"/>
    </row>
    <row r="437" spans="3:39" ht="18" customHeight="1">
      <c r="C437" s="516">
        <v>419</v>
      </c>
      <c r="D437" s="516" t="s">
        <v>2863</v>
      </c>
      <c r="E437" s="516">
        <f t="shared" si="4"/>
        <v>393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2863</v>
      </c>
      <c r="M437" s="536"/>
      <c r="N437" s="537"/>
      <c r="O437" s="537"/>
      <c r="P437" s="538" t="s">
        <v>2864</v>
      </c>
      <c r="Q437" s="539" t="s">
        <v>308</v>
      </c>
      <c r="R437" s="516" t="s">
        <v>62</v>
      </c>
      <c r="S437" s="516" t="s">
        <v>548</v>
      </c>
      <c r="T437" s="516"/>
      <c r="U437" s="516" t="s">
        <v>874</v>
      </c>
      <c r="V437" s="538" t="s">
        <v>344</v>
      </c>
      <c r="W437" s="541" t="s">
        <v>2865</v>
      </c>
      <c r="X437" s="516" t="s">
        <v>876</v>
      </c>
      <c r="Y437" s="542">
        <v>33996</v>
      </c>
      <c r="Z437" s="543">
        <f t="shared" ca="1" si="5"/>
        <v>33</v>
      </c>
      <c r="AA437" s="534" t="s">
        <v>2866</v>
      </c>
      <c r="AB437" s="516"/>
      <c r="AC437" s="516" t="s">
        <v>842</v>
      </c>
      <c r="AD437" s="516" t="s">
        <v>851</v>
      </c>
      <c r="AE437" s="534" t="s">
        <v>815</v>
      </c>
      <c r="AF437" s="606" t="s">
        <v>815</v>
      </c>
      <c r="AG437" s="534" t="s">
        <v>2868</v>
      </c>
      <c r="AH437" s="516"/>
      <c r="AI437" s="516"/>
      <c r="AJ437" s="516" t="s">
        <v>1497</v>
      </c>
      <c r="AK437" s="516"/>
      <c r="AL437" s="544"/>
      <c r="AM437" s="544"/>
    </row>
    <row r="438" spans="3:39" ht="18" customHeight="1">
      <c r="C438" s="516">
        <v>361</v>
      </c>
      <c r="D438" s="516" t="s">
        <v>2869</v>
      </c>
      <c r="E438" s="516">
        <f t="shared" si="4"/>
        <v>394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2863</v>
      </c>
      <c r="M438" s="536"/>
      <c r="N438" s="537"/>
      <c r="O438" s="537"/>
      <c r="P438" s="538" t="s">
        <v>2864</v>
      </c>
      <c r="Q438" s="539"/>
      <c r="R438" s="516"/>
      <c r="S438" s="516"/>
      <c r="T438" s="516"/>
      <c r="U438" s="516" t="s">
        <v>788</v>
      </c>
      <c r="V438" s="538" t="s">
        <v>408</v>
      </c>
      <c r="W438" s="541" t="s">
        <v>2870</v>
      </c>
      <c r="X438" s="516" t="s">
        <v>876</v>
      </c>
      <c r="Y438" s="542">
        <v>36875</v>
      </c>
      <c r="Z438" s="543">
        <f t="shared" ca="1" si="5"/>
        <v>25</v>
      </c>
      <c r="AA438" s="534" t="s">
        <v>2591</v>
      </c>
      <c r="AB438" s="516"/>
      <c r="AC438" s="516" t="s">
        <v>842</v>
      </c>
      <c r="AD438" s="516" t="s">
        <v>794</v>
      </c>
      <c r="AE438" s="534" t="s">
        <v>815</v>
      </c>
      <c r="AF438" s="534" t="s">
        <v>2872</v>
      </c>
      <c r="AG438" s="534" t="s">
        <v>2873</v>
      </c>
      <c r="AH438" s="516"/>
      <c r="AI438" s="516"/>
      <c r="AJ438" s="516"/>
      <c r="AK438" s="516"/>
      <c r="AL438" s="544"/>
      <c r="AM438" s="544"/>
    </row>
    <row r="439" spans="3:39" ht="18" customHeight="1">
      <c r="C439" s="516">
        <v>362</v>
      </c>
      <c r="D439" s="516" t="s">
        <v>2874</v>
      </c>
      <c r="E439" s="516">
        <f t="shared" si="4"/>
        <v>395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38" t="s">
        <v>2864</v>
      </c>
      <c r="Q439" s="539"/>
      <c r="R439" s="516"/>
      <c r="S439" s="516"/>
      <c r="T439" s="516"/>
      <c r="U439" s="516" t="s">
        <v>788</v>
      </c>
      <c r="V439" s="538" t="s">
        <v>2875</v>
      </c>
      <c r="W439" s="541" t="s">
        <v>2876</v>
      </c>
      <c r="X439" s="516" t="s">
        <v>876</v>
      </c>
      <c r="Y439" s="542">
        <v>35773</v>
      </c>
      <c r="Z439" s="543">
        <f t="shared" ca="1" si="5"/>
        <v>28</v>
      </c>
      <c r="AA439" s="534"/>
      <c r="AB439" s="516"/>
      <c r="AC439" s="516" t="s">
        <v>842</v>
      </c>
      <c r="AD439" s="516" t="s">
        <v>851</v>
      </c>
      <c r="AE439" s="534" t="s">
        <v>815</v>
      </c>
      <c r="AF439" s="534" t="s">
        <v>815</v>
      </c>
      <c r="AG439" s="534" t="s">
        <v>2878</v>
      </c>
      <c r="AH439" s="516"/>
      <c r="AI439" s="516"/>
      <c r="AJ439" s="516" t="s">
        <v>1535</v>
      </c>
      <c r="AK439" s="516"/>
      <c r="AL439" s="544"/>
      <c r="AM439" s="544"/>
    </row>
    <row r="440" spans="3:39" ht="18" customHeight="1">
      <c r="C440" s="516">
        <v>420</v>
      </c>
      <c r="D440" s="516" t="s">
        <v>2879</v>
      </c>
      <c r="E440" s="516">
        <f t="shared" si="4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/>
      <c r="S440" s="516"/>
      <c r="T440" s="516"/>
      <c r="U440" s="516" t="s">
        <v>788</v>
      </c>
      <c r="V440" s="538" t="s">
        <v>358</v>
      </c>
      <c r="W440" s="541" t="s">
        <v>2880</v>
      </c>
      <c r="X440" s="516" t="s">
        <v>876</v>
      </c>
      <c r="Y440" s="542">
        <v>35880</v>
      </c>
      <c r="Z440" s="543">
        <f t="shared" ca="1" si="5"/>
        <v>27</v>
      </c>
      <c r="AA440" s="534" t="s">
        <v>2881</v>
      </c>
      <c r="AB440" s="516"/>
      <c r="AC440" s="516" t="s">
        <v>842</v>
      </c>
      <c r="AD440" s="516" t="s">
        <v>843</v>
      </c>
      <c r="AE440" s="534" t="s">
        <v>809</v>
      </c>
      <c r="AF440" s="534" t="s">
        <v>1400</v>
      </c>
      <c r="AG440" s="534" t="s">
        <v>2883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2884</v>
      </c>
      <c r="E441" s="516">
        <f t="shared" si="4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371</v>
      </c>
      <c r="W441" s="541" t="s">
        <v>2885</v>
      </c>
      <c r="X441" s="516" t="s">
        <v>876</v>
      </c>
      <c r="Y441" s="542">
        <v>36847</v>
      </c>
      <c r="Z441" s="543">
        <f t="shared" ca="1" si="5"/>
        <v>25</v>
      </c>
      <c r="AA441" s="534" t="s">
        <v>2886</v>
      </c>
      <c r="AB441" s="516"/>
      <c r="AC441" s="516" t="s">
        <v>842</v>
      </c>
      <c r="AD441" s="516" t="s">
        <v>843</v>
      </c>
      <c r="AE441" s="534" t="s">
        <v>815</v>
      </c>
      <c r="AF441" s="534" t="s">
        <v>1400</v>
      </c>
      <c r="AG441" s="534" t="s">
        <v>2888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2889</v>
      </c>
      <c r="E442" s="516">
        <f t="shared" si="4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384</v>
      </c>
      <c r="W442" s="541" t="s">
        <v>2890</v>
      </c>
      <c r="X442" s="516" t="s">
        <v>876</v>
      </c>
      <c r="Y442" s="542">
        <v>36970</v>
      </c>
      <c r="Z442" s="543">
        <f t="shared" ca="1" si="5"/>
        <v>24</v>
      </c>
      <c r="AA442" s="534" t="s">
        <v>2891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815</v>
      </c>
      <c r="AG442" s="534" t="s">
        <v>1273</v>
      </c>
      <c r="AH442" s="516"/>
      <c r="AI442" s="516"/>
      <c r="AJ442" s="569" t="s">
        <v>1224</v>
      </c>
      <c r="AK442" s="516"/>
      <c r="AL442" s="544"/>
      <c r="AM442" s="544"/>
    </row>
    <row r="443" spans="3:39" ht="18" customHeight="1">
      <c r="C443" s="516">
        <v>423</v>
      </c>
      <c r="D443" s="516" t="s">
        <v>2893</v>
      </c>
      <c r="E443" s="516">
        <f t="shared" si="4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59" t="s">
        <v>2864</v>
      </c>
      <c r="Q443" s="539" t="s">
        <v>308</v>
      </c>
      <c r="R443" s="516"/>
      <c r="S443" s="516"/>
      <c r="T443" s="516"/>
      <c r="U443" s="516" t="s">
        <v>788</v>
      </c>
      <c r="V443" s="559" t="s">
        <v>396</v>
      </c>
      <c r="W443" s="541" t="s">
        <v>2894</v>
      </c>
      <c r="X443" s="516" t="s">
        <v>876</v>
      </c>
      <c r="Y443" s="542">
        <v>37663</v>
      </c>
      <c r="Z443" s="543">
        <f t="shared" ca="1" si="5"/>
        <v>22</v>
      </c>
      <c r="AA443" s="534" t="s">
        <v>2895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2897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2898</v>
      </c>
      <c r="E444" s="516">
        <f t="shared" si="4"/>
        <v>400</v>
      </c>
      <c r="F444" s="534" t="s">
        <v>1001</v>
      </c>
      <c r="G444" s="534" t="s">
        <v>236</v>
      </c>
      <c r="H444" s="535" t="s">
        <v>2898</v>
      </c>
      <c r="I444" s="535" t="s">
        <v>456</v>
      </c>
      <c r="J444" s="535" t="s">
        <v>2898</v>
      </c>
      <c r="K444" s="535" t="s">
        <v>2898</v>
      </c>
      <c r="L444" s="535" t="s">
        <v>786</v>
      </c>
      <c r="M444" s="536"/>
      <c r="N444" s="537"/>
      <c r="O444" s="537"/>
      <c r="P444" s="548" t="s">
        <v>787</v>
      </c>
      <c r="Q444" s="539"/>
      <c r="R444" s="516" t="s">
        <v>982</v>
      </c>
      <c r="S444" s="516" t="s">
        <v>163</v>
      </c>
      <c r="T444" s="516"/>
      <c r="U444" s="516" t="s">
        <v>874</v>
      </c>
      <c r="V444" s="548" t="s">
        <v>456</v>
      </c>
      <c r="W444" s="541" t="s">
        <v>2899</v>
      </c>
      <c r="X444" s="516" t="s">
        <v>876</v>
      </c>
      <c r="Y444" s="542">
        <v>25002</v>
      </c>
      <c r="Z444" s="543">
        <f t="shared" ca="1" si="5"/>
        <v>57</v>
      </c>
      <c r="AA444" s="534" t="s">
        <v>2900</v>
      </c>
      <c r="AB444" s="516"/>
      <c r="AC444" s="516" t="s">
        <v>802</v>
      </c>
      <c r="AD444" s="516" t="s">
        <v>794</v>
      </c>
      <c r="AE444" s="534" t="s">
        <v>236</v>
      </c>
      <c r="AF444" s="534" t="s">
        <v>236</v>
      </c>
      <c r="AG444" s="534" t="s">
        <v>865</v>
      </c>
      <c r="AH444" s="516"/>
      <c r="AI444" s="516"/>
      <c r="AJ444" s="516"/>
      <c r="AK444" s="516"/>
      <c r="AL444" s="544"/>
      <c r="AM444" s="544"/>
    </row>
    <row r="445" spans="3:39" ht="18" customHeight="1">
      <c r="C445" s="516">
        <v>425</v>
      </c>
      <c r="D445" s="516" t="s">
        <v>2902</v>
      </c>
      <c r="E445" s="516">
        <f t="shared" si="4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38" t="s">
        <v>787</v>
      </c>
      <c r="Q445" s="539"/>
      <c r="R445" s="516" t="s">
        <v>49</v>
      </c>
      <c r="S445" s="516" t="s">
        <v>168</v>
      </c>
      <c r="T445" s="516"/>
      <c r="U445" s="516" t="s">
        <v>898</v>
      </c>
      <c r="V445" s="538" t="s">
        <v>463</v>
      </c>
      <c r="W445" s="541" t="s">
        <v>2903</v>
      </c>
      <c r="X445" s="516" t="s">
        <v>876</v>
      </c>
      <c r="Y445" s="542">
        <v>19177</v>
      </c>
      <c r="Z445" s="543">
        <f t="shared" ca="1" si="5"/>
        <v>73</v>
      </c>
      <c r="AA445" s="534" t="s">
        <v>2904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2906</v>
      </c>
      <c r="E446" s="516">
        <f t="shared" si="4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470</v>
      </c>
      <c r="W446" s="541" t="s">
        <v>2907</v>
      </c>
      <c r="X446" s="516" t="s">
        <v>876</v>
      </c>
      <c r="Y446" s="542">
        <v>18523</v>
      </c>
      <c r="Z446" s="543">
        <f t="shared" ca="1" si="5"/>
        <v>75</v>
      </c>
      <c r="AA446" s="534" t="s">
        <v>2908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2910</v>
      </c>
      <c r="E447" s="516">
        <f t="shared" si="4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49</v>
      </c>
      <c r="T447" s="516"/>
      <c r="U447" s="516" t="s">
        <v>874</v>
      </c>
      <c r="V447" s="538" t="s">
        <v>473</v>
      </c>
      <c r="W447" s="541" t="s">
        <v>2911</v>
      </c>
      <c r="X447" s="516" t="s">
        <v>876</v>
      </c>
      <c r="Y447" s="542">
        <v>22938</v>
      </c>
      <c r="Z447" s="543">
        <f t="shared" ca="1" si="5"/>
        <v>63</v>
      </c>
      <c r="AA447" s="534" t="s">
        <v>2912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2914</v>
      </c>
      <c r="E448" s="516">
        <f t="shared" si="4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168</v>
      </c>
      <c r="T448" s="516"/>
      <c r="U448" s="516" t="s">
        <v>874</v>
      </c>
      <c r="V448" s="538" t="s">
        <v>478</v>
      </c>
      <c r="W448" s="541" t="s">
        <v>2915</v>
      </c>
      <c r="X448" s="516" t="s">
        <v>876</v>
      </c>
      <c r="Y448" s="542">
        <v>23418</v>
      </c>
      <c r="Z448" s="543">
        <f t="shared" ca="1" si="5"/>
        <v>61</v>
      </c>
      <c r="AA448" s="534" t="s">
        <v>2916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2918</v>
      </c>
      <c r="E449" s="516">
        <f t="shared" si="4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59" t="s">
        <v>787</v>
      </c>
      <c r="Q449" s="539"/>
      <c r="R449" s="516" t="s">
        <v>163</v>
      </c>
      <c r="S449" s="516" t="s">
        <v>500</v>
      </c>
      <c r="T449" s="516"/>
      <c r="U449" s="516" t="s">
        <v>874</v>
      </c>
      <c r="V449" s="559" t="s">
        <v>498</v>
      </c>
      <c r="W449" s="541" t="s">
        <v>2919</v>
      </c>
      <c r="X449" s="516" t="s">
        <v>876</v>
      </c>
      <c r="Y449" s="542">
        <v>22147</v>
      </c>
      <c r="Z449" s="543">
        <f t="shared" ca="1" si="5"/>
        <v>65</v>
      </c>
      <c r="AA449" s="534" t="s">
        <v>2920</v>
      </c>
      <c r="AB449" s="516" t="s">
        <v>2921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987</v>
      </c>
      <c r="E450" s="516">
        <f t="shared" si="4"/>
        <v>405</v>
      </c>
      <c r="F450" s="534"/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987</v>
      </c>
      <c r="L450" s="535" t="s">
        <v>2922</v>
      </c>
      <c r="M450" s="536" t="s">
        <v>2923</v>
      </c>
      <c r="N450" s="537"/>
      <c r="O450" s="537"/>
      <c r="P450" s="548" t="s">
        <v>828</v>
      </c>
      <c r="Q450" s="539"/>
      <c r="R450" s="516" t="s">
        <v>49</v>
      </c>
      <c r="S450" s="516" t="s">
        <v>49</v>
      </c>
      <c r="T450" s="516"/>
      <c r="U450" s="516"/>
      <c r="V450" s="548" t="s">
        <v>75</v>
      </c>
      <c r="W450" s="541" t="s">
        <v>988</v>
      </c>
      <c r="X450" s="516" t="s">
        <v>790</v>
      </c>
      <c r="Y450" s="542">
        <v>19202</v>
      </c>
      <c r="Z450" s="543">
        <f t="shared" ca="1" si="5"/>
        <v>73</v>
      </c>
      <c r="AA450" s="534" t="s">
        <v>989</v>
      </c>
      <c r="AB450" s="516"/>
      <c r="AC450" s="516" t="s">
        <v>802</v>
      </c>
      <c r="AD450" s="516" t="s">
        <v>794</v>
      </c>
      <c r="AE450" s="534" t="s">
        <v>809</v>
      </c>
      <c r="AF450" s="534" t="s">
        <v>795</v>
      </c>
      <c r="AG450" s="534" t="s">
        <v>804</v>
      </c>
      <c r="AH450" s="516" t="s">
        <v>872</v>
      </c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2922</v>
      </c>
      <c r="E451" s="516">
        <f t="shared" si="4"/>
        <v>406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38" t="s">
        <v>828</v>
      </c>
      <c r="Q451" s="539"/>
      <c r="R451" s="516" t="s">
        <v>62</v>
      </c>
      <c r="S451" s="516" t="s">
        <v>62</v>
      </c>
      <c r="T451" s="516"/>
      <c r="U451" s="516" t="s">
        <v>898</v>
      </c>
      <c r="V451" s="538" t="s">
        <v>464</v>
      </c>
      <c r="W451" s="541" t="s">
        <v>2925</v>
      </c>
      <c r="X451" s="516" t="s">
        <v>790</v>
      </c>
      <c r="Y451" s="542">
        <v>19613</v>
      </c>
      <c r="Z451" s="543">
        <f t="shared" ca="1" si="5"/>
        <v>72</v>
      </c>
      <c r="AA451" s="534" t="s">
        <v>2926</v>
      </c>
      <c r="AB451" s="516"/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2923</v>
      </c>
      <c r="E452" s="516">
        <f t="shared" si="4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2928</v>
      </c>
      <c r="W452" s="541" t="s">
        <v>2929</v>
      </c>
      <c r="X452" s="516" t="s">
        <v>790</v>
      </c>
      <c r="Y452" s="542">
        <v>19281</v>
      </c>
      <c r="Z452" s="543">
        <f t="shared" ca="1" si="5"/>
        <v>73</v>
      </c>
      <c r="AA452" s="534" t="s">
        <v>2930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74" t="s">
        <v>743</v>
      </c>
      <c r="AH452" s="516"/>
      <c r="AI452" s="516"/>
      <c r="AJ452" s="516" t="s">
        <v>844</v>
      </c>
      <c r="AK452" s="516"/>
      <c r="AL452" s="544"/>
      <c r="AM452" s="544"/>
    </row>
    <row r="453" spans="3:39" ht="18" customHeight="1">
      <c r="C453" s="516">
        <v>433</v>
      </c>
      <c r="D453" s="516" t="s">
        <v>2932</v>
      </c>
      <c r="E453" s="516">
        <f t="shared" si="4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/>
      <c r="S453" s="516"/>
      <c r="T453" s="516"/>
      <c r="U453" s="516" t="s">
        <v>799</v>
      </c>
      <c r="V453" s="538" t="s">
        <v>474</v>
      </c>
      <c r="W453" s="541" t="s">
        <v>2933</v>
      </c>
      <c r="X453" s="516" t="s">
        <v>790</v>
      </c>
      <c r="Y453" s="542">
        <v>30981</v>
      </c>
      <c r="Z453" s="543">
        <f t="shared" ca="1" si="5"/>
        <v>41</v>
      </c>
      <c r="AA453" s="594" t="s">
        <v>2934</v>
      </c>
      <c r="AB453" s="516"/>
      <c r="AC453" s="516" t="s">
        <v>2936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2937</v>
      </c>
      <c r="E454" s="516">
        <f t="shared" si="4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2938</v>
      </c>
      <c r="W454" s="541" t="s">
        <v>2939</v>
      </c>
      <c r="X454" s="516" t="s">
        <v>790</v>
      </c>
      <c r="Y454" s="542">
        <v>26339</v>
      </c>
      <c r="Z454" s="543">
        <f t="shared" ca="1" si="5"/>
        <v>53</v>
      </c>
      <c r="AA454" s="534" t="s">
        <v>2940</v>
      </c>
      <c r="AB454" s="516"/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 t="s">
        <v>832</v>
      </c>
      <c r="AK454" s="516"/>
      <c r="AL454" s="544"/>
      <c r="AM454" s="544"/>
    </row>
    <row r="455" spans="3:39" ht="18" customHeight="1">
      <c r="C455" s="516">
        <v>435</v>
      </c>
      <c r="D455" s="516" t="s">
        <v>2942</v>
      </c>
      <c r="E455" s="516">
        <f t="shared" si="4"/>
        <v>410</v>
      </c>
      <c r="F455" s="534" t="s">
        <v>1822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2943</v>
      </c>
      <c r="W455" s="541" t="s">
        <v>2944</v>
      </c>
      <c r="X455" s="516" t="s">
        <v>790</v>
      </c>
      <c r="Y455" s="542">
        <v>22088</v>
      </c>
      <c r="Z455" s="543">
        <f t="shared" ca="1" si="5"/>
        <v>65</v>
      </c>
      <c r="AA455" s="534" t="s">
        <v>2945</v>
      </c>
      <c r="AB455" s="516"/>
      <c r="AC455" s="516" t="s">
        <v>842</v>
      </c>
      <c r="AD455" s="516" t="s">
        <v>851</v>
      </c>
      <c r="AE455" s="534" t="s">
        <v>809</v>
      </c>
      <c r="AF455" s="534" t="s">
        <v>809</v>
      </c>
      <c r="AG455" s="534" t="s">
        <v>2085</v>
      </c>
      <c r="AH455" s="516"/>
      <c r="AI455" s="516"/>
      <c r="AJ455" s="516" t="s">
        <v>844</v>
      </c>
      <c r="AK455" s="516" t="s">
        <v>1863</v>
      </c>
      <c r="AL455" s="544"/>
      <c r="AM455" s="544"/>
    </row>
    <row r="456" spans="3:39" ht="18" customHeight="1">
      <c r="C456" s="516">
        <v>436</v>
      </c>
      <c r="D456" s="516" t="s">
        <v>2947</v>
      </c>
      <c r="E456" s="516">
        <f t="shared" si="4"/>
        <v>411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2948</v>
      </c>
      <c r="W456" s="541" t="s">
        <v>2949</v>
      </c>
      <c r="X456" s="516" t="s">
        <v>790</v>
      </c>
      <c r="Y456" s="542">
        <v>31482</v>
      </c>
      <c r="Z456" s="543">
        <f t="shared" ca="1" si="5"/>
        <v>39</v>
      </c>
      <c r="AA456" s="594" t="s">
        <v>2950</v>
      </c>
      <c r="AB456" s="516"/>
      <c r="AC456" s="516" t="s">
        <v>842</v>
      </c>
      <c r="AD456" s="516" t="s">
        <v>843</v>
      </c>
      <c r="AE456" s="534" t="s">
        <v>236</v>
      </c>
      <c r="AF456" s="534" t="s">
        <v>236</v>
      </c>
      <c r="AG456" s="534" t="s">
        <v>865</v>
      </c>
      <c r="AH456" s="516"/>
      <c r="AI456" s="516" t="s">
        <v>2951</v>
      </c>
      <c r="AJ456" s="516"/>
      <c r="AK456" s="516" t="s">
        <v>860</v>
      </c>
      <c r="AL456" s="544"/>
      <c r="AM456" s="544"/>
    </row>
    <row r="457" spans="3:39" ht="18" customHeight="1">
      <c r="C457" s="516">
        <v>437</v>
      </c>
      <c r="D457" s="516" t="s">
        <v>2952</v>
      </c>
      <c r="E457" s="516">
        <f t="shared" si="4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2953</v>
      </c>
      <c r="W457" s="541" t="s">
        <v>2954</v>
      </c>
      <c r="X457" s="516" t="s">
        <v>790</v>
      </c>
      <c r="Y457" s="542">
        <v>32188</v>
      </c>
      <c r="Z457" s="543">
        <f t="shared" ca="1" si="5"/>
        <v>37</v>
      </c>
      <c r="AA457" s="534" t="s">
        <v>2955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2529</v>
      </c>
      <c r="AG457" s="534" t="s">
        <v>1289</v>
      </c>
      <c r="AH457" s="516"/>
      <c r="AI457" s="516" t="s">
        <v>2951</v>
      </c>
      <c r="AJ457" s="516" t="s">
        <v>844</v>
      </c>
      <c r="AK457" s="516" t="s">
        <v>860</v>
      </c>
      <c r="AL457" s="544"/>
      <c r="AM457" s="544"/>
    </row>
    <row r="458" spans="3:39" ht="18" customHeight="1">
      <c r="C458" s="516">
        <v>438</v>
      </c>
      <c r="D458" s="516" t="s">
        <v>2956</v>
      </c>
      <c r="E458" s="516">
        <f t="shared" si="4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2957</v>
      </c>
      <c r="W458" s="541" t="s">
        <v>2958</v>
      </c>
      <c r="X458" s="516" t="s">
        <v>790</v>
      </c>
      <c r="Y458" s="542">
        <v>26922</v>
      </c>
      <c r="Z458" s="543">
        <f t="shared" ca="1" si="5"/>
        <v>52</v>
      </c>
      <c r="AA458" s="534" t="s">
        <v>2959</v>
      </c>
      <c r="AB458" s="516"/>
      <c r="AC458" s="516" t="s">
        <v>842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 t="s">
        <v>2951</v>
      </c>
      <c r="AJ458" s="516"/>
      <c r="AK458" s="516" t="s">
        <v>860</v>
      </c>
      <c r="AL458" s="544"/>
      <c r="AM458" s="544"/>
    </row>
    <row r="459" spans="3:39" ht="18" customHeight="1">
      <c r="C459" s="516">
        <v>439</v>
      </c>
      <c r="D459" s="516" t="s">
        <v>2961</v>
      </c>
      <c r="E459" s="516">
        <f t="shared" si="4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59" t="s">
        <v>828</v>
      </c>
      <c r="Q459" s="539"/>
      <c r="R459" s="516"/>
      <c r="S459" s="516"/>
      <c r="T459" s="516"/>
      <c r="U459" s="516" t="s">
        <v>799</v>
      </c>
      <c r="V459" s="559" t="s">
        <v>2962</v>
      </c>
      <c r="W459" s="541" t="s">
        <v>2963</v>
      </c>
      <c r="X459" s="516" t="s">
        <v>790</v>
      </c>
      <c r="Y459" s="542">
        <v>27828</v>
      </c>
      <c r="Z459" s="543">
        <f t="shared" ca="1" si="5"/>
        <v>49</v>
      </c>
      <c r="AA459" s="534" t="s">
        <v>2964</v>
      </c>
      <c r="AB459" s="516"/>
      <c r="AC459" s="516" t="s">
        <v>842</v>
      </c>
      <c r="AD459" s="516" t="s">
        <v>851</v>
      </c>
      <c r="AE459" s="534" t="s">
        <v>236</v>
      </c>
      <c r="AF459" s="534" t="s">
        <v>236</v>
      </c>
      <c r="AG459" s="534" t="s">
        <v>865</v>
      </c>
      <c r="AH459" s="516"/>
      <c r="AI459" s="516" t="s">
        <v>2951</v>
      </c>
      <c r="AJ459" s="516"/>
      <c r="AK459" s="516" t="s">
        <v>860</v>
      </c>
      <c r="AL459" s="544"/>
      <c r="AM459" s="544"/>
    </row>
    <row r="460" spans="3:39" ht="18" customHeight="1">
      <c r="C460" s="516">
        <v>440</v>
      </c>
      <c r="D460" s="516" t="s">
        <v>2965</v>
      </c>
      <c r="E460" s="516">
        <f t="shared" si="4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2965</v>
      </c>
      <c r="L460" s="535" t="s">
        <v>2966</v>
      </c>
      <c r="M460" s="536" t="s">
        <v>990</v>
      </c>
      <c r="N460" s="537" t="s">
        <v>2967</v>
      </c>
      <c r="O460" s="537"/>
      <c r="P460" s="548" t="s">
        <v>938</v>
      </c>
      <c r="Q460" s="539"/>
      <c r="R460" s="516" t="s">
        <v>49</v>
      </c>
      <c r="S460" s="516" t="s">
        <v>49</v>
      </c>
      <c r="T460" s="516"/>
      <c r="U460" s="516" t="s">
        <v>898</v>
      </c>
      <c r="V460" s="548" t="s">
        <v>457</v>
      </c>
      <c r="W460" s="541" t="s">
        <v>2968</v>
      </c>
      <c r="X460" s="516" t="s">
        <v>876</v>
      </c>
      <c r="Y460" s="542">
        <v>17838</v>
      </c>
      <c r="Z460" s="543">
        <f t="shared" ca="1" si="5"/>
        <v>77</v>
      </c>
      <c r="AA460" s="534" t="s">
        <v>2969</v>
      </c>
      <c r="AB460" s="516"/>
      <c r="AC460" s="516" t="s">
        <v>802</v>
      </c>
      <c r="AD460" s="516" t="s">
        <v>794</v>
      </c>
      <c r="AE460" s="534" t="s">
        <v>236</v>
      </c>
      <c r="AF460" s="534" t="s">
        <v>236</v>
      </c>
      <c r="AG460" s="534" t="s">
        <v>865</v>
      </c>
      <c r="AH460" s="516"/>
      <c r="AI460" s="516"/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2966</v>
      </c>
      <c r="E461" s="516">
        <f t="shared" si="4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38" t="s">
        <v>938</v>
      </c>
      <c r="Q461" s="539"/>
      <c r="R461" s="516" t="s">
        <v>62</v>
      </c>
      <c r="S461" s="516" t="s">
        <v>62</v>
      </c>
      <c r="T461" s="516"/>
      <c r="U461" s="516" t="s">
        <v>898</v>
      </c>
      <c r="V461" s="538" t="s">
        <v>465</v>
      </c>
      <c r="W461" s="541" t="s">
        <v>2971</v>
      </c>
      <c r="X461" s="516" t="s">
        <v>876</v>
      </c>
      <c r="Y461" s="542">
        <v>19108</v>
      </c>
      <c r="Z461" s="543">
        <f t="shared" ca="1" si="5"/>
        <v>73</v>
      </c>
      <c r="AA461" s="534" t="s">
        <v>2972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990</v>
      </c>
      <c r="E462" s="516">
        <f t="shared" si="4"/>
        <v>416</v>
      </c>
      <c r="F462" s="534"/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/>
      <c r="V462" s="538" t="s">
        <v>87</v>
      </c>
      <c r="W462" s="541" t="s">
        <v>991</v>
      </c>
      <c r="X462" s="516" t="s">
        <v>876</v>
      </c>
      <c r="Y462" s="542">
        <v>19466</v>
      </c>
      <c r="Z462" s="543">
        <f t="shared" ca="1" si="5"/>
        <v>72</v>
      </c>
      <c r="AA462" s="534" t="s">
        <v>992</v>
      </c>
      <c r="AB462" s="516"/>
      <c r="AC462" s="516" t="s">
        <v>802</v>
      </c>
      <c r="AD462" s="516" t="s">
        <v>794</v>
      </c>
      <c r="AE462" s="534" t="s">
        <v>809</v>
      </c>
      <c r="AF462" s="534" t="s">
        <v>795</v>
      </c>
      <c r="AG462" s="534" t="s">
        <v>804</v>
      </c>
      <c r="AH462" s="516" t="s">
        <v>872</v>
      </c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2967</v>
      </c>
      <c r="E463" s="516">
        <f t="shared" si="4"/>
        <v>417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 t="s">
        <v>874</v>
      </c>
      <c r="V463" s="538" t="s">
        <v>475</v>
      </c>
      <c r="W463" s="541" t="s">
        <v>2974</v>
      </c>
      <c r="X463" s="516" t="s">
        <v>876</v>
      </c>
      <c r="Y463" s="542">
        <v>22921</v>
      </c>
      <c r="Z463" s="543">
        <f t="shared" ca="1" si="5"/>
        <v>63</v>
      </c>
      <c r="AA463" s="534" t="s">
        <v>2975</v>
      </c>
      <c r="AB463" s="516"/>
      <c r="AC463" s="516" t="s">
        <v>802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2977</v>
      </c>
      <c r="E464" s="516">
        <f t="shared" si="4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/>
      <c r="S464" s="516"/>
      <c r="T464" s="516"/>
      <c r="U464" s="516" t="s">
        <v>898</v>
      </c>
      <c r="V464" s="538" t="s">
        <v>479</v>
      </c>
      <c r="W464" s="541" t="s">
        <v>2978</v>
      </c>
      <c r="X464" s="516" t="s">
        <v>876</v>
      </c>
      <c r="Y464" s="542">
        <v>18123</v>
      </c>
      <c r="Z464" s="543">
        <f t="shared" ca="1" si="5"/>
        <v>76</v>
      </c>
      <c r="AA464" s="534" t="s">
        <v>2979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2981</v>
      </c>
      <c r="E465" s="516">
        <f t="shared" si="4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485</v>
      </c>
      <c r="W465" s="541" t="s">
        <v>2982</v>
      </c>
      <c r="X465" s="516" t="s">
        <v>876</v>
      </c>
      <c r="Y465" s="542">
        <v>20191</v>
      </c>
      <c r="Z465" s="543">
        <f t="shared" ca="1" si="5"/>
        <v>70</v>
      </c>
      <c r="AA465" s="534">
        <v>77774810054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2984</v>
      </c>
      <c r="E466" s="516">
        <f t="shared" si="4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874</v>
      </c>
      <c r="V466" s="538" t="s">
        <v>486</v>
      </c>
      <c r="W466" s="541" t="s">
        <v>2985</v>
      </c>
      <c r="X466" s="516" t="s">
        <v>876</v>
      </c>
      <c r="Y466" s="542">
        <v>20487</v>
      </c>
      <c r="Z466" s="543">
        <f t="shared" ca="1" si="5"/>
        <v>69</v>
      </c>
      <c r="AA466" s="534" t="s">
        <v>2986</v>
      </c>
      <c r="AB466" s="516"/>
      <c r="AC466" s="516" t="s">
        <v>842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 t="s">
        <v>1571</v>
      </c>
      <c r="AI466" s="516" t="s">
        <v>4436</v>
      </c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2989</v>
      </c>
      <c r="E467" s="516">
        <f t="shared" si="4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2990</v>
      </c>
      <c r="W467" s="541" t="s">
        <v>2991</v>
      </c>
      <c r="X467" s="516" t="s">
        <v>876</v>
      </c>
      <c r="Y467" s="542">
        <v>26857</v>
      </c>
      <c r="Z467" s="543">
        <f t="shared" ca="1" si="5"/>
        <v>52</v>
      </c>
      <c r="AA467" s="534" t="s">
        <v>2992</v>
      </c>
      <c r="AB467" s="516"/>
      <c r="AC467" s="516" t="s">
        <v>842</v>
      </c>
      <c r="AD467" s="516" t="s">
        <v>851</v>
      </c>
      <c r="AE467" s="534" t="s">
        <v>236</v>
      </c>
      <c r="AF467" s="534" t="s">
        <v>236</v>
      </c>
      <c r="AG467" s="534" t="s">
        <v>865</v>
      </c>
      <c r="AH467" s="516"/>
      <c r="AI467" s="516" t="s">
        <v>2951</v>
      </c>
      <c r="AJ467" s="516"/>
      <c r="AK467" s="516" t="s">
        <v>860</v>
      </c>
      <c r="AL467" s="544"/>
      <c r="AM467" s="544"/>
    </row>
    <row r="468" spans="3:39" ht="18" customHeight="1">
      <c r="C468" s="516">
        <v>448</v>
      </c>
      <c r="D468" s="516" t="s">
        <v>2993</v>
      </c>
      <c r="E468" s="516">
        <f t="shared" si="4"/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2994</v>
      </c>
      <c r="W468" s="541" t="s">
        <v>2995</v>
      </c>
      <c r="X468" s="516" t="s">
        <v>876</v>
      </c>
      <c r="Y468" s="542">
        <v>27734</v>
      </c>
      <c r="Z468" s="543">
        <f t="shared" ca="1" si="5"/>
        <v>50</v>
      </c>
      <c r="AA468" s="534" t="s">
        <v>2996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/>
      <c r="AI468" s="516" t="s">
        <v>4437</v>
      </c>
      <c r="AJ468" s="516"/>
      <c r="AK468" s="516" t="s">
        <v>2988</v>
      </c>
      <c r="AL468" s="544"/>
      <c r="AM468" s="544"/>
    </row>
    <row r="469" spans="3:39" ht="18" customHeight="1">
      <c r="C469" s="516">
        <v>449</v>
      </c>
      <c r="D469" s="516" t="s">
        <v>2998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59" t="s">
        <v>938</v>
      </c>
      <c r="Q469" s="539"/>
      <c r="R469" s="516"/>
      <c r="S469" s="516"/>
      <c r="T469" s="516"/>
      <c r="U469" s="516" t="s">
        <v>788</v>
      </c>
      <c r="V469" s="559" t="s">
        <v>2999</v>
      </c>
      <c r="W469" s="541" t="s">
        <v>3000</v>
      </c>
      <c r="X469" s="516" t="s">
        <v>876</v>
      </c>
      <c r="Y469" s="542">
        <v>36934</v>
      </c>
      <c r="Z469" s="543">
        <f t="shared" ca="1" si="5"/>
        <v>24</v>
      </c>
      <c r="AA469" s="534" t="s">
        <v>3001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/>
      <c r="AI469" s="516" t="s">
        <v>2951</v>
      </c>
      <c r="AJ469" s="516"/>
      <c r="AK469" s="516" t="s">
        <v>860</v>
      </c>
      <c r="AL469" s="544"/>
      <c r="AM469" s="544"/>
    </row>
    <row r="470" spans="3:39" ht="18" customHeight="1">
      <c r="C470" s="516">
        <v>450</v>
      </c>
      <c r="D470" s="516" t="s">
        <v>2902</v>
      </c>
      <c r="E470" s="516">
        <f t="shared" si="4"/>
        <v>423</v>
      </c>
      <c r="F470" s="534"/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2902</v>
      </c>
      <c r="L470" s="535" t="s">
        <v>3002</v>
      </c>
      <c r="M470" s="536"/>
      <c r="N470" s="537"/>
      <c r="O470" s="537"/>
      <c r="P470" s="548" t="s">
        <v>978</v>
      </c>
      <c r="Q470" s="539"/>
      <c r="R470" s="516" t="s">
        <v>49</v>
      </c>
      <c r="S470" s="516" t="s">
        <v>168</v>
      </c>
      <c r="T470" s="516"/>
      <c r="U470" s="516"/>
      <c r="V470" s="548" t="s">
        <v>463</v>
      </c>
      <c r="W470" s="541" t="s">
        <v>2903</v>
      </c>
      <c r="X470" s="516" t="s">
        <v>876</v>
      </c>
      <c r="Y470" s="542">
        <v>19031</v>
      </c>
      <c r="Z470" s="543">
        <f t="shared" ca="1" si="5"/>
        <v>73</v>
      </c>
      <c r="AA470" s="534" t="s">
        <v>2904</v>
      </c>
      <c r="AB470" s="516"/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 t="s">
        <v>872</v>
      </c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3002</v>
      </c>
      <c r="E471" s="516">
        <f t="shared" si="4"/>
        <v>424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38" t="s">
        <v>978</v>
      </c>
      <c r="Q471" s="539"/>
      <c r="R471" s="516" t="s">
        <v>62</v>
      </c>
      <c r="S471" s="516" t="s">
        <v>62</v>
      </c>
      <c r="T471" s="516"/>
      <c r="U471" s="516" t="s">
        <v>874</v>
      </c>
      <c r="V471" s="538" t="s">
        <v>3003</v>
      </c>
      <c r="W471" s="541" t="s">
        <v>3004</v>
      </c>
      <c r="X471" s="516" t="s">
        <v>876</v>
      </c>
      <c r="Y471" s="542">
        <v>20886</v>
      </c>
      <c r="Z471" s="543">
        <f t="shared" ca="1" si="5"/>
        <v>68</v>
      </c>
      <c r="AA471" s="594" t="s">
        <v>3005</v>
      </c>
      <c r="AB471" s="516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74" t="s">
        <v>743</v>
      </c>
      <c r="AH471" s="516"/>
      <c r="AI471" s="516"/>
      <c r="AJ471" s="516" t="s">
        <v>1535</v>
      </c>
      <c r="AK471" s="516"/>
      <c r="AL471" s="544"/>
      <c r="AM471" s="544"/>
    </row>
    <row r="472" spans="3:39" ht="18" customHeight="1">
      <c r="C472" s="516">
        <v>452</v>
      </c>
      <c r="D472" s="516" t="s">
        <v>3007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/>
      <c r="S472" s="516"/>
      <c r="T472" s="516"/>
      <c r="U472" s="516" t="s">
        <v>898</v>
      </c>
      <c r="V472" s="538" t="s">
        <v>3008</v>
      </c>
      <c r="W472" s="541" t="s">
        <v>3009</v>
      </c>
      <c r="X472" s="516" t="s">
        <v>876</v>
      </c>
      <c r="Y472" s="542">
        <v>19423</v>
      </c>
      <c r="Z472" s="543">
        <f t="shared" ca="1" si="5"/>
        <v>72</v>
      </c>
      <c r="AA472" s="534" t="s">
        <v>3010</v>
      </c>
      <c r="AB472" s="516"/>
      <c r="AC472" s="516" t="s">
        <v>802</v>
      </c>
      <c r="AD472" s="516" t="s">
        <v>794</v>
      </c>
      <c r="AE472" s="534" t="s">
        <v>236</v>
      </c>
      <c r="AF472" s="534" t="s">
        <v>236</v>
      </c>
      <c r="AG472" s="534" t="s">
        <v>865</v>
      </c>
      <c r="AH472" s="516"/>
      <c r="AI472" s="516"/>
      <c r="AJ472" s="516" t="s">
        <v>832</v>
      </c>
      <c r="AK472" s="516"/>
      <c r="AL472" s="544"/>
      <c r="AM472" s="544"/>
    </row>
    <row r="473" spans="3:39" ht="18" customHeight="1">
      <c r="C473" s="516">
        <v>453</v>
      </c>
      <c r="D473" s="516" t="s">
        <v>3012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874</v>
      </c>
      <c r="V473" s="538" t="s">
        <v>476</v>
      </c>
      <c r="W473" s="541" t="s">
        <v>3013</v>
      </c>
      <c r="X473" s="516" t="s">
        <v>876</v>
      </c>
      <c r="Y473" s="542">
        <v>20639</v>
      </c>
      <c r="Z473" s="543">
        <f t="shared" ca="1" si="5"/>
        <v>69</v>
      </c>
      <c r="AA473" s="534" t="s">
        <v>3014</v>
      </c>
      <c r="AB473" s="516"/>
      <c r="AC473" s="516" t="s">
        <v>842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3016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898</v>
      </c>
      <c r="V474" s="538" t="s">
        <v>3017</v>
      </c>
      <c r="W474" s="541" t="s">
        <v>3018</v>
      </c>
      <c r="X474" s="516" t="s">
        <v>876</v>
      </c>
      <c r="Y474" s="542">
        <v>20280</v>
      </c>
      <c r="Z474" s="543">
        <f t="shared" ca="1" si="5"/>
        <v>70</v>
      </c>
      <c r="AA474" s="534" t="s">
        <v>3019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 t="s">
        <v>1863</v>
      </c>
      <c r="AL474" s="544"/>
      <c r="AM474" s="544"/>
    </row>
    <row r="475" spans="3:39" ht="18" customHeight="1">
      <c r="C475" s="516">
        <v>455</v>
      </c>
      <c r="D475" s="516" t="s">
        <v>3021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874</v>
      </c>
      <c r="V475" s="538" t="s">
        <v>3022</v>
      </c>
      <c r="W475" s="541" t="s">
        <v>3023</v>
      </c>
      <c r="X475" s="516" t="s">
        <v>876</v>
      </c>
      <c r="Y475" s="542">
        <v>22315</v>
      </c>
      <c r="Z475" s="543">
        <f t="shared" ca="1" si="5"/>
        <v>64</v>
      </c>
      <c r="AA475" s="534" t="s">
        <v>3024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/>
      <c r="AH475" s="516"/>
      <c r="AI475" s="516"/>
      <c r="AJ475" s="516" t="s">
        <v>832</v>
      </c>
      <c r="AK475" s="516"/>
      <c r="AL475" s="544"/>
      <c r="AM475" s="544"/>
    </row>
    <row r="476" spans="3:39" ht="18" customHeight="1">
      <c r="C476" s="516">
        <v>456</v>
      </c>
      <c r="D476" s="516" t="s">
        <v>3026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3027</v>
      </c>
      <c r="W476" s="541" t="s">
        <v>3028</v>
      </c>
      <c r="X476" s="516" t="s">
        <v>876</v>
      </c>
      <c r="Y476" s="542">
        <v>28525</v>
      </c>
      <c r="Z476" s="543">
        <f t="shared" ca="1" si="5"/>
        <v>47</v>
      </c>
      <c r="AA476" s="534" t="s">
        <v>3029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844</v>
      </c>
      <c r="AK476" s="516"/>
      <c r="AL476" s="544"/>
      <c r="AM476" s="544"/>
    </row>
    <row r="477" spans="3:39" ht="18" customHeight="1">
      <c r="C477" s="516">
        <v>457</v>
      </c>
      <c r="D477" s="516" t="s">
        <v>3031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3032</v>
      </c>
      <c r="W477" s="541" t="s">
        <v>3033</v>
      </c>
      <c r="X477" s="516" t="s">
        <v>876</v>
      </c>
      <c r="Y477" s="542">
        <v>32231</v>
      </c>
      <c r="Z477" s="543">
        <f t="shared" ca="1" si="5"/>
        <v>37</v>
      </c>
      <c r="AA477" s="534" t="s">
        <v>3034</v>
      </c>
      <c r="AB477" s="516"/>
      <c r="AC477" s="516" t="s">
        <v>842</v>
      </c>
      <c r="AD477" s="516" t="s">
        <v>851</v>
      </c>
      <c r="AE477" s="534" t="s">
        <v>236</v>
      </c>
      <c r="AF477" s="534" t="s">
        <v>236</v>
      </c>
      <c r="AG477" s="534"/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3036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489</v>
      </c>
      <c r="W478" s="541" t="s">
        <v>3037</v>
      </c>
      <c r="X478" s="516" t="s">
        <v>876</v>
      </c>
      <c r="Y478" s="542">
        <v>24589</v>
      </c>
      <c r="Z478" s="543">
        <f t="shared" ca="1" si="5"/>
        <v>58</v>
      </c>
      <c r="AA478" s="594" t="s">
        <v>3038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 t="s">
        <v>1535</v>
      </c>
      <c r="AK478" s="516"/>
      <c r="AL478" s="544"/>
      <c r="AM478" s="544"/>
    </row>
    <row r="479" spans="3:39" ht="18" customHeight="1">
      <c r="C479" s="516">
        <v>459</v>
      </c>
      <c r="D479" s="516" t="s">
        <v>3039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3040</v>
      </c>
      <c r="W479" s="541" t="s">
        <v>3041</v>
      </c>
      <c r="X479" s="516" t="s">
        <v>876</v>
      </c>
      <c r="Y479" s="542">
        <v>25240</v>
      </c>
      <c r="Z479" s="543">
        <f t="shared" ca="1" si="5"/>
        <v>56</v>
      </c>
      <c r="AA479" s="534" t="s">
        <v>3042</v>
      </c>
      <c r="AB479" s="516"/>
      <c r="AC479" s="516" t="s">
        <v>842</v>
      </c>
      <c r="AD479" s="516" t="s">
        <v>843</v>
      </c>
      <c r="AE479" s="534" t="s">
        <v>236</v>
      </c>
      <c r="AF479" s="534" t="s">
        <v>236</v>
      </c>
      <c r="AG479" s="534" t="s">
        <v>865</v>
      </c>
      <c r="AH479" s="516"/>
      <c r="AI479" s="516" t="s">
        <v>3043</v>
      </c>
      <c r="AJ479" s="516" t="s">
        <v>832</v>
      </c>
      <c r="AK479" s="516" t="s">
        <v>860</v>
      </c>
      <c r="AL479" s="544"/>
      <c r="AM479" s="544"/>
    </row>
    <row r="480" spans="3:39" ht="18" customHeight="1">
      <c r="C480" s="516">
        <v>460</v>
      </c>
      <c r="D480" s="516" t="s">
        <v>3044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3045</v>
      </c>
      <c r="W480" s="541" t="s">
        <v>3046</v>
      </c>
      <c r="X480" s="516" t="s">
        <v>876</v>
      </c>
      <c r="Y480" s="542">
        <v>26317</v>
      </c>
      <c r="Z480" s="543">
        <f t="shared" ca="1" si="5"/>
        <v>54</v>
      </c>
      <c r="AA480" s="534" t="s">
        <v>3047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/>
      <c r="AI480" s="516" t="s">
        <v>3048</v>
      </c>
      <c r="AJ480" s="516" t="s">
        <v>832</v>
      </c>
      <c r="AK480" s="516" t="s">
        <v>860</v>
      </c>
      <c r="AL480" s="544"/>
      <c r="AM480" s="544"/>
    </row>
    <row r="481" spans="3:39" ht="18" customHeight="1">
      <c r="C481" s="516">
        <v>461</v>
      </c>
      <c r="D481" s="516" t="s">
        <v>3049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59" t="s">
        <v>978</v>
      </c>
      <c r="Q481" s="539"/>
      <c r="R481" s="516"/>
      <c r="S481" s="516"/>
      <c r="T481" s="516"/>
      <c r="U481" s="516" t="s">
        <v>874</v>
      </c>
      <c r="V481" s="559" t="s">
        <v>3050</v>
      </c>
      <c r="W481" s="541" t="s">
        <v>3051</v>
      </c>
      <c r="X481" s="516" t="s">
        <v>876</v>
      </c>
      <c r="Y481" s="542">
        <v>22333</v>
      </c>
      <c r="Z481" s="543">
        <f t="shared" ca="1" si="5"/>
        <v>64</v>
      </c>
      <c r="AA481" s="534" t="s">
        <v>3052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/>
      <c r="AH481" s="516"/>
      <c r="AI481" s="516" t="s">
        <v>3053</v>
      </c>
      <c r="AJ481" s="516" t="s">
        <v>844</v>
      </c>
      <c r="AK481" s="572" t="s">
        <v>1284</v>
      </c>
      <c r="AL481" s="544"/>
      <c r="AM481" s="544"/>
    </row>
    <row r="482" spans="3:39" ht="18" customHeight="1">
      <c r="C482" s="516">
        <v>462</v>
      </c>
      <c r="D482" s="516" t="s">
        <v>2906</v>
      </c>
      <c r="E482" s="516">
        <f t="shared" si="4"/>
        <v>434</v>
      </c>
      <c r="F482" s="534"/>
      <c r="G482" s="534" t="s">
        <v>3054</v>
      </c>
      <c r="H482" s="535" t="s">
        <v>2898</v>
      </c>
      <c r="I482" s="535" t="s">
        <v>484</v>
      </c>
      <c r="J482" s="535" t="s">
        <v>2918</v>
      </c>
      <c r="K482" s="535" t="s">
        <v>2906</v>
      </c>
      <c r="L482" s="535" t="s">
        <v>3055</v>
      </c>
      <c r="M482" s="536"/>
      <c r="N482" s="537"/>
      <c r="O482" s="537"/>
      <c r="P482" s="548" t="s">
        <v>2372</v>
      </c>
      <c r="Q482" s="539"/>
      <c r="R482" s="516" t="s">
        <v>49</v>
      </c>
      <c r="S482" s="516" t="s">
        <v>168</v>
      </c>
      <c r="T482" s="516"/>
      <c r="U482" s="516"/>
      <c r="V482" s="548" t="s">
        <v>470</v>
      </c>
      <c r="W482" s="541" t="s">
        <v>2907</v>
      </c>
      <c r="X482" s="516" t="s">
        <v>876</v>
      </c>
      <c r="Y482" s="542">
        <v>18523</v>
      </c>
      <c r="Z482" s="543">
        <f t="shared" ca="1" si="5"/>
        <v>75</v>
      </c>
      <c r="AA482" s="534" t="s">
        <v>2908</v>
      </c>
      <c r="AB482" s="516"/>
      <c r="AC482" s="516" t="s">
        <v>802</v>
      </c>
      <c r="AD482" s="516" t="s">
        <v>794</v>
      </c>
      <c r="AE482" s="534" t="s">
        <v>236</v>
      </c>
      <c r="AF482" s="534" t="s">
        <v>236</v>
      </c>
      <c r="AG482" s="534" t="s">
        <v>865</v>
      </c>
      <c r="AH482" s="516" t="s">
        <v>872</v>
      </c>
      <c r="AI482" s="516"/>
      <c r="AJ482" s="516"/>
      <c r="AK482" s="516"/>
      <c r="AL482" s="544"/>
      <c r="AM482" s="544"/>
    </row>
    <row r="483" spans="3:39" ht="18" customHeight="1">
      <c r="C483" s="516">
        <v>463</v>
      </c>
      <c r="D483" s="516" t="s">
        <v>3055</v>
      </c>
      <c r="E483" s="516">
        <f t="shared" si="4"/>
        <v>435</v>
      </c>
      <c r="F483" s="534" t="s">
        <v>1001</v>
      </c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38" t="s">
        <v>2372</v>
      </c>
      <c r="Q483" s="539"/>
      <c r="R483" s="516" t="s">
        <v>62</v>
      </c>
      <c r="S483" s="516" t="s">
        <v>548</v>
      </c>
      <c r="T483" s="516"/>
      <c r="U483" s="516" t="s">
        <v>898</v>
      </c>
      <c r="V483" s="538" t="s">
        <v>501</v>
      </c>
      <c r="W483" s="541" t="s">
        <v>3056</v>
      </c>
      <c r="X483" s="516" t="s">
        <v>876</v>
      </c>
      <c r="Y483" s="542">
        <v>19573</v>
      </c>
      <c r="Z483" s="543">
        <f t="shared" ca="1" si="5"/>
        <v>72</v>
      </c>
      <c r="AA483" s="534" t="s">
        <v>3057</v>
      </c>
      <c r="AB483" s="516"/>
      <c r="AC483" s="516" t="s">
        <v>842</v>
      </c>
      <c r="AD483" s="516" t="s">
        <v>794</v>
      </c>
      <c r="AE483" s="534" t="s">
        <v>236</v>
      </c>
      <c r="AF483" s="534" t="s">
        <v>236</v>
      </c>
      <c r="AG483" s="534" t="s">
        <v>3059</v>
      </c>
      <c r="AH483" s="516"/>
      <c r="AI483" s="516"/>
      <c r="AJ483" s="516" t="s">
        <v>867</v>
      </c>
      <c r="AK483" s="516"/>
      <c r="AL483" s="544"/>
      <c r="AM483" s="544"/>
    </row>
    <row r="484" spans="3:39" ht="18" customHeight="1">
      <c r="C484" s="516">
        <v>464</v>
      </c>
      <c r="D484" s="516" t="s">
        <v>3060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/>
      <c r="S484" s="516"/>
      <c r="T484" s="516"/>
      <c r="U484" s="516" t="s">
        <v>898</v>
      </c>
      <c r="V484" s="538" t="s">
        <v>509</v>
      </c>
      <c r="W484" s="541" t="s">
        <v>3061</v>
      </c>
      <c r="X484" s="516" t="s">
        <v>876</v>
      </c>
      <c r="Y484" s="542">
        <v>19429</v>
      </c>
      <c r="Z484" s="543">
        <f t="shared" ca="1" si="5"/>
        <v>72</v>
      </c>
      <c r="AA484" s="534" t="s">
        <v>3062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3064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3065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517</v>
      </c>
      <c r="W485" s="541" t="s">
        <v>3066</v>
      </c>
      <c r="X485" s="516" t="s">
        <v>876</v>
      </c>
      <c r="Y485" s="542">
        <v>19754</v>
      </c>
      <c r="Z485" s="543">
        <f t="shared" ca="1" si="5"/>
        <v>71</v>
      </c>
      <c r="AA485" s="534" t="s">
        <v>3067</v>
      </c>
      <c r="AB485" s="516"/>
      <c r="AC485" s="516" t="s">
        <v>802</v>
      </c>
      <c r="AD485" s="516" t="s">
        <v>794</v>
      </c>
      <c r="AE485" s="534" t="s">
        <v>236</v>
      </c>
      <c r="AF485" s="534" t="s">
        <v>236</v>
      </c>
      <c r="AG485" s="534" t="s">
        <v>3069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3070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874</v>
      </c>
      <c r="V486" s="538" t="s">
        <v>525</v>
      </c>
      <c r="W486" s="541" t="s">
        <v>3071</v>
      </c>
      <c r="X486" s="516" t="s">
        <v>876</v>
      </c>
      <c r="Y486" s="542">
        <v>27624</v>
      </c>
      <c r="Z486" s="543">
        <f t="shared" ca="1" si="5"/>
        <v>50</v>
      </c>
      <c r="AA486" s="534" t="s">
        <v>3072</v>
      </c>
      <c r="AB486" s="516"/>
      <c r="AC486" s="516" t="s">
        <v>842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/>
      <c r="AI486" s="516" t="s">
        <v>3074</v>
      </c>
      <c r="AJ486" s="516"/>
      <c r="AK486" s="516"/>
      <c r="AL486" s="544"/>
      <c r="AM486" s="544"/>
    </row>
    <row r="487" spans="3:39" ht="18" customHeight="1">
      <c r="C487" s="516">
        <v>467</v>
      </c>
      <c r="D487" s="516" t="s">
        <v>3075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3076</v>
      </c>
      <c r="W487" s="541" t="s">
        <v>3077</v>
      </c>
      <c r="X487" s="516" t="s">
        <v>876</v>
      </c>
      <c r="Y487" s="542">
        <v>31364</v>
      </c>
      <c r="Z487" s="543">
        <f t="shared" ca="1" si="5"/>
        <v>40</v>
      </c>
      <c r="AA487" s="534" t="s">
        <v>3078</v>
      </c>
      <c r="AB487" s="516"/>
      <c r="AC487" s="516" t="s">
        <v>842</v>
      </c>
      <c r="AD487" s="516" t="s">
        <v>843</v>
      </c>
      <c r="AE487" s="534" t="s">
        <v>236</v>
      </c>
      <c r="AF487" s="534" t="s">
        <v>2529</v>
      </c>
      <c r="AG487" s="534" t="s">
        <v>1289</v>
      </c>
      <c r="AH487" s="516"/>
      <c r="AI487" s="516"/>
      <c r="AJ487" s="516" t="s">
        <v>844</v>
      </c>
      <c r="AK487" s="516"/>
      <c r="AL487" s="544"/>
      <c r="AM487" s="544"/>
    </row>
    <row r="488" spans="3:39" ht="18" customHeight="1">
      <c r="C488" s="516">
        <v>468</v>
      </c>
      <c r="D488" s="516" t="s">
        <v>3080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3081</v>
      </c>
      <c r="W488" s="541" t="s">
        <v>3082</v>
      </c>
      <c r="X488" s="516" t="s">
        <v>876</v>
      </c>
      <c r="Y488" s="542">
        <v>21555</v>
      </c>
      <c r="Z488" s="543">
        <f t="shared" ca="1" si="5"/>
        <v>67</v>
      </c>
      <c r="AA488" s="534" t="s">
        <v>3083</v>
      </c>
      <c r="AB488" s="516"/>
      <c r="AC488" s="516" t="s">
        <v>802</v>
      </c>
      <c r="AD488" s="516" t="s">
        <v>794</v>
      </c>
      <c r="AE488" s="534" t="s">
        <v>236</v>
      </c>
      <c r="AF488" s="534" t="s">
        <v>236</v>
      </c>
      <c r="AG488" s="534" t="s">
        <v>865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3085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544</v>
      </c>
      <c r="W489" s="541" t="s">
        <v>3086</v>
      </c>
      <c r="X489" s="516" t="s">
        <v>876</v>
      </c>
      <c r="Y489" s="542">
        <v>21988</v>
      </c>
      <c r="Z489" s="543">
        <f t="shared" ca="1" si="5"/>
        <v>65</v>
      </c>
      <c r="AA489" s="534" t="s">
        <v>3087</v>
      </c>
      <c r="AB489" s="516"/>
      <c r="AC489" s="516" t="s">
        <v>842</v>
      </c>
      <c r="AD489" s="516" t="s">
        <v>843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3089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3090</v>
      </c>
      <c r="W490" s="541" t="s">
        <v>3091</v>
      </c>
      <c r="X490" s="516" t="s">
        <v>876</v>
      </c>
      <c r="Y490" s="542">
        <v>18799</v>
      </c>
      <c r="Z490" s="543">
        <f t="shared" ca="1" si="5"/>
        <v>74</v>
      </c>
      <c r="AA490" s="534" t="s">
        <v>3092</v>
      </c>
      <c r="AB490" s="516"/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3064</v>
      </c>
      <c r="AH490" s="516"/>
      <c r="AI490" s="516" t="s">
        <v>3094</v>
      </c>
      <c r="AJ490" s="516" t="s">
        <v>867</v>
      </c>
      <c r="AK490" s="516" t="s">
        <v>860</v>
      </c>
      <c r="AL490" s="544"/>
      <c r="AM490" s="544"/>
    </row>
    <row r="491" spans="3:39" ht="18" customHeight="1">
      <c r="C491" s="516">
        <v>471</v>
      </c>
      <c r="D491" s="516" t="s">
        <v>3095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3096</v>
      </c>
      <c r="W491" s="541" t="s">
        <v>3097</v>
      </c>
      <c r="X491" s="516" t="s">
        <v>876</v>
      </c>
      <c r="Y491" s="542">
        <v>19719</v>
      </c>
      <c r="Z491" s="543">
        <f t="shared" ca="1" si="5"/>
        <v>72</v>
      </c>
      <c r="AA491" s="534" t="s">
        <v>3098</v>
      </c>
      <c r="AB491" s="516"/>
      <c r="AC491" s="516" t="s">
        <v>842</v>
      </c>
      <c r="AD491" s="516" t="s">
        <v>843</v>
      </c>
      <c r="AE491" s="534" t="s">
        <v>236</v>
      </c>
      <c r="AF491" s="534" t="s">
        <v>236</v>
      </c>
      <c r="AG491" s="534" t="s">
        <v>3069</v>
      </c>
      <c r="AH491" s="516"/>
      <c r="AI491" s="516" t="s">
        <v>3100</v>
      </c>
      <c r="AJ491" s="516" t="s">
        <v>867</v>
      </c>
      <c r="AK491" s="516" t="s">
        <v>860</v>
      </c>
      <c r="AL491" s="544"/>
      <c r="AM491" s="544"/>
    </row>
    <row r="492" spans="3:39" ht="18" customHeight="1">
      <c r="C492" s="516">
        <v>472</v>
      </c>
      <c r="D492" s="516" t="s">
        <v>3101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59" t="s">
        <v>2372</v>
      </c>
      <c r="Q492" s="539"/>
      <c r="R492" s="516"/>
      <c r="S492" s="516"/>
      <c r="T492" s="516"/>
      <c r="U492" s="516" t="s">
        <v>874</v>
      </c>
      <c r="V492" s="559" t="s">
        <v>559</v>
      </c>
      <c r="W492" s="541" t="s">
        <v>3102</v>
      </c>
      <c r="X492" s="516" t="s">
        <v>876</v>
      </c>
      <c r="Y492" s="542">
        <v>23913</v>
      </c>
      <c r="Z492" s="543">
        <f t="shared" ca="1" si="5"/>
        <v>60</v>
      </c>
      <c r="AA492" s="534" t="s">
        <v>3103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865</v>
      </c>
      <c r="AH492" s="516"/>
      <c r="AI492" s="516" t="s">
        <v>3105</v>
      </c>
      <c r="AJ492" s="516" t="s">
        <v>867</v>
      </c>
      <c r="AK492" s="516" t="s">
        <v>860</v>
      </c>
      <c r="AL492" s="544"/>
      <c r="AM492" s="544"/>
    </row>
    <row r="493" spans="3:39" ht="18" customHeight="1">
      <c r="C493" s="516">
        <v>473</v>
      </c>
      <c r="D493" s="516" t="s">
        <v>2906</v>
      </c>
      <c r="E493" s="516">
        <f t="shared" si="4"/>
        <v>444</v>
      </c>
      <c r="F493" s="534"/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786</v>
      </c>
      <c r="M493" s="536"/>
      <c r="N493" s="537"/>
      <c r="O493" s="537"/>
      <c r="P493" s="548" t="s">
        <v>2425</v>
      </c>
      <c r="Q493" s="539"/>
      <c r="R493" s="516" t="s">
        <v>49</v>
      </c>
      <c r="S493" s="516" t="s">
        <v>168</v>
      </c>
      <c r="T493" s="516"/>
      <c r="U493" s="516"/>
      <c r="V493" s="548" t="s">
        <v>470</v>
      </c>
      <c r="W493" s="541" t="s">
        <v>2907</v>
      </c>
      <c r="X493" s="516" t="s">
        <v>876</v>
      </c>
      <c r="Y493" s="542">
        <v>18523</v>
      </c>
      <c r="Z493" s="543">
        <f t="shared" ca="1" si="5"/>
        <v>75</v>
      </c>
      <c r="AA493" s="534" t="s">
        <v>2908</v>
      </c>
      <c r="AB493" s="516"/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 t="s">
        <v>872</v>
      </c>
      <c r="AI493" s="516"/>
      <c r="AJ493" s="516"/>
      <c r="AK493" s="516"/>
      <c r="AL493" s="544"/>
      <c r="AM493" s="544"/>
    </row>
    <row r="494" spans="3:39" ht="18" customHeight="1">
      <c r="C494" s="516">
        <v>474</v>
      </c>
      <c r="D494" s="516" t="s">
        <v>3106</v>
      </c>
      <c r="E494" s="516">
        <f t="shared" si="4"/>
        <v>445</v>
      </c>
      <c r="F494" s="534" t="s">
        <v>811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38" t="s">
        <v>2425</v>
      </c>
      <c r="Q494" s="539" t="s">
        <v>308</v>
      </c>
      <c r="R494" s="516"/>
      <c r="S494" s="516"/>
      <c r="T494" s="516"/>
      <c r="U494" s="516" t="s">
        <v>898</v>
      </c>
      <c r="V494" s="538" t="s">
        <v>502</v>
      </c>
      <c r="W494" s="541" t="s">
        <v>3107</v>
      </c>
      <c r="X494" s="516" t="s">
        <v>876</v>
      </c>
      <c r="Y494" s="542">
        <v>19948</v>
      </c>
      <c r="Z494" s="543">
        <f t="shared" ca="1" si="5"/>
        <v>71</v>
      </c>
      <c r="AA494" s="534" t="s">
        <v>3108</v>
      </c>
      <c r="AB494" s="516"/>
      <c r="AC494" s="516" t="s">
        <v>842</v>
      </c>
      <c r="AD494" s="516" t="s">
        <v>851</v>
      </c>
      <c r="AE494" s="534" t="s">
        <v>236</v>
      </c>
      <c r="AF494" s="552" t="s">
        <v>236</v>
      </c>
      <c r="AG494" s="552" t="s">
        <v>865</v>
      </c>
      <c r="AH494" s="516"/>
      <c r="AI494" s="516"/>
      <c r="AJ494" s="516" t="s">
        <v>1497</v>
      </c>
      <c r="AK494" s="516"/>
      <c r="AL494" s="544"/>
      <c r="AM494" s="544"/>
    </row>
    <row r="495" spans="3:39" ht="18" customHeight="1">
      <c r="C495" s="516">
        <v>475</v>
      </c>
      <c r="D495" s="516" t="s">
        <v>3110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874</v>
      </c>
      <c r="V495" s="538" t="s">
        <v>510</v>
      </c>
      <c r="W495" s="541" t="s">
        <v>3111</v>
      </c>
      <c r="X495" s="516" t="s">
        <v>876</v>
      </c>
      <c r="Y495" s="542">
        <v>20806</v>
      </c>
      <c r="Z495" s="543">
        <f t="shared" ca="1" si="5"/>
        <v>69</v>
      </c>
      <c r="AA495" s="534" t="s">
        <v>3112</v>
      </c>
      <c r="AB495" s="516"/>
      <c r="AC495" s="516" t="s">
        <v>842</v>
      </c>
      <c r="AD495" s="516" t="s">
        <v>843</v>
      </c>
      <c r="AE495" s="534" t="s">
        <v>713</v>
      </c>
      <c r="AF495" s="534" t="s">
        <v>713</v>
      </c>
      <c r="AG495" s="534" t="s">
        <v>3114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3115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518</v>
      </c>
      <c r="W496" s="541" t="s">
        <v>3116</v>
      </c>
      <c r="X496" s="516" t="s">
        <v>876</v>
      </c>
      <c r="Y496" s="542">
        <v>21342</v>
      </c>
      <c r="Z496" s="543">
        <f t="shared" ca="1" si="5"/>
        <v>67</v>
      </c>
      <c r="AA496" s="534" t="s">
        <v>3117</v>
      </c>
      <c r="AB496" s="516"/>
      <c r="AC496" s="516" t="s">
        <v>842</v>
      </c>
      <c r="AD496" s="516" t="s">
        <v>851</v>
      </c>
      <c r="AE496" s="534" t="s">
        <v>236</v>
      </c>
      <c r="AF496" s="552" t="s">
        <v>236</v>
      </c>
      <c r="AG496" s="552" t="s">
        <v>865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3119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526</v>
      </c>
      <c r="W497" s="541" t="s">
        <v>3120</v>
      </c>
      <c r="X497" s="516" t="s">
        <v>876</v>
      </c>
      <c r="Y497" s="542">
        <v>22495</v>
      </c>
      <c r="Z497" s="543">
        <f t="shared" ca="1" si="5"/>
        <v>64</v>
      </c>
      <c r="AA497" s="534" t="s">
        <v>3121</v>
      </c>
      <c r="AB497" s="516"/>
      <c r="AC497" s="516" t="s">
        <v>842</v>
      </c>
      <c r="AD497" s="516" t="s">
        <v>851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3123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59" t="s">
        <v>2425</v>
      </c>
      <c r="Q498" s="539" t="s">
        <v>308</v>
      </c>
      <c r="R498" s="516"/>
      <c r="S498" s="516"/>
      <c r="T498" s="516"/>
      <c r="U498" s="516" t="s">
        <v>874</v>
      </c>
      <c r="V498" s="559" t="s">
        <v>533</v>
      </c>
      <c r="W498" s="541" t="s">
        <v>3124</v>
      </c>
      <c r="X498" s="516" t="s">
        <v>876</v>
      </c>
      <c r="Y498" s="542">
        <v>23608</v>
      </c>
      <c r="Z498" s="543">
        <f t="shared" ca="1" si="5"/>
        <v>61</v>
      </c>
      <c r="AA498" s="534" t="s">
        <v>3125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34" t="s">
        <v>3127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2914</v>
      </c>
      <c r="E499" s="516">
        <f t="shared" si="4"/>
        <v>449</v>
      </c>
      <c r="F499" s="534"/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2914</v>
      </c>
      <c r="L499" s="535" t="s">
        <v>3128</v>
      </c>
      <c r="M499" s="536"/>
      <c r="N499" s="537"/>
      <c r="O499" s="537"/>
      <c r="P499" s="548" t="s">
        <v>3129</v>
      </c>
      <c r="Q499" s="539"/>
      <c r="R499" s="516" t="s">
        <v>49</v>
      </c>
      <c r="S499" s="516" t="s">
        <v>168</v>
      </c>
      <c r="T499" s="516"/>
      <c r="U499" s="516"/>
      <c r="V499" s="548" t="s">
        <v>478</v>
      </c>
      <c r="W499" s="541" t="s">
        <v>2915</v>
      </c>
      <c r="X499" s="516" t="s">
        <v>876</v>
      </c>
      <c r="Y499" s="542">
        <v>23418</v>
      </c>
      <c r="Z499" s="543">
        <f t="shared" ca="1" si="5"/>
        <v>61</v>
      </c>
      <c r="AA499" s="534" t="s">
        <v>2916</v>
      </c>
      <c r="AB499" s="516"/>
      <c r="AC499" s="516" t="s">
        <v>842</v>
      </c>
      <c r="AD499" s="516" t="s">
        <v>794</v>
      </c>
      <c r="AE499" s="534" t="s">
        <v>236</v>
      </c>
      <c r="AF499" s="534" t="s">
        <v>236</v>
      </c>
      <c r="AG499" s="534" t="s">
        <v>865</v>
      </c>
      <c r="AH499" s="516" t="s">
        <v>872</v>
      </c>
      <c r="AI499" s="516"/>
      <c r="AJ499" s="516"/>
      <c r="AK499" s="516"/>
      <c r="AL499" s="544"/>
      <c r="AM499" s="544"/>
    </row>
    <row r="500" spans="3:39" ht="18" customHeight="1">
      <c r="C500" s="516">
        <v>480</v>
      </c>
      <c r="D500" s="516" t="s">
        <v>3128</v>
      </c>
      <c r="E500" s="516">
        <f t="shared" si="4"/>
        <v>450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38" t="s">
        <v>3129</v>
      </c>
      <c r="Q500" s="539"/>
      <c r="R500" s="516" t="s">
        <v>62</v>
      </c>
      <c r="S500" s="516" t="s">
        <v>548</v>
      </c>
      <c r="T500" s="516"/>
      <c r="U500" s="516" t="s">
        <v>874</v>
      </c>
      <c r="V500" s="538" t="s">
        <v>503</v>
      </c>
      <c r="W500" s="541" t="s">
        <v>3130</v>
      </c>
      <c r="X500" s="516" t="s">
        <v>876</v>
      </c>
      <c r="Y500" s="542">
        <v>29204</v>
      </c>
      <c r="Z500" s="543">
        <f t="shared" ca="1" si="5"/>
        <v>46</v>
      </c>
      <c r="AA500" s="534" t="s">
        <v>3131</v>
      </c>
      <c r="AB500" s="516"/>
      <c r="AC500" s="516" t="s">
        <v>842</v>
      </c>
      <c r="AD500" s="516" t="s">
        <v>851</v>
      </c>
      <c r="AE500" s="534" t="s">
        <v>236</v>
      </c>
      <c r="AF500" s="534" t="s">
        <v>236</v>
      </c>
      <c r="AG500" s="534" t="s">
        <v>865</v>
      </c>
      <c r="AH500" s="516"/>
      <c r="AI500" s="516"/>
      <c r="AJ500" s="516" t="s">
        <v>867</v>
      </c>
      <c r="AK500" s="516"/>
      <c r="AL500" s="544"/>
      <c r="AM500" s="544"/>
    </row>
    <row r="501" spans="3:39" ht="18" customHeight="1">
      <c r="C501" s="516">
        <v>481</v>
      </c>
      <c r="D501" s="516" t="s">
        <v>3133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/>
      <c r="S501" s="516"/>
      <c r="T501" s="516"/>
      <c r="U501" s="516" t="s">
        <v>874</v>
      </c>
      <c r="V501" s="538" t="s">
        <v>511</v>
      </c>
      <c r="W501" s="541" t="s">
        <v>3134</v>
      </c>
      <c r="X501" s="516" t="s">
        <v>876</v>
      </c>
      <c r="Y501" s="542">
        <v>33409</v>
      </c>
      <c r="Z501" s="543">
        <f t="shared" ca="1" si="5"/>
        <v>34</v>
      </c>
      <c r="AA501" s="534" t="s">
        <v>3135</v>
      </c>
      <c r="AB501" s="516"/>
      <c r="AC501" s="516" t="s">
        <v>802</v>
      </c>
      <c r="AD501" s="516" t="s">
        <v>794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/>
      <c r="AK501" s="516"/>
      <c r="AL501" s="544"/>
      <c r="AM501" s="544"/>
    </row>
    <row r="502" spans="3:39" ht="18" customHeight="1">
      <c r="C502" s="516">
        <v>482</v>
      </c>
      <c r="D502" s="516" t="s">
        <v>3137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519</v>
      </c>
      <c r="W502" s="541" t="s">
        <v>3138</v>
      </c>
      <c r="X502" s="516" t="s">
        <v>876</v>
      </c>
      <c r="Y502" s="542">
        <v>31186</v>
      </c>
      <c r="Z502" s="543">
        <f t="shared" ca="1" si="5"/>
        <v>40</v>
      </c>
      <c r="AA502" s="534" t="s">
        <v>3139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3141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527</v>
      </c>
      <c r="W503" s="541" t="s">
        <v>3142</v>
      </c>
      <c r="X503" s="516" t="s">
        <v>876</v>
      </c>
      <c r="Y503" s="542">
        <v>27491</v>
      </c>
      <c r="Z503" s="543">
        <f t="shared" ca="1" si="5"/>
        <v>50</v>
      </c>
      <c r="AA503" s="534" t="s">
        <v>3143</v>
      </c>
      <c r="AB503" s="516"/>
      <c r="AC503" s="516" t="s">
        <v>842</v>
      </c>
      <c r="AD503" s="516" t="s">
        <v>851</v>
      </c>
      <c r="AE503" s="534" t="s">
        <v>236</v>
      </c>
      <c r="AF503" s="534" t="s">
        <v>236</v>
      </c>
      <c r="AG503" s="534" t="s">
        <v>3145</v>
      </c>
      <c r="AH503" s="516"/>
      <c r="AI503" s="516"/>
      <c r="AJ503" s="516" t="s">
        <v>867</v>
      </c>
      <c r="AK503" s="516"/>
      <c r="AL503" s="544"/>
      <c r="AM503" s="544"/>
    </row>
    <row r="504" spans="3:39" ht="18" customHeight="1">
      <c r="C504" s="516">
        <v>484</v>
      </c>
      <c r="D504" s="516" t="s">
        <v>3146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534</v>
      </c>
      <c r="W504" s="541" t="s">
        <v>3147</v>
      </c>
      <c r="X504" s="516" t="s">
        <v>876</v>
      </c>
      <c r="Y504" s="542">
        <v>28459</v>
      </c>
      <c r="Z504" s="543">
        <f t="shared" ca="1" si="5"/>
        <v>48</v>
      </c>
      <c r="AA504" s="534" t="s">
        <v>3148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3150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3151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540</v>
      </c>
      <c r="W505" s="541" t="s">
        <v>3152</v>
      </c>
      <c r="X505" s="516" t="s">
        <v>876</v>
      </c>
      <c r="Y505" s="542">
        <v>29948</v>
      </c>
      <c r="Z505" s="543">
        <f t="shared" ca="1" si="5"/>
        <v>44</v>
      </c>
      <c r="AA505" s="534" t="s">
        <v>3153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3155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545</v>
      </c>
      <c r="W506" s="541" t="s">
        <v>3156</v>
      </c>
      <c r="X506" s="516" t="s">
        <v>876</v>
      </c>
      <c r="Y506" s="542">
        <v>30545</v>
      </c>
      <c r="Z506" s="543">
        <f t="shared" ca="1" si="5"/>
        <v>42</v>
      </c>
      <c r="AA506" s="534" t="s">
        <v>3157</v>
      </c>
      <c r="AB506" s="516"/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3159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3160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551</v>
      </c>
      <c r="W507" s="541" t="s">
        <v>3161</v>
      </c>
      <c r="X507" s="516" t="s">
        <v>876</v>
      </c>
      <c r="Y507" s="542">
        <v>34130</v>
      </c>
      <c r="Z507" s="543">
        <f t="shared" ca="1" si="5"/>
        <v>32</v>
      </c>
      <c r="AA507" s="534" t="s">
        <v>3162</v>
      </c>
      <c r="AB507" s="516"/>
      <c r="AC507" s="516" t="s">
        <v>842</v>
      </c>
      <c r="AD507" s="516" t="s">
        <v>843</v>
      </c>
      <c r="AE507" s="534" t="s">
        <v>236</v>
      </c>
      <c r="AF507" s="534" t="s">
        <v>236</v>
      </c>
      <c r="AG507" s="534" t="s">
        <v>3163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3164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3165</v>
      </c>
      <c r="W508" s="541" t="s">
        <v>3166</v>
      </c>
      <c r="X508" s="516" t="s">
        <v>876</v>
      </c>
      <c r="Y508" s="542">
        <v>29575</v>
      </c>
      <c r="Z508" s="543">
        <f t="shared" ca="1" si="5"/>
        <v>45</v>
      </c>
      <c r="AA508" s="534" t="s">
        <v>3167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865</v>
      </c>
      <c r="AH508" s="516"/>
      <c r="AI508" s="516" t="s">
        <v>3100</v>
      </c>
      <c r="AJ508" s="516" t="s">
        <v>867</v>
      </c>
      <c r="AK508" s="516" t="s">
        <v>860</v>
      </c>
      <c r="AL508" s="544"/>
      <c r="AM508" s="544"/>
    </row>
    <row r="509" spans="3:39" ht="18" customHeight="1">
      <c r="C509" s="516">
        <v>489</v>
      </c>
      <c r="D509" s="516" t="s">
        <v>3168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3169</v>
      </c>
      <c r="W509" s="541" t="s">
        <v>3170</v>
      </c>
      <c r="X509" s="516" t="s">
        <v>876</v>
      </c>
      <c r="Y509" s="542">
        <v>22440</v>
      </c>
      <c r="Z509" s="543">
        <f t="shared" ca="1" si="5"/>
        <v>64</v>
      </c>
      <c r="AA509" s="534" t="s">
        <v>3171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/>
      <c r="AI509" s="516" t="s">
        <v>3172</v>
      </c>
      <c r="AJ509" s="516" t="s">
        <v>867</v>
      </c>
      <c r="AK509" s="516" t="s">
        <v>860</v>
      </c>
      <c r="AL509" s="544"/>
      <c r="AM509" s="544"/>
    </row>
    <row r="510" spans="3:39" ht="18" customHeight="1">
      <c r="C510" s="516">
        <v>490</v>
      </c>
      <c r="D510" s="516" t="s">
        <v>3173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3174</v>
      </c>
      <c r="W510" s="541" t="s">
        <v>3175</v>
      </c>
      <c r="X510" s="516" t="s">
        <v>876</v>
      </c>
      <c r="Y510" s="542">
        <v>26500</v>
      </c>
      <c r="Z510" s="543">
        <f t="shared" ca="1" si="5"/>
        <v>53</v>
      </c>
      <c r="AA510" s="534" t="s">
        <v>3176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/>
      <c r="AI510" s="516" t="s">
        <v>3172</v>
      </c>
      <c r="AJ510" s="516" t="s">
        <v>867</v>
      </c>
      <c r="AK510" s="516" t="s">
        <v>860</v>
      </c>
      <c r="AL510" s="544"/>
      <c r="AM510" s="544"/>
    </row>
    <row r="511" spans="3:39" ht="18" customHeight="1">
      <c r="C511" s="516">
        <v>491</v>
      </c>
      <c r="D511" s="516" t="s">
        <v>3177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59" t="s">
        <v>3129</v>
      </c>
      <c r="Q511" s="539"/>
      <c r="R511" s="516"/>
      <c r="S511" s="516"/>
      <c r="T511" s="516"/>
      <c r="U511" s="516" t="s">
        <v>874</v>
      </c>
      <c r="V511" s="559" t="s">
        <v>3178</v>
      </c>
      <c r="W511" s="541" t="s">
        <v>3179</v>
      </c>
      <c r="X511" s="516" t="s">
        <v>876</v>
      </c>
      <c r="Y511" s="542">
        <v>33645</v>
      </c>
      <c r="Z511" s="543">
        <f t="shared" ca="1" si="5"/>
        <v>33</v>
      </c>
      <c r="AA511" s="534" t="s">
        <v>3180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/>
      <c r="AI511" s="516" t="s">
        <v>3181</v>
      </c>
      <c r="AJ511" s="516" t="s">
        <v>867</v>
      </c>
      <c r="AK511" s="516" t="s">
        <v>860</v>
      </c>
      <c r="AL511" s="544"/>
      <c r="AM511" s="544"/>
    </row>
    <row r="512" spans="3:39" ht="18" customHeight="1">
      <c r="C512" s="516">
        <v>492</v>
      </c>
      <c r="D512" s="516" t="s">
        <v>2914</v>
      </c>
      <c r="E512" s="516">
        <f t="shared" si="4"/>
        <v>461</v>
      </c>
      <c r="F512" s="534"/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3182</v>
      </c>
      <c r="M512" s="536"/>
      <c r="N512" s="537"/>
      <c r="O512" s="537"/>
      <c r="P512" s="548" t="s">
        <v>3183</v>
      </c>
      <c r="Q512" s="539"/>
      <c r="R512" s="516" t="s">
        <v>49</v>
      </c>
      <c r="S512" s="516" t="s">
        <v>168</v>
      </c>
      <c r="T512" s="516"/>
      <c r="U512" s="516"/>
      <c r="V512" s="548" t="s">
        <v>478</v>
      </c>
      <c r="W512" s="541" t="s">
        <v>2915</v>
      </c>
      <c r="X512" s="516" t="s">
        <v>876</v>
      </c>
      <c r="Y512" s="542">
        <v>23418</v>
      </c>
      <c r="Z512" s="543">
        <f t="shared" ca="1" si="5"/>
        <v>61</v>
      </c>
      <c r="AA512" s="534" t="s">
        <v>2916</v>
      </c>
      <c r="AB512" s="516"/>
      <c r="AC512" s="516" t="s">
        <v>842</v>
      </c>
      <c r="AD512" s="516" t="s">
        <v>794</v>
      </c>
      <c r="AE512" s="534" t="s">
        <v>236</v>
      </c>
      <c r="AF512" s="534" t="s">
        <v>236</v>
      </c>
      <c r="AG512" s="534" t="s">
        <v>865</v>
      </c>
      <c r="AH512" s="516" t="s">
        <v>872</v>
      </c>
      <c r="AI512" s="516"/>
      <c r="AJ512" s="516"/>
      <c r="AK512" s="516"/>
      <c r="AL512" s="544"/>
      <c r="AM512" s="544"/>
    </row>
    <row r="513" spans="3:39" ht="18" customHeight="1">
      <c r="C513" s="516">
        <v>493</v>
      </c>
      <c r="D513" s="516" t="s">
        <v>3182</v>
      </c>
      <c r="E513" s="516">
        <f t="shared" si="4"/>
        <v>462</v>
      </c>
      <c r="F513" s="534" t="s">
        <v>811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/>
      <c r="M513" s="536"/>
      <c r="N513" s="537"/>
      <c r="O513" s="537"/>
      <c r="P513" s="538" t="s">
        <v>3183</v>
      </c>
      <c r="Q513" s="539" t="s">
        <v>308</v>
      </c>
      <c r="R513" s="516"/>
      <c r="S513" s="516"/>
      <c r="T513" s="516"/>
      <c r="U513" s="516" t="s">
        <v>874</v>
      </c>
      <c r="V513" s="538" t="s">
        <v>504</v>
      </c>
      <c r="W513" s="541" t="s">
        <v>3184</v>
      </c>
      <c r="X513" s="516" t="s">
        <v>876</v>
      </c>
      <c r="Y513" s="542">
        <v>22251</v>
      </c>
      <c r="Z513" s="543">
        <f t="shared" ca="1" si="5"/>
        <v>65</v>
      </c>
      <c r="AA513" s="534" t="s">
        <v>3185</v>
      </c>
      <c r="AB513" s="516"/>
      <c r="AC513" s="516" t="s">
        <v>842</v>
      </c>
      <c r="AD513" s="516" t="s">
        <v>851</v>
      </c>
      <c r="AE513" s="534" t="s">
        <v>942</v>
      </c>
      <c r="AF513" s="534" t="s">
        <v>942</v>
      </c>
      <c r="AG513" s="534" t="s">
        <v>2179</v>
      </c>
      <c r="AH513" s="516"/>
      <c r="AI513" s="516"/>
      <c r="AJ513" s="565" t="s">
        <v>1087</v>
      </c>
      <c r="AK513" s="516"/>
      <c r="AL513" s="544"/>
      <c r="AM513" s="544"/>
    </row>
    <row r="514" spans="3:39" ht="18" customHeight="1">
      <c r="C514" s="516">
        <v>494</v>
      </c>
      <c r="D514" s="516" t="s">
        <v>3187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/>
      <c r="M514" s="536"/>
      <c r="N514" s="537"/>
      <c r="O514" s="537"/>
      <c r="P514" s="538" t="s">
        <v>3183</v>
      </c>
      <c r="Q514" s="539" t="s">
        <v>308</v>
      </c>
      <c r="R514" s="516"/>
      <c r="S514" s="516"/>
      <c r="T514" s="516"/>
      <c r="U514" s="516" t="s">
        <v>874</v>
      </c>
      <c r="V514" s="538" t="s">
        <v>512</v>
      </c>
      <c r="W514" s="541" t="s">
        <v>3188</v>
      </c>
      <c r="X514" s="516" t="s">
        <v>876</v>
      </c>
      <c r="Y514" s="542">
        <v>23509</v>
      </c>
      <c r="Z514" s="543">
        <f t="shared" ca="1" si="5"/>
        <v>61</v>
      </c>
      <c r="AA514" s="534" t="s">
        <v>3189</v>
      </c>
      <c r="AB514" s="516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1846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3191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/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520</v>
      </c>
      <c r="W515" s="541" t="s">
        <v>3192</v>
      </c>
      <c r="X515" s="516" t="s">
        <v>876</v>
      </c>
      <c r="Y515" s="542">
        <v>24081</v>
      </c>
      <c r="Z515" s="543">
        <f t="shared" ca="1" si="5"/>
        <v>60</v>
      </c>
      <c r="AA515" s="534" t="s">
        <v>3193</v>
      </c>
      <c r="AB515" s="516"/>
      <c r="AC515" s="516" t="s">
        <v>842</v>
      </c>
      <c r="AD515" s="516" t="s">
        <v>851</v>
      </c>
      <c r="AE515" s="534" t="s">
        <v>236</v>
      </c>
      <c r="AF515" s="534" t="s">
        <v>236</v>
      </c>
      <c r="AG515" s="574" t="s">
        <v>744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3195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/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528</v>
      </c>
      <c r="W516" s="541" t="s">
        <v>3196</v>
      </c>
      <c r="X516" s="516" t="s">
        <v>876</v>
      </c>
      <c r="Y516" s="542">
        <v>25716</v>
      </c>
      <c r="Z516" s="543">
        <f t="shared" ca="1" si="5"/>
        <v>55</v>
      </c>
      <c r="AA516" s="534" t="s">
        <v>3197</v>
      </c>
      <c r="AB516" s="516"/>
      <c r="AC516" s="516" t="s">
        <v>842</v>
      </c>
      <c r="AD516" s="516" t="s">
        <v>851</v>
      </c>
      <c r="AE516" s="534" t="s">
        <v>236</v>
      </c>
      <c r="AF516" s="534" t="s">
        <v>236</v>
      </c>
      <c r="AG516" s="534" t="s">
        <v>3199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3200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535</v>
      </c>
      <c r="W517" s="541" t="s">
        <v>3201</v>
      </c>
      <c r="X517" s="516" t="s">
        <v>876</v>
      </c>
      <c r="Y517" s="542">
        <v>26041</v>
      </c>
      <c r="Z517" s="543">
        <f t="shared" ca="1" si="5"/>
        <v>54</v>
      </c>
      <c r="AA517" s="534" t="s">
        <v>3202</v>
      </c>
      <c r="AB517" s="516"/>
      <c r="AC517" s="516" t="s">
        <v>842</v>
      </c>
      <c r="AD517" s="516" t="s">
        <v>843</v>
      </c>
      <c r="AE517" s="534" t="s">
        <v>809</v>
      </c>
      <c r="AF517" s="534" t="s">
        <v>809</v>
      </c>
      <c r="AG517" s="534" t="s">
        <v>2085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3204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541</v>
      </c>
      <c r="W518" s="541" t="s">
        <v>3205</v>
      </c>
      <c r="X518" s="516" t="s">
        <v>876</v>
      </c>
      <c r="Y518" s="542">
        <v>26626</v>
      </c>
      <c r="Z518" s="543">
        <f t="shared" ca="1" si="5"/>
        <v>53</v>
      </c>
      <c r="AA518" s="534" t="s">
        <v>3206</v>
      </c>
      <c r="AB518" s="516"/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3207</v>
      </c>
      <c r="AH518" s="516"/>
      <c r="AI518" s="516" t="s">
        <v>4438</v>
      </c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3208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546</v>
      </c>
      <c r="W519" s="541" t="s">
        <v>3209</v>
      </c>
      <c r="X519" s="516" t="s">
        <v>876</v>
      </c>
      <c r="Y519" s="542">
        <v>27940</v>
      </c>
      <c r="Z519" s="543">
        <f t="shared" ca="1" si="5"/>
        <v>49</v>
      </c>
      <c r="AA519" s="534" t="s">
        <v>3210</v>
      </c>
      <c r="AB519" s="516"/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34" t="s">
        <v>3212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3213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59" t="s">
        <v>3183</v>
      </c>
      <c r="Q520" s="539" t="s">
        <v>308</v>
      </c>
      <c r="R520" s="516"/>
      <c r="S520" s="516"/>
      <c r="T520" s="516"/>
      <c r="U520" s="516" t="s">
        <v>874</v>
      </c>
      <c r="V520" s="559" t="s">
        <v>552</v>
      </c>
      <c r="W520" s="541" t="s">
        <v>3214</v>
      </c>
      <c r="X520" s="516" t="s">
        <v>876</v>
      </c>
      <c r="Y520" s="542">
        <v>31512</v>
      </c>
      <c r="Z520" s="543">
        <f t="shared" ca="1" si="5"/>
        <v>39</v>
      </c>
      <c r="AA520" s="534" t="s">
        <v>3215</v>
      </c>
      <c r="AB520" s="516"/>
      <c r="AC520" s="516" t="s">
        <v>842</v>
      </c>
      <c r="AD520" s="516" t="s">
        <v>843</v>
      </c>
      <c r="AE520" s="534" t="s">
        <v>809</v>
      </c>
      <c r="AF520" s="534" t="s">
        <v>809</v>
      </c>
      <c r="AG520" s="534" t="s">
        <v>2085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2918</v>
      </c>
      <c r="E521" s="516">
        <f t="shared" si="4"/>
        <v>469</v>
      </c>
      <c r="F521" s="534"/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2918</v>
      </c>
      <c r="L521" s="535" t="s">
        <v>3217</v>
      </c>
      <c r="M521" s="536"/>
      <c r="N521" s="537"/>
      <c r="O521" s="537"/>
      <c r="P521" s="548" t="s">
        <v>938</v>
      </c>
      <c r="Q521" s="539"/>
      <c r="R521" s="516" t="s">
        <v>163</v>
      </c>
      <c r="S521" s="516" t="s">
        <v>500</v>
      </c>
      <c r="T521" s="516" t="s">
        <v>49</v>
      </c>
      <c r="U521" s="516"/>
      <c r="V521" s="548" t="s">
        <v>498</v>
      </c>
      <c r="W521" s="541" t="s">
        <v>2919</v>
      </c>
      <c r="X521" s="516" t="s">
        <v>876</v>
      </c>
      <c r="Y521" s="542">
        <v>22147</v>
      </c>
      <c r="Z521" s="543">
        <f t="shared" ca="1" si="5"/>
        <v>65</v>
      </c>
      <c r="AA521" s="534" t="s">
        <v>2920</v>
      </c>
      <c r="AB521" s="516"/>
      <c r="AC521" s="516" t="s">
        <v>842</v>
      </c>
      <c r="AD521" s="516" t="s">
        <v>794</v>
      </c>
      <c r="AE521" s="534" t="s">
        <v>236</v>
      </c>
      <c r="AF521" s="534" t="s">
        <v>236</v>
      </c>
      <c r="AG521" s="534" t="s">
        <v>865</v>
      </c>
      <c r="AH521" s="516" t="s">
        <v>872</v>
      </c>
      <c r="AI521" s="516"/>
      <c r="AJ521" s="516"/>
      <c r="AK521" s="516"/>
      <c r="AL521" s="544"/>
      <c r="AM521" s="544"/>
    </row>
    <row r="522" spans="3:39" ht="18" customHeight="1">
      <c r="C522" s="516">
        <v>502</v>
      </c>
      <c r="D522" s="516" t="s">
        <v>3217</v>
      </c>
      <c r="E522" s="516">
        <f t="shared" si="4"/>
        <v>470</v>
      </c>
      <c r="F522" s="534" t="s">
        <v>1822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38" t="s">
        <v>938</v>
      </c>
      <c r="Q522" s="539"/>
      <c r="R522" s="516" t="s">
        <v>62</v>
      </c>
      <c r="S522" s="516" t="s">
        <v>548</v>
      </c>
      <c r="T522" s="516"/>
      <c r="U522" s="516" t="s">
        <v>874</v>
      </c>
      <c r="V522" s="538" t="s">
        <v>3220</v>
      </c>
      <c r="W522" s="541" t="s">
        <v>3221</v>
      </c>
      <c r="X522" s="516" t="s">
        <v>876</v>
      </c>
      <c r="Y522" s="542">
        <v>22474</v>
      </c>
      <c r="Z522" s="543">
        <f t="shared" ca="1" si="5"/>
        <v>64</v>
      </c>
      <c r="AA522" s="534" t="s">
        <v>3222</v>
      </c>
      <c r="AB522" s="516"/>
      <c r="AC522" s="516" t="s">
        <v>842</v>
      </c>
      <c r="AD522" s="516" t="s">
        <v>851</v>
      </c>
      <c r="AE522" s="534" t="s">
        <v>942</v>
      </c>
      <c r="AF522" s="534" t="s">
        <v>942</v>
      </c>
      <c r="AG522" s="534" t="s">
        <v>2179</v>
      </c>
      <c r="AH522" s="516"/>
      <c r="AI522" s="516"/>
      <c r="AJ522" s="516" t="s">
        <v>903</v>
      </c>
      <c r="AK522" s="516" t="s">
        <v>1863</v>
      </c>
      <c r="AL522" s="544"/>
      <c r="AM522" s="544"/>
    </row>
    <row r="523" spans="3:39" ht="18" customHeight="1">
      <c r="C523" s="516">
        <v>503</v>
      </c>
      <c r="D523" s="516" t="s">
        <v>3224</v>
      </c>
      <c r="E523" s="516">
        <f t="shared" si="4"/>
        <v>471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/>
      <c r="S523" s="516"/>
      <c r="T523" s="516"/>
      <c r="U523" s="516" t="s">
        <v>898</v>
      </c>
      <c r="V523" s="538" t="s">
        <v>3225</v>
      </c>
      <c r="W523" s="541" t="s">
        <v>3226</v>
      </c>
      <c r="X523" s="516" t="s">
        <v>876</v>
      </c>
      <c r="Y523" s="542">
        <v>18510</v>
      </c>
      <c r="Z523" s="543">
        <f t="shared" ca="1" si="5"/>
        <v>75</v>
      </c>
      <c r="AA523" s="534" t="s">
        <v>3227</v>
      </c>
      <c r="AB523" s="516"/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3229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3230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874</v>
      </c>
      <c r="V524" s="538" t="s">
        <v>3231</v>
      </c>
      <c r="W524" s="541" t="s">
        <v>3232</v>
      </c>
      <c r="X524" s="516" t="s">
        <v>876</v>
      </c>
      <c r="Y524" s="542">
        <v>20474</v>
      </c>
      <c r="Z524" s="543">
        <f t="shared" ca="1" si="5"/>
        <v>70</v>
      </c>
      <c r="AA524" s="534" t="s">
        <v>3233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743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3235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3236</v>
      </c>
      <c r="W525" s="541" t="s">
        <v>3237</v>
      </c>
      <c r="X525" s="516" t="s">
        <v>876</v>
      </c>
      <c r="Y525" s="542">
        <v>22535</v>
      </c>
      <c r="Z525" s="543">
        <f t="shared" ca="1" si="5"/>
        <v>64</v>
      </c>
      <c r="AA525" s="534" t="s">
        <v>3238</v>
      </c>
      <c r="AB525" s="516"/>
      <c r="AC525" s="516" t="s">
        <v>842</v>
      </c>
      <c r="AD525" s="516" t="s">
        <v>843</v>
      </c>
      <c r="AE525" s="534" t="s">
        <v>236</v>
      </c>
      <c r="AF525" s="534" t="s">
        <v>236</v>
      </c>
      <c r="AG525" s="534" t="s">
        <v>3240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3241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3242</v>
      </c>
      <c r="W526" s="541" t="s">
        <v>3243</v>
      </c>
      <c r="X526" s="516" t="s">
        <v>876</v>
      </c>
      <c r="Y526" s="542">
        <v>22940</v>
      </c>
      <c r="Z526" s="543">
        <f t="shared" ca="1" si="5"/>
        <v>63</v>
      </c>
      <c r="AA526" s="534" t="s">
        <v>3244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74" t="s">
        <v>3246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3218</v>
      </c>
      <c r="E527" s="516">
        <f t="shared" si="4"/>
        <v>475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3247</v>
      </c>
      <c r="W527" s="541" t="s">
        <v>3248</v>
      </c>
      <c r="X527" s="516" t="s">
        <v>876</v>
      </c>
      <c r="Y527" s="542">
        <v>20435</v>
      </c>
      <c r="Z527" s="543">
        <f t="shared" ca="1" si="5"/>
        <v>70</v>
      </c>
      <c r="AA527" s="534" t="s">
        <v>3249</v>
      </c>
      <c r="AB527" s="516"/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3251</v>
      </c>
      <c r="E528" s="516">
        <f t="shared" si="4"/>
        <v>476</v>
      </c>
      <c r="F528" s="534" t="s">
        <v>811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3252</v>
      </c>
      <c r="W528" s="541" t="s">
        <v>3253</v>
      </c>
      <c r="X528" s="516" t="s">
        <v>876</v>
      </c>
      <c r="Y528" s="542">
        <v>18484</v>
      </c>
      <c r="Z528" s="543">
        <f t="shared" ca="1" si="5"/>
        <v>75</v>
      </c>
      <c r="AA528" s="534" t="s">
        <v>3254</v>
      </c>
      <c r="AB528" s="516"/>
      <c r="AC528" s="516" t="s">
        <v>802</v>
      </c>
      <c r="AD528" s="516" t="s">
        <v>794</v>
      </c>
      <c r="AE528" s="534" t="s">
        <v>815</v>
      </c>
      <c r="AF528" s="534" t="s">
        <v>1400</v>
      </c>
      <c r="AG528" s="534" t="s">
        <v>3256</v>
      </c>
      <c r="AH528" s="516"/>
      <c r="AI528" s="516"/>
      <c r="AJ528" s="516" t="s">
        <v>903</v>
      </c>
      <c r="AK528" s="516"/>
      <c r="AL528" s="544"/>
      <c r="AM528" s="544"/>
    </row>
    <row r="529" spans="3:39" ht="18" customHeight="1">
      <c r="C529" s="516">
        <v>509</v>
      </c>
      <c r="D529" s="516" t="s">
        <v>3257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3258</v>
      </c>
      <c r="W529" s="541" t="s">
        <v>3259</v>
      </c>
      <c r="X529" s="516" t="s">
        <v>876</v>
      </c>
      <c r="Y529" s="542">
        <v>22162</v>
      </c>
      <c r="Z529" s="543">
        <f t="shared" ca="1" si="5"/>
        <v>65</v>
      </c>
      <c r="AA529" s="534" t="s">
        <v>3222</v>
      </c>
      <c r="AB529" s="516"/>
      <c r="AC529" s="516" t="s">
        <v>802</v>
      </c>
      <c r="AD529" s="516" t="s">
        <v>794</v>
      </c>
      <c r="AE529" s="534" t="s">
        <v>815</v>
      </c>
      <c r="AF529" s="606" t="s">
        <v>815</v>
      </c>
      <c r="AG529" s="534" t="s">
        <v>2496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3261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3262</v>
      </c>
      <c r="W530" s="541" t="s">
        <v>3263</v>
      </c>
      <c r="X530" s="516" t="s">
        <v>876</v>
      </c>
      <c r="Y530" s="542">
        <v>23624</v>
      </c>
      <c r="Z530" s="543">
        <f t="shared" ca="1" si="5"/>
        <v>61</v>
      </c>
      <c r="AA530" s="534" t="s">
        <v>3264</v>
      </c>
      <c r="AB530" s="516"/>
      <c r="AC530" s="516" t="s">
        <v>842</v>
      </c>
      <c r="AD530" s="516" t="s">
        <v>843</v>
      </c>
      <c r="AE530" s="534" t="s">
        <v>815</v>
      </c>
      <c r="AF530" s="606" t="s">
        <v>815</v>
      </c>
      <c r="AG530" s="534" t="s">
        <v>2383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3266</v>
      </c>
      <c r="E531" s="516">
        <f t="shared" si="4"/>
        <v>479</v>
      </c>
      <c r="F531" s="534" t="s">
        <v>1001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 t="s">
        <v>308</v>
      </c>
      <c r="R531" s="516"/>
      <c r="S531" s="516"/>
      <c r="T531" s="516"/>
      <c r="U531" s="516" t="s">
        <v>898</v>
      </c>
      <c r="V531" s="538" t="s">
        <v>3267</v>
      </c>
      <c r="W531" s="541" t="s">
        <v>3268</v>
      </c>
      <c r="X531" s="516" t="s">
        <v>876</v>
      </c>
      <c r="Y531" s="542">
        <v>16115</v>
      </c>
      <c r="Z531" s="543">
        <f t="shared" ca="1" si="5"/>
        <v>81</v>
      </c>
      <c r="AA531" s="534" t="s">
        <v>3269</v>
      </c>
      <c r="AB531" s="516"/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34" t="s">
        <v>865</v>
      </c>
      <c r="AH531" s="516"/>
      <c r="AI531" s="516"/>
      <c r="AJ531" s="593" t="s">
        <v>1950</v>
      </c>
      <c r="AK531" s="516"/>
      <c r="AL531" s="544"/>
      <c r="AM531" s="544"/>
    </row>
    <row r="532" spans="3:39" ht="18" customHeight="1">
      <c r="C532" s="516">
        <v>512</v>
      </c>
      <c r="D532" s="516" t="s">
        <v>3271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59" t="s">
        <v>938</v>
      </c>
      <c r="Q532" s="539" t="s">
        <v>308</v>
      </c>
      <c r="R532" s="516"/>
      <c r="S532" s="516"/>
      <c r="T532" s="516"/>
      <c r="U532" s="516" t="s">
        <v>874</v>
      </c>
      <c r="V532" s="559" t="s">
        <v>564</v>
      </c>
      <c r="W532" s="541" t="s">
        <v>3272</v>
      </c>
      <c r="X532" s="516" t="s">
        <v>876</v>
      </c>
      <c r="Y532" s="542">
        <v>23037</v>
      </c>
      <c r="Z532" s="543">
        <f t="shared" ca="1" si="5"/>
        <v>63</v>
      </c>
      <c r="AA532" s="534" t="s">
        <v>3273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3291</v>
      </c>
      <c r="E533" s="516">
        <f t="shared" si="4"/>
        <v>481</v>
      </c>
      <c r="F533" s="534" t="s">
        <v>1841</v>
      </c>
      <c r="G533" s="534" t="s">
        <v>3292</v>
      </c>
      <c r="H533" s="535" t="s">
        <v>3291</v>
      </c>
      <c r="I533" s="535" t="s">
        <v>459</v>
      </c>
      <c r="J533" s="535" t="s">
        <v>3291</v>
      </c>
      <c r="K533" s="535" t="s">
        <v>3291</v>
      </c>
      <c r="L533" s="535" t="s">
        <v>786</v>
      </c>
      <c r="M533" s="536"/>
      <c r="N533" s="537"/>
      <c r="O533" s="537"/>
      <c r="P533" s="548" t="s">
        <v>787</v>
      </c>
      <c r="Q533" s="539"/>
      <c r="R533" s="516" t="s">
        <v>982</v>
      </c>
      <c r="S533" s="516" t="s">
        <v>163</v>
      </c>
      <c r="T533" s="516" t="s">
        <v>49</v>
      </c>
      <c r="U533" s="516" t="s">
        <v>874</v>
      </c>
      <c r="V533" s="548" t="s">
        <v>459</v>
      </c>
      <c r="W533" s="541" t="s">
        <v>3294</v>
      </c>
      <c r="X533" s="516" t="s">
        <v>876</v>
      </c>
      <c r="Y533" s="542">
        <v>28590</v>
      </c>
      <c r="Z533" s="543">
        <f t="shared" ca="1" si="5"/>
        <v>47</v>
      </c>
      <c r="AA533" s="594" t="s">
        <v>3295</v>
      </c>
      <c r="AB533" s="516"/>
      <c r="AC533" s="516" t="s">
        <v>802</v>
      </c>
      <c r="AD533" s="516" t="s">
        <v>794</v>
      </c>
      <c r="AE533" s="534" t="s">
        <v>236</v>
      </c>
      <c r="AF533" s="534" t="s">
        <v>236</v>
      </c>
      <c r="AG533" s="534" t="s">
        <v>3297</v>
      </c>
      <c r="AH533" s="516"/>
      <c r="AI533" s="516"/>
      <c r="AJ533" s="516"/>
      <c r="AK533" s="516" t="s">
        <v>1863</v>
      </c>
      <c r="AL533" s="544"/>
      <c r="AM533" s="544"/>
    </row>
    <row r="534" spans="3:39" ht="18" customHeight="1">
      <c r="C534" s="516">
        <v>514</v>
      </c>
      <c r="D534" s="516" t="s">
        <v>3293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38" t="s">
        <v>787</v>
      </c>
      <c r="Q534" s="539"/>
      <c r="R534" s="516" t="s">
        <v>62</v>
      </c>
      <c r="S534" s="516" t="s">
        <v>548</v>
      </c>
      <c r="T534" s="516" t="s">
        <v>4221</v>
      </c>
      <c r="U534" s="516" t="s">
        <v>788</v>
      </c>
      <c r="V534" s="538" t="s">
        <v>3298</v>
      </c>
      <c r="W534" s="541" t="s">
        <v>3299</v>
      </c>
      <c r="X534" s="516" t="s">
        <v>876</v>
      </c>
      <c r="Y534" s="542">
        <v>36654</v>
      </c>
      <c r="Z534" s="543">
        <f t="shared" ca="1" si="5"/>
        <v>25</v>
      </c>
      <c r="AA534" s="534" t="s">
        <v>3300</v>
      </c>
      <c r="AB534" s="516"/>
      <c r="AC534" s="516" t="s">
        <v>842</v>
      </c>
      <c r="AD534" s="516" t="s">
        <v>851</v>
      </c>
      <c r="AE534" s="534" t="s">
        <v>236</v>
      </c>
      <c r="AF534" s="534" t="s">
        <v>236</v>
      </c>
      <c r="AG534" s="534" t="s">
        <v>3302</v>
      </c>
      <c r="AH534" s="516"/>
      <c r="AI534" s="516" t="s">
        <v>3303</v>
      </c>
      <c r="AJ534" s="516" t="s">
        <v>903</v>
      </c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3305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/>
      <c r="S535" s="516"/>
      <c r="T535" s="516"/>
      <c r="U535" s="516" t="s">
        <v>874</v>
      </c>
      <c r="V535" s="538" t="s">
        <v>3306</v>
      </c>
      <c r="W535" s="541" t="s">
        <v>3307</v>
      </c>
      <c r="X535" s="516" t="s">
        <v>876</v>
      </c>
      <c r="Y535" s="542">
        <v>32251</v>
      </c>
      <c r="Z535" s="543">
        <f t="shared" ca="1" si="5"/>
        <v>37</v>
      </c>
      <c r="AA535" s="534" t="s">
        <v>3308</v>
      </c>
      <c r="AB535" s="516"/>
      <c r="AC535" s="516" t="s">
        <v>842</v>
      </c>
      <c r="AD535" s="516" t="s">
        <v>843</v>
      </c>
      <c r="AE535" s="534" t="s">
        <v>236</v>
      </c>
      <c r="AF535" s="534" t="s">
        <v>1797</v>
      </c>
      <c r="AG535" s="534" t="s">
        <v>3310</v>
      </c>
      <c r="AH535" s="516"/>
      <c r="AI535" s="516" t="s">
        <v>1827</v>
      </c>
      <c r="AJ535" s="516" t="s">
        <v>903</v>
      </c>
      <c r="AK535" s="516" t="s">
        <v>860</v>
      </c>
      <c r="AL535" s="544"/>
      <c r="AM535" s="544"/>
    </row>
    <row r="536" spans="3:39" ht="18" customHeight="1">
      <c r="C536" s="516">
        <v>516</v>
      </c>
      <c r="D536" s="516" t="s">
        <v>3311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788</v>
      </c>
      <c r="V536" s="538" t="s">
        <v>3312</v>
      </c>
      <c r="W536" s="541" t="s">
        <v>3313</v>
      </c>
      <c r="X536" s="516" t="s">
        <v>876</v>
      </c>
      <c r="Y536" s="542">
        <v>37018</v>
      </c>
      <c r="Z536" s="543">
        <f t="shared" ca="1" si="5"/>
        <v>24</v>
      </c>
      <c r="AA536" s="534" t="s">
        <v>3314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3315</v>
      </c>
      <c r="AH536" s="516"/>
      <c r="AI536" s="516" t="s">
        <v>3316</v>
      </c>
      <c r="AJ536" s="516" t="s">
        <v>903</v>
      </c>
      <c r="AK536" s="516" t="s">
        <v>860</v>
      </c>
      <c r="AL536" s="544"/>
      <c r="AM536" s="544"/>
    </row>
    <row r="537" spans="3:39" ht="18" customHeight="1">
      <c r="C537" s="516">
        <v>517</v>
      </c>
      <c r="D537" s="516" t="s">
        <v>3317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59" t="s">
        <v>787</v>
      </c>
      <c r="Q537" s="539"/>
      <c r="R537" s="516"/>
      <c r="S537" s="516"/>
      <c r="T537" s="516"/>
      <c r="U537" s="516" t="s">
        <v>788</v>
      </c>
      <c r="V537" s="559" t="s">
        <v>3318</v>
      </c>
      <c r="W537" s="541" t="s">
        <v>3319</v>
      </c>
      <c r="X537" s="516" t="s">
        <v>876</v>
      </c>
      <c r="Y537" s="542">
        <v>34632</v>
      </c>
      <c r="Z537" s="543">
        <f t="shared" ca="1" si="5"/>
        <v>31</v>
      </c>
      <c r="AA537" s="534" t="s">
        <v>3320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3240</v>
      </c>
      <c r="AH537" s="516"/>
      <c r="AI537" s="516" t="s">
        <v>4260</v>
      </c>
      <c r="AJ537" s="516" t="s">
        <v>903</v>
      </c>
      <c r="AK537" s="516" t="s">
        <v>860</v>
      </c>
      <c r="AL537" s="544"/>
      <c r="AM537" s="544"/>
    </row>
    <row r="538" spans="3:39" ht="18" customHeight="1">
      <c r="C538" s="516">
        <v>518</v>
      </c>
      <c r="D538" s="516" t="s">
        <v>3341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3341</v>
      </c>
      <c r="L538" s="535" t="s">
        <v>3328</v>
      </c>
      <c r="M538" s="536"/>
      <c r="N538" s="537"/>
      <c r="O538" s="537"/>
      <c r="P538" s="548" t="s">
        <v>828</v>
      </c>
      <c r="Q538" s="539"/>
      <c r="R538" s="516" t="s">
        <v>49</v>
      </c>
      <c r="S538" s="516" t="s">
        <v>49</v>
      </c>
      <c r="T538" s="516"/>
      <c r="U538" s="516" t="s">
        <v>874</v>
      </c>
      <c r="V538" s="548" t="s">
        <v>460</v>
      </c>
      <c r="W538" s="541" t="s">
        <v>3342</v>
      </c>
      <c r="X538" s="516" t="s">
        <v>876</v>
      </c>
      <c r="Y538" s="542">
        <v>23643</v>
      </c>
      <c r="Z538" s="543">
        <f t="shared" ca="1" si="5"/>
        <v>61</v>
      </c>
      <c r="AA538" s="534" t="s">
        <v>3343</v>
      </c>
      <c r="AB538" s="516"/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3328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38" t="s">
        <v>828</v>
      </c>
      <c r="Q539" s="539"/>
      <c r="R539" s="516" t="s">
        <v>62</v>
      </c>
      <c r="S539" s="516" t="s">
        <v>62</v>
      </c>
      <c r="T539" s="516" t="s">
        <v>4217</v>
      </c>
      <c r="U539" s="516" t="s">
        <v>898</v>
      </c>
      <c r="V539" s="538" t="s">
        <v>3329</v>
      </c>
      <c r="W539" s="541" t="s">
        <v>3330</v>
      </c>
      <c r="X539" s="516" t="s">
        <v>876</v>
      </c>
      <c r="Y539" s="542">
        <v>18216</v>
      </c>
      <c r="Z539" s="543">
        <f t="shared" ca="1" si="5"/>
        <v>76</v>
      </c>
      <c r="AA539" s="534" t="s">
        <v>3331</v>
      </c>
      <c r="AB539" s="516"/>
      <c r="AC539" s="516" t="s">
        <v>802</v>
      </c>
      <c r="AD539" s="516" t="s">
        <v>794</v>
      </c>
      <c r="AE539" s="534" t="s">
        <v>809</v>
      </c>
      <c r="AF539" s="534" t="s">
        <v>236</v>
      </c>
      <c r="AG539" s="534" t="s">
        <v>865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3333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/>
      <c r="S540" s="516"/>
      <c r="T540" s="516"/>
      <c r="U540" s="516" t="s">
        <v>898</v>
      </c>
      <c r="V540" s="538" t="s">
        <v>471</v>
      </c>
      <c r="W540" s="541" t="s">
        <v>3334</v>
      </c>
      <c r="X540" s="516" t="s">
        <v>876</v>
      </c>
      <c r="Y540" s="542">
        <v>18323</v>
      </c>
      <c r="Z540" s="543">
        <f t="shared" ca="1" si="5"/>
        <v>75</v>
      </c>
      <c r="AA540" s="534" t="s">
        <v>3335</v>
      </c>
      <c r="AB540" s="516"/>
      <c r="AC540" s="516" t="s">
        <v>802</v>
      </c>
      <c r="AD540" s="516" t="s">
        <v>794</v>
      </c>
      <c r="AE540" s="534" t="s">
        <v>236</v>
      </c>
      <c r="AF540" s="534" t="s">
        <v>236</v>
      </c>
      <c r="AG540" s="534" t="s">
        <v>3297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3337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477</v>
      </c>
      <c r="W541" s="541" t="s">
        <v>3338</v>
      </c>
      <c r="X541" s="516" t="s">
        <v>876</v>
      </c>
      <c r="Y541" s="542">
        <v>18840</v>
      </c>
      <c r="Z541" s="543">
        <f t="shared" ca="1" si="5"/>
        <v>74</v>
      </c>
      <c r="AA541" s="534" t="s">
        <v>3339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3345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 t="s">
        <v>49</v>
      </c>
      <c r="S542" s="516" t="s">
        <v>168</v>
      </c>
      <c r="T542" s="516"/>
      <c r="U542" s="516" t="s">
        <v>874</v>
      </c>
      <c r="V542" s="538" t="s">
        <v>481</v>
      </c>
      <c r="W542" s="541" t="s">
        <v>3346</v>
      </c>
      <c r="X542" s="516" t="s">
        <v>876</v>
      </c>
      <c r="Y542" s="542">
        <v>25024</v>
      </c>
      <c r="Z542" s="543">
        <f t="shared" ca="1" si="5"/>
        <v>57</v>
      </c>
      <c r="AA542" s="534" t="s">
        <v>3347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865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3349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59" t="s">
        <v>828</v>
      </c>
      <c r="Q543" s="539"/>
      <c r="R543" s="516"/>
      <c r="S543" s="516"/>
      <c r="T543" s="516"/>
      <c r="U543" s="516" t="s">
        <v>874</v>
      </c>
      <c r="V543" s="559" t="s">
        <v>3350</v>
      </c>
      <c r="W543" s="541" t="s">
        <v>3351</v>
      </c>
      <c r="X543" s="516" t="s">
        <v>876</v>
      </c>
      <c r="Y543" s="542">
        <v>29360</v>
      </c>
      <c r="Z543" s="543">
        <f t="shared" ca="1" si="5"/>
        <v>45</v>
      </c>
      <c r="AA543" s="534" t="s">
        <v>3352</v>
      </c>
      <c r="AB543" s="516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865</v>
      </c>
      <c r="AH543" s="516"/>
      <c r="AI543" s="516" t="s">
        <v>3353</v>
      </c>
      <c r="AJ543" s="516"/>
      <c r="AK543" s="572" t="s">
        <v>1284</v>
      </c>
      <c r="AL543" s="544"/>
      <c r="AM543" s="544"/>
    </row>
    <row r="544" spans="3:39" ht="18" customHeight="1">
      <c r="C544" s="516">
        <v>524</v>
      </c>
      <c r="D544" s="516" t="s">
        <v>3354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3354</v>
      </c>
      <c r="L544" s="535" t="s">
        <v>786</v>
      </c>
      <c r="M544" s="536"/>
      <c r="N544" s="537"/>
      <c r="O544" s="537"/>
      <c r="P544" s="548" t="s">
        <v>938</v>
      </c>
      <c r="Q544" s="539"/>
      <c r="R544" s="516" t="s">
        <v>49</v>
      </c>
      <c r="S544" s="516" t="s">
        <v>49</v>
      </c>
      <c r="T544" s="516"/>
      <c r="U544" s="516" t="s">
        <v>788</v>
      </c>
      <c r="V544" s="548" t="s">
        <v>3355</v>
      </c>
      <c r="W544" s="541" t="s">
        <v>3356</v>
      </c>
      <c r="X544" s="516" t="s">
        <v>790</v>
      </c>
      <c r="Y544" s="542">
        <v>37183</v>
      </c>
      <c r="Z544" s="543">
        <f t="shared" ca="1" si="5"/>
        <v>24</v>
      </c>
      <c r="AA544" s="534" t="s">
        <v>3357</v>
      </c>
      <c r="AB544" s="516"/>
      <c r="AC544" s="516" t="s">
        <v>793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3359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38" t="s">
        <v>938</v>
      </c>
      <c r="Q545" s="539"/>
      <c r="R545" s="516"/>
      <c r="S545" s="516"/>
      <c r="T545" s="516"/>
      <c r="U545" s="516" t="s">
        <v>788</v>
      </c>
      <c r="V545" s="538" t="s">
        <v>3360</v>
      </c>
      <c r="W545" s="541" t="s">
        <v>3361</v>
      </c>
      <c r="X545" s="516" t="s">
        <v>790</v>
      </c>
      <c r="Y545" s="542">
        <v>38152</v>
      </c>
      <c r="Z545" s="543">
        <f t="shared" ca="1" si="5"/>
        <v>21</v>
      </c>
      <c r="AA545" s="534" t="s">
        <v>3362</v>
      </c>
      <c r="AB545" s="516"/>
      <c r="AC545" s="516" t="s">
        <v>793</v>
      </c>
      <c r="AD545" s="516" t="s">
        <v>794</v>
      </c>
      <c r="AE545" s="534" t="s">
        <v>713</v>
      </c>
      <c r="AF545" s="534" t="s">
        <v>236</v>
      </c>
      <c r="AG545" s="534" t="s">
        <v>3240</v>
      </c>
      <c r="AH545" s="516"/>
      <c r="AI545" s="516"/>
      <c r="AJ545" s="516" t="s">
        <v>832</v>
      </c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3364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3365</v>
      </c>
      <c r="W546" s="541" t="s">
        <v>3366</v>
      </c>
      <c r="X546" s="516" t="s">
        <v>790</v>
      </c>
      <c r="Y546" s="542">
        <v>36511</v>
      </c>
      <c r="Z546" s="543">
        <f t="shared" ca="1" si="5"/>
        <v>26</v>
      </c>
      <c r="AA546" s="594" t="s">
        <v>3367</v>
      </c>
      <c r="AB546" s="516"/>
      <c r="AC546" s="516" t="s">
        <v>793</v>
      </c>
      <c r="AD546" s="516" t="s">
        <v>794</v>
      </c>
      <c r="AE546" s="534" t="s">
        <v>236</v>
      </c>
      <c r="AF546" s="534" t="s">
        <v>236</v>
      </c>
      <c r="AG546" s="534" t="s">
        <v>3369</v>
      </c>
      <c r="AH546" s="516"/>
      <c r="AI546" s="516"/>
      <c r="AJ546" s="516" t="s">
        <v>1535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3370</v>
      </c>
      <c r="E547" s="516">
        <f t="shared" si="4"/>
        <v>495</v>
      </c>
      <c r="F547" s="534" t="s">
        <v>1310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3371</v>
      </c>
      <c r="W547" s="541" t="s">
        <v>3372</v>
      </c>
      <c r="X547" s="516" t="s">
        <v>790</v>
      </c>
      <c r="Y547" s="542">
        <v>38845</v>
      </c>
      <c r="Z547" s="543">
        <f t="shared" ca="1" si="5"/>
        <v>19</v>
      </c>
      <c r="AA547" s="534" t="s">
        <v>3373</v>
      </c>
      <c r="AB547" s="516"/>
      <c r="AC547" s="516" t="s">
        <v>842</v>
      </c>
      <c r="AD547" s="516" t="s">
        <v>794</v>
      </c>
      <c r="AE547" s="534" t="s">
        <v>236</v>
      </c>
      <c r="AF547" s="534" t="s">
        <v>236</v>
      </c>
      <c r="AG547" s="534" t="s">
        <v>865</v>
      </c>
      <c r="AH547" s="516"/>
      <c r="AI547" s="516"/>
      <c r="AJ547" s="516" t="s">
        <v>903</v>
      </c>
      <c r="AK547" s="516"/>
      <c r="AL547" s="544"/>
      <c r="AM547" s="544"/>
    </row>
    <row r="548" spans="3:39" ht="18" customHeight="1">
      <c r="C548" s="516">
        <v>528</v>
      </c>
      <c r="D548" s="516" t="s">
        <v>3375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1886</v>
      </c>
      <c r="V548" s="538" t="s">
        <v>487</v>
      </c>
      <c r="W548" s="541" t="s">
        <v>3376</v>
      </c>
      <c r="X548" s="516" t="s">
        <v>876</v>
      </c>
      <c r="Y548" s="542">
        <v>39773</v>
      </c>
      <c r="Z548" s="543">
        <f t="shared" ca="1" si="5"/>
        <v>17</v>
      </c>
      <c r="AA548" s="534" t="s">
        <v>3375</v>
      </c>
      <c r="AB548" s="516"/>
      <c r="AC548" s="516" t="s">
        <v>842</v>
      </c>
      <c r="AD548" s="516" t="s">
        <v>843</v>
      </c>
      <c r="AE548" s="534" t="s">
        <v>236</v>
      </c>
      <c r="AF548" s="534" t="s">
        <v>236</v>
      </c>
      <c r="AG548" s="574" t="s">
        <v>3378</v>
      </c>
      <c r="AH548" s="516"/>
      <c r="AI548" s="516"/>
      <c r="AJ548" s="516" t="s">
        <v>1852</v>
      </c>
      <c r="AK548" s="516"/>
      <c r="AL548" s="544"/>
      <c r="AM548" s="544"/>
    </row>
    <row r="549" spans="3:39" ht="18" customHeight="1">
      <c r="C549" s="516">
        <v>529</v>
      </c>
      <c r="D549" s="516" t="s">
        <v>3379</v>
      </c>
      <c r="E549" s="516">
        <f t="shared" si="4"/>
        <v>497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59" t="s">
        <v>938</v>
      </c>
      <c r="Q549" s="539"/>
      <c r="R549" s="516"/>
      <c r="S549" s="516"/>
      <c r="T549" s="516"/>
      <c r="U549" s="516" t="s">
        <v>788</v>
      </c>
      <c r="V549" s="559" t="s">
        <v>3380</v>
      </c>
      <c r="W549" s="541" t="s">
        <v>3381</v>
      </c>
      <c r="X549" s="516" t="s">
        <v>876</v>
      </c>
      <c r="Y549" s="542">
        <v>37974</v>
      </c>
      <c r="Z549" s="543">
        <f t="shared" ca="1" si="5"/>
        <v>22</v>
      </c>
      <c r="AA549" s="534" t="s">
        <v>3382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3383</v>
      </c>
      <c r="AJ549" s="516" t="s">
        <v>1535</v>
      </c>
      <c r="AK549" s="516" t="s">
        <v>860</v>
      </c>
      <c r="AL549" s="544"/>
      <c r="AM549" s="544"/>
    </row>
    <row r="550" spans="3:39" ht="18" customHeight="1">
      <c r="C550" s="516">
        <v>530</v>
      </c>
      <c r="D550" s="516" t="s">
        <v>3384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3384</v>
      </c>
      <c r="L550" s="535" t="s">
        <v>3385</v>
      </c>
      <c r="M550" s="536"/>
      <c r="N550" s="537"/>
      <c r="O550" s="537"/>
      <c r="P550" s="548" t="s">
        <v>978</v>
      </c>
      <c r="Q550" s="539"/>
      <c r="R550" s="516" t="s">
        <v>49</v>
      </c>
      <c r="S550" s="516" t="s">
        <v>49</v>
      </c>
      <c r="T550" s="516"/>
      <c r="U550" s="516" t="s">
        <v>874</v>
      </c>
      <c r="V550" s="548" t="s">
        <v>462</v>
      </c>
      <c r="W550" s="541" t="s">
        <v>3386</v>
      </c>
      <c r="X550" s="516" t="s">
        <v>876</v>
      </c>
      <c r="Y550" s="542">
        <v>27135</v>
      </c>
      <c r="Z550" s="543">
        <f t="shared" ca="1" si="5"/>
        <v>51</v>
      </c>
      <c r="AA550" s="594" t="s">
        <v>3387</v>
      </c>
      <c r="AB550" s="516"/>
      <c r="AC550" s="516" t="s">
        <v>802</v>
      </c>
      <c r="AD550" s="516" t="s">
        <v>794</v>
      </c>
      <c r="AE550" s="534" t="s">
        <v>236</v>
      </c>
      <c r="AF550" s="534" t="s">
        <v>236</v>
      </c>
      <c r="AG550" s="574" t="s">
        <v>744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3385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38" t="s">
        <v>978</v>
      </c>
      <c r="Q551" s="539"/>
      <c r="R551" s="516" t="s">
        <v>62</v>
      </c>
      <c r="S551" s="516" t="s">
        <v>62</v>
      </c>
      <c r="T551" s="516"/>
      <c r="U551" s="516" t="s">
        <v>874</v>
      </c>
      <c r="V551" s="538" t="s">
        <v>3389</v>
      </c>
      <c r="W551" s="541" t="s">
        <v>3390</v>
      </c>
      <c r="X551" s="516" t="s">
        <v>876</v>
      </c>
      <c r="Y551" s="542">
        <v>27601</v>
      </c>
      <c r="Z551" s="543">
        <f t="shared" ca="1" si="5"/>
        <v>50</v>
      </c>
      <c r="AA551" s="534" t="s">
        <v>3391</v>
      </c>
      <c r="AB551" s="516"/>
      <c r="AC551" s="516" t="s">
        <v>842</v>
      </c>
      <c r="AD551" s="516" t="s">
        <v>851</v>
      </c>
      <c r="AE551" s="534" t="s">
        <v>236</v>
      </c>
      <c r="AF551" s="534" t="s">
        <v>236</v>
      </c>
      <c r="AG551" s="534" t="s">
        <v>3315</v>
      </c>
      <c r="AH551" s="516"/>
      <c r="AI551" s="516"/>
      <c r="AJ551" s="516" t="s">
        <v>903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3393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/>
      <c r="S552" s="516"/>
      <c r="T552" s="516"/>
      <c r="U552" s="516" t="s">
        <v>874</v>
      </c>
      <c r="V552" s="538" t="s">
        <v>3394</v>
      </c>
      <c r="W552" s="541" t="s">
        <v>3395</v>
      </c>
      <c r="X552" s="516" t="s">
        <v>876</v>
      </c>
      <c r="Y552" s="542">
        <v>26677</v>
      </c>
      <c r="Z552" s="543">
        <f t="shared" ca="1" si="5"/>
        <v>53</v>
      </c>
      <c r="AA552" s="534" t="s">
        <v>3396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3398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3399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3400</v>
      </c>
      <c r="W553" s="541" t="s">
        <v>3401</v>
      </c>
      <c r="X553" s="516" t="s">
        <v>876</v>
      </c>
      <c r="Y553" s="542">
        <v>28550</v>
      </c>
      <c r="Z553" s="543">
        <f t="shared" ca="1" si="5"/>
        <v>47</v>
      </c>
      <c r="AA553" s="534" t="s">
        <v>3402</v>
      </c>
      <c r="AB553" s="516"/>
      <c r="AC553" s="516" t="s">
        <v>842</v>
      </c>
      <c r="AD553" s="516" t="s">
        <v>843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3404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3405</v>
      </c>
      <c r="W554" s="541" t="s">
        <v>3406</v>
      </c>
      <c r="X554" s="516" t="s">
        <v>876</v>
      </c>
      <c r="Y554" s="542">
        <v>29149</v>
      </c>
      <c r="Z554" s="543">
        <f t="shared" ca="1" si="5"/>
        <v>46</v>
      </c>
      <c r="AA554" s="534" t="s">
        <v>3407</v>
      </c>
      <c r="AB554" s="516"/>
      <c r="AC554" s="516" t="s">
        <v>842</v>
      </c>
      <c r="AD554" s="516" t="s">
        <v>851</v>
      </c>
      <c r="AE554" s="534" t="s">
        <v>236</v>
      </c>
      <c r="AF554" s="534" t="s">
        <v>236</v>
      </c>
      <c r="AG554" s="534" t="s">
        <v>3409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3410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3411</v>
      </c>
      <c r="W555" s="541" t="s">
        <v>3412</v>
      </c>
      <c r="X555" s="516" t="s">
        <v>876</v>
      </c>
      <c r="Y555" s="542">
        <v>29930</v>
      </c>
      <c r="Z555" s="543">
        <f t="shared" ca="1" si="5"/>
        <v>44</v>
      </c>
      <c r="AA555" s="534" t="s">
        <v>3413</v>
      </c>
      <c r="AB555" s="516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74" t="s">
        <v>3415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3416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3417</v>
      </c>
      <c r="W556" s="541" t="s">
        <v>3418</v>
      </c>
      <c r="X556" s="516" t="s">
        <v>876</v>
      </c>
      <c r="Y556" s="542">
        <v>26318</v>
      </c>
      <c r="Z556" s="543">
        <f t="shared" ca="1" si="5"/>
        <v>54</v>
      </c>
      <c r="AA556" s="534" t="s">
        <v>3419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34" t="s">
        <v>744</v>
      </c>
      <c r="AH556" s="516"/>
      <c r="AI556" s="516" t="s">
        <v>3316</v>
      </c>
      <c r="AJ556" s="516" t="s">
        <v>903</v>
      </c>
      <c r="AK556" s="516" t="s">
        <v>860</v>
      </c>
      <c r="AL556" s="544"/>
      <c r="AM556" s="544"/>
    </row>
    <row r="557" spans="3:39" ht="18" customHeight="1">
      <c r="C557" s="516">
        <v>537</v>
      </c>
      <c r="D557" s="516" t="s">
        <v>3420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59" t="s">
        <v>978</v>
      </c>
      <c r="Q557" s="539"/>
      <c r="R557" s="516"/>
      <c r="S557" s="516"/>
      <c r="T557" s="516"/>
      <c r="U557" s="516" t="s">
        <v>874</v>
      </c>
      <c r="V557" s="559" t="s">
        <v>3421</v>
      </c>
      <c r="W557" s="541" t="s">
        <v>3422</v>
      </c>
      <c r="X557" s="516" t="s">
        <v>876</v>
      </c>
      <c r="Y557" s="542">
        <v>28655</v>
      </c>
      <c r="Z557" s="543">
        <f t="shared" ca="1" si="5"/>
        <v>47</v>
      </c>
      <c r="AA557" s="534" t="s">
        <v>3423</v>
      </c>
      <c r="AB557" s="516"/>
      <c r="AC557" s="516" t="s">
        <v>842</v>
      </c>
      <c r="AD557" s="516" t="s">
        <v>843</v>
      </c>
      <c r="AE557" s="534" t="s">
        <v>3424</v>
      </c>
      <c r="AF557" s="534" t="s">
        <v>713</v>
      </c>
      <c r="AG557" s="534" t="s">
        <v>3425</v>
      </c>
      <c r="AH557" s="516"/>
      <c r="AI557" s="516" t="s">
        <v>1827</v>
      </c>
      <c r="AJ557" s="516" t="s">
        <v>903</v>
      </c>
      <c r="AK557" s="516" t="s">
        <v>1805</v>
      </c>
      <c r="AL557" s="544"/>
      <c r="AM557" s="544"/>
    </row>
    <row r="558" spans="3:39" ht="18" customHeight="1">
      <c r="C558" s="516">
        <v>538</v>
      </c>
      <c r="D558" s="516" t="s">
        <v>3426</v>
      </c>
      <c r="E558" s="516">
        <f t="shared" si="4"/>
        <v>506</v>
      </c>
      <c r="F558" s="534" t="s">
        <v>1822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3426</v>
      </c>
      <c r="L558" s="535" t="s">
        <v>3427</v>
      </c>
      <c r="M558" s="536"/>
      <c r="N558" s="537"/>
      <c r="O558" s="537"/>
      <c r="P558" s="548" t="s">
        <v>1011</v>
      </c>
      <c r="Q558" s="539"/>
      <c r="R558" s="516" t="s">
        <v>49</v>
      </c>
      <c r="S558" s="516" t="s">
        <v>168</v>
      </c>
      <c r="T558" s="516"/>
      <c r="U558" s="516" t="s">
        <v>874</v>
      </c>
      <c r="V558" s="548" t="s">
        <v>3428</v>
      </c>
      <c r="W558" s="541" t="s">
        <v>3429</v>
      </c>
      <c r="X558" s="516" t="s">
        <v>876</v>
      </c>
      <c r="Y558" s="542">
        <v>25388</v>
      </c>
      <c r="Z558" s="543">
        <f t="shared" ca="1" si="5"/>
        <v>56</v>
      </c>
      <c r="AA558" s="534" t="s">
        <v>3430</v>
      </c>
      <c r="AB558" s="516"/>
      <c r="AC558" s="516" t="s">
        <v>842</v>
      </c>
      <c r="AD558" s="516" t="s">
        <v>851</v>
      </c>
      <c r="AE558" s="534" t="s">
        <v>809</v>
      </c>
      <c r="AF558" s="534" t="s">
        <v>809</v>
      </c>
      <c r="AG558" s="534" t="s">
        <v>2085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3427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38" t="s">
        <v>1011</v>
      </c>
      <c r="Q559" s="539"/>
      <c r="R559" s="516" t="s">
        <v>62</v>
      </c>
      <c r="S559" s="516" t="s">
        <v>62</v>
      </c>
      <c r="T559" s="516"/>
      <c r="U559" s="516" t="s">
        <v>874</v>
      </c>
      <c r="V559" s="538" t="s">
        <v>3432</v>
      </c>
      <c r="W559" s="541" t="s">
        <v>3433</v>
      </c>
      <c r="X559" s="516" t="s">
        <v>876</v>
      </c>
      <c r="Y559" s="542">
        <v>27470</v>
      </c>
      <c r="Z559" s="543">
        <f t="shared" ca="1" si="5"/>
        <v>50</v>
      </c>
      <c r="AA559" s="534" t="s">
        <v>3434</v>
      </c>
      <c r="AB559" s="516"/>
      <c r="AC559" s="516" t="s">
        <v>842</v>
      </c>
      <c r="AD559" s="516" t="s">
        <v>851</v>
      </c>
      <c r="AE559" s="534" t="s">
        <v>942</v>
      </c>
      <c r="AF559" s="534" t="s">
        <v>942</v>
      </c>
      <c r="AG559" s="534" t="s">
        <v>2179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3436</v>
      </c>
      <c r="E560" s="516">
        <f t="shared" si="4"/>
        <v>508</v>
      </c>
      <c r="F560" s="534" t="s">
        <v>811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/>
      <c r="S560" s="516"/>
      <c r="T560" s="516"/>
      <c r="U560" s="516" t="s">
        <v>874</v>
      </c>
      <c r="V560" s="538" t="s">
        <v>3437</v>
      </c>
      <c r="W560" s="541" t="s">
        <v>3438</v>
      </c>
      <c r="X560" s="516" t="s">
        <v>876</v>
      </c>
      <c r="Y560" s="542">
        <v>24892</v>
      </c>
      <c r="Z560" s="543">
        <f t="shared" ca="1" si="5"/>
        <v>57</v>
      </c>
      <c r="AA560" s="534" t="s">
        <v>3439</v>
      </c>
      <c r="AB560" s="516"/>
      <c r="AC560" s="516" t="s">
        <v>842</v>
      </c>
      <c r="AD560" s="516" t="s">
        <v>843</v>
      </c>
      <c r="AE560" s="534" t="s">
        <v>815</v>
      </c>
      <c r="AF560" s="606" t="s">
        <v>815</v>
      </c>
      <c r="AG560" s="534" t="s">
        <v>2525</v>
      </c>
      <c r="AH560" s="516"/>
      <c r="AI560" s="516"/>
      <c r="AJ560" s="516" t="s">
        <v>903</v>
      </c>
      <c r="AK560" s="516"/>
      <c r="AL560" s="544"/>
      <c r="AM560" s="544"/>
    </row>
    <row r="561" spans="3:39" ht="18" customHeight="1">
      <c r="C561" s="516">
        <v>541</v>
      </c>
      <c r="D561" s="516" t="s">
        <v>3441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3442</v>
      </c>
      <c r="W561" s="541" t="s">
        <v>3443</v>
      </c>
      <c r="X561" s="516" t="s">
        <v>876</v>
      </c>
      <c r="Y561" s="542">
        <v>26163</v>
      </c>
      <c r="Z561" s="543">
        <f t="shared" ca="1" si="5"/>
        <v>54</v>
      </c>
      <c r="AA561" s="534" t="s">
        <v>3444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2496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3445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59" t="s">
        <v>1011</v>
      </c>
      <c r="Q562" s="539"/>
      <c r="R562" s="516"/>
      <c r="S562" s="516"/>
      <c r="T562" s="516"/>
      <c r="U562" s="516" t="s">
        <v>874</v>
      </c>
      <c r="V562" s="559" t="s">
        <v>3446</v>
      </c>
      <c r="W562" s="541" t="s">
        <v>3447</v>
      </c>
      <c r="X562" s="516" t="s">
        <v>876</v>
      </c>
      <c r="Y562" s="542">
        <v>29041</v>
      </c>
      <c r="Z562" s="543">
        <f t="shared" ca="1" si="5"/>
        <v>46</v>
      </c>
      <c r="AA562" s="534" t="s">
        <v>3448</v>
      </c>
      <c r="AB562" s="516"/>
      <c r="AC562" s="516" t="s">
        <v>842</v>
      </c>
      <c r="AD562" s="516" t="s">
        <v>851</v>
      </c>
      <c r="AE562" s="534" t="s">
        <v>815</v>
      </c>
      <c r="AF562" s="534" t="s">
        <v>2624</v>
      </c>
      <c r="AG562" s="534" t="s">
        <v>2625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3450</v>
      </c>
      <c r="E563" s="516">
        <f t="shared" si="4"/>
        <v>511</v>
      </c>
      <c r="F563" s="534" t="s">
        <v>1841</v>
      </c>
      <c r="G563" s="534" t="s">
        <v>3451</v>
      </c>
      <c r="H563" s="535" t="s">
        <v>3291</v>
      </c>
      <c r="I563" s="535" t="s">
        <v>3324</v>
      </c>
      <c r="J563" s="535" t="s">
        <v>3450</v>
      </c>
      <c r="K563" s="535" t="s">
        <v>3450</v>
      </c>
      <c r="L563" s="535" t="s">
        <v>3323</v>
      </c>
      <c r="M563" s="536" t="s">
        <v>3454</v>
      </c>
      <c r="N563" s="537"/>
      <c r="O563" s="537"/>
      <c r="P563" s="548" t="s">
        <v>787</v>
      </c>
      <c r="Q563" s="539"/>
      <c r="R563" s="516" t="s">
        <v>163</v>
      </c>
      <c r="S563" s="516" t="s">
        <v>500</v>
      </c>
      <c r="T563" s="516" t="s">
        <v>49</v>
      </c>
      <c r="U563" s="516" t="s">
        <v>874</v>
      </c>
      <c r="V563" s="548" t="s">
        <v>3324</v>
      </c>
      <c r="W563" s="541" t="s">
        <v>3452</v>
      </c>
      <c r="X563" s="516" t="s">
        <v>876</v>
      </c>
      <c r="Y563" s="542">
        <v>27947</v>
      </c>
      <c r="Z563" s="543">
        <f t="shared" ca="1" si="5"/>
        <v>49</v>
      </c>
      <c r="AA563" s="534" t="s">
        <v>2926</v>
      </c>
      <c r="AB563" s="516"/>
      <c r="AC563" s="516" t="s">
        <v>802</v>
      </c>
      <c r="AD563" s="516" t="s">
        <v>794</v>
      </c>
      <c r="AE563" s="534" t="s">
        <v>236</v>
      </c>
      <c r="AF563" s="534" t="s">
        <v>236</v>
      </c>
      <c r="AG563" s="534" t="s">
        <v>3297</v>
      </c>
      <c r="AH563" s="516"/>
      <c r="AI563" s="516"/>
      <c r="AJ563" s="516"/>
      <c r="AK563" s="516" t="s">
        <v>1863</v>
      </c>
      <c r="AL563" s="544"/>
      <c r="AM563" s="544"/>
    </row>
    <row r="564" spans="3:39" ht="18" customHeight="1">
      <c r="C564" s="516">
        <v>544</v>
      </c>
      <c r="D564" s="516" t="s">
        <v>3323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38" t="s">
        <v>787</v>
      </c>
      <c r="Q564" s="539"/>
      <c r="R564" s="516" t="s">
        <v>62</v>
      </c>
      <c r="S564" s="516" t="s">
        <v>548</v>
      </c>
      <c r="T564" s="516"/>
      <c r="U564" s="516" t="s">
        <v>874</v>
      </c>
      <c r="V564" s="538" t="s">
        <v>505</v>
      </c>
      <c r="W564" s="541" t="s">
        <v>3325</v>
      </c>
      <c r="X564" s="516" t="s">
        <v>876</v>
      </c>
      <c r="Y564" s="542">
        <v>28886</v>
      </c>
      <c r="Z564" s="543">
        <f t="shared" ca="1" si="5"/>
        <v>46</v>
      </c>
      <c r="AA564" s="534" t="s">
        <v>3326</v>
      </c>
      <c r="AB564" s="516"/>
      <c r="AC564" s="516" t="s">
        <v>842</v>
      </c>
      <c r="AD564" s="516" t="s">
        <v>843</v>
      </c>
      <c r="AE564" s="534" t="s">
        <v>236</v>
      </c>
      <c r="AF564" s="534" t="s">
        <v>236</v>
      </c>
      <c r="AG564" s="574" t="s">
        <v>3246</v>
      </c>
      <c r="AH564" s="516"/>
      <c r="AI564" s="516"/>
      <c r="AJ564" s="516" t="s">
        <v>976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3454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 t="s">
        <v>4217</v>
      </c>
      <c r="U565" s="516" t="s">
        <v>874</v>
      </c>
      <c r="V565" s="538" t="s">
        <v>513</v>
      </c>
      <c r="W565" s="541" t="s">
        <v>3455</v>
      </c>
      <c r="X565" s="516" t="s">
        <v>876</v>
      </c>
      <c r="Y565" s="542">
        <v>31368</v>
      </c>
      <c r="Z565" s="543">
        <f t="shared" ca="1" si="5"/>
        <v>40</v>
      </c>
      <c r="AA565" s="534" t="s">
        <v>3456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34" t="s">
        <v>3409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3458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/>
      <c r="S566" s="516"/>
      <c r="T566" s="516"/>
      <c r="U566" s="516" t="s">
        <v>874</v>
      </c>
      <c r="V566" s="538" t="s">
        <v>3459</v>
      </c>
      <c r="W566" s="541" t="s">
        <v>3460</v>
      </c>
      <c r="X566" s="516" t="s">
        <v>876</v>
      </c>
      <c r="Y566" s="542">
        <v>32528</v>
      </c>
      <c r="Z566" s="543">
        <f t="shared" ca="1" si="5"/>
        <v>37</v>
      </c>
      <c r="AA566" s="534" t="s">
        <v>3461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74" t="s">
        <v>3463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3464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529</v>
      </c>
      <c r="W567" s="541" t="s">
        <v>3465</v>
      </c>
      <c r="X567" s="516" t="s">
        <v>876</v>
      </c>
      <c r="Y567" s="542">
        <v>33412</v>
      </c>
      <c r="Z567" s="543">
        <f t="shared" ca="1" si="5"/>
        <v>34</v>
      </c>
      <c r="AA567" s="534" t="s">
        <v>3466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34" t="s">
        <v>3409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3468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59" t="s">
        <v>787</v>
      </c>
      <c r="Q568" s="539"/>
      <c r="R568" s="516"/>
      <c r="S568" s="516"/>
      <c r="T568" s="516"/>
      <c r="U568" s="516" t="s">
        <v>874</v>
      </c>
      <c r="V568" s="559" t="s">
        <v>536</v>
      </c>
      <c r="W568" s="541" t="s">
        <v>3469</v>
      </c>
      <c r="X568" s="516" t="s">
        <v>876</v>
      </c>
      <c r="Y568" s="542">
        <v>32543</v>
      </c>
      <c r="Z568" s="543">
        <f t="shared" ca="1" si="5"/>
        <v>36</v>
      </c>
      <c r="AA568" s="534" t="s">
        <v>3470</v>
      </c>
      <c r="AB568" s="516"/>
      <c r="AC568" s="516" t="s">
        <v>842</v>
      </c>
      <c r="AD568" s="516" t="s">
        <v>843</v>
      </c>
      <c r="AE568" s="534" t="s">
        <v>942</v>
      </c>
      <c r="AF568" s="534" t="s">
        <v>942</v>
      </c>
      <c r="AG568" s="534" t="s">
        <v>3471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2910</v>
      </c>
      <c r="E569" s="516">
        <f t="shared" si="4"/>
        <v>516</v>
      </c>
      <c r="F569" s="534"/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2910</v>
      </c>
      <c r="L569" s="535" t="s">
        <v>4213</v>
      </c>
      <c r="M569" s="536"/>
      <c r="N569" s="537"/>
      <c r="O569" s="537"/>
      <c r="P569" s="548" t="s">
        <v>828</v>
      </c>
      <c r="Q569" s="539"/>
      <c r="R569" s="516" t="s">
        <v>49</v>
      </c>
      <c r="S569" s="516" t="s">
        <v>49</v>
      </c>
      <c r="T569" s="516"/>
      <c r="U569" s="516"/>
      <c r="V569" s="548" t="s">
        <v>473</v>
      </c>
      <c r="W569" s="541" t="s">
        <v>2911</v>
      </c>
      <c r="X569" s="516" t="s">
        <v>876</v>
      </c>
      <c r="Y569" s="542">
        <v>22938</v>
      </c>
      <c r="Z569" s="543">
        <f t="shared" ca="1" si="5"/>
        <v>63</v>
      </c>
      <c r="AA569" s="534" t="s">
        <v>2912</v>
      </c>
      <c r="AB569" s="516"/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865</v>
      </c>
      <c r="AH569" s="516" t="s">
        <v>872</v>
      </c>
      <c r="AI569" s="516"/>
      <c r="AJ569" s="516"/>
      <c r="AK569" s="516"/>
      <c r="AL569" s="544"/>
      <c r="AM569" s="544"/>
    </row>
    <row r="570" spans="3:39" ht="18" customHeight="1">
      <c r="C570" s="516">
        <v>550</v>
      </c>
      <c r="D570" s="516" t="s">
        <v>4213</v>
      </c>
      <c r="E570" s="516">
        <f t="shared" si="4"/>
        <v>517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38" t="s">
        <v>828</v>
      </c>
      <c r="Q570" s="539" t="s">
        <v>308</v>
      </c>
      <c r="R570" s="516" t="s">
        <v>62</v>
      </c>
      <c r="S570" s="516" t="s">
        <v>548</v>
      </c>
      <c r="T570" s="516"/>
      <c r="U570" s="516" t="s">
        <v>898</v>
      </c>
      <c r="V570" s="538" t="s">
        <v>506</v>
      </c>
      <c r="W570" s="541" t="s">
        <v>4222</v>
      </c>
      <c r="X570" s="516" t="s">
        <v>876</v>
      </c>
      <c r="Y570" s="542">
        <v>19473</v>
      </c>
      <c r="Z570" s="543">
        <f t="shared" ca="1" si="5"/>
        <v>72</v>
      </c>
      <c r="AA570" s="534" t="s">
        <v>4261</v>
      </c>
      <c r="AB570" s="516"/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3480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/>
      <c r="S571" s="516"/>
      <c r="T571" s="516"/>
      <c r="U571" s="516" t="s">
        <v>874</v>
      </c>
      <c r="V571" s="538" t="s">
        <v>514</v>
      </c>
      <c r="W571" s="541" t="s">
        <v>3481</v>
      </c>
      <c r="X571" s="516" t="s">
        <v>876</v>
      </c>
      <c r="Y571" s="542">
        <v>20551</v>
      </c>
      <c r="Z571" s="543">
        <f t="shared" ca="1" si="5"/>
        <v>69</v>
      </c>
      <c r="AA571" s="534" t="s">
        <v>3482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3483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522</v>
      </c>
      <c r="W572" s="541" t="s">
        <v>3484</v>
      </c>
      <c r="X572" s="516" t="s">
        <v>876</v>
      </c>
      <c r="Y572" s="542">
        <v>21795</v>
      </c>
      <c r="Z572" s="543">
        <f t="shared" ca="1" si="5"/>
        <v>66</v>
      </c>
      <c r="AA572" s="534" t="s">
        <v>3485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3246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3486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530</v>
      </c>
      <c r="W573" s="541" t="s">
        <v>3487</v>
      </c>
      <c r="X573" s="516" t="s">
        <v>876</v>
      </c>
      <c r="Y573" s="542">
        <v>23541</v>
      </c>
      <c r="Z573" s="543">
        <f t="shared" ca="1" si="5"/>
        <v>61</v>
      </c>
      <c r="AA573" s="534" t="s">
        <v>3488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3489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3490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3491</v>
      </c>
      <c r="W574" s="541" t="s">
        <v>3492</v>
      </c>
      <c r="X574" s="516" t="s">
        <v>876</v>
      </c>
      <c r="Y574" s="542">
        <v>27315</v>
      </c>
      <c r="Z574" s="543">
        <f t="shared" ca="1" si="5"/>
        <v>51</v>
      </c>
      <c r="AA574" s="534" t="s">
        <v>3493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3409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3495</v>
      </c>
      <c r="E575" s="516">
        <f t="shared" si="4"/>
        <v>522</v>
      </c>
      <c r="F575" s="534" t="s">
        <v>1822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898</v>
      </c>
      <c r="V575" s="538" t="s">
        <v>3496</v>
      </c>
      <c r="W575" s="541" t="s">
        <v>3497</v>
      </c>
      <c r="X575" s="516" t="s">
        <v>876</v>
      </c>
      <c r="Y575" s="542">
        <v>19981</v>
      </c>
      <c r="Z575" s="543">
        <f t="shared" ca="1" si="5"/>
        <v>71</v>
      </c>
      <c r="AA575" s="534" t="s">
        <v>3498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2223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3500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874</v>
      </c>
      <c r="V576" s="538" t="s">
        <v>3501</v>
      </c>
      <c r="W576" s="541" t="s">
        <v>3502</v>
      </c>
      <c r="X576" s="516" t="s">
        <v>876</v>
      </c>
      <c r="Y576" s="542">
        <v>22694</v>
      </c>
      <c r="Z576" s="543">
        <f t="shared" ca="1" si="5"/>
        <v>63</v>
      </c>
      <c r="AA576" s="534" t="s">
        <v>3503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3471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3505</v>
      </c>
      <c r="E577" s="516">
        <f t="shared" si="4"/>
        <v>524</v>
      </c>
      <c r="F577" s="534" t="s">
        <v>811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799</v>
      </c>
      <c r="V577" s="538" t="s">
        <v>553</v>
      </c>
      <c r="W577" s="541" t="s">
        <v>3506</v>
      </c>
      <c r="X577" s="516" t="s">
        <v>790</v>
      </c>
      <c r="Y577" s="542">
        <v>20455</v>
      </c>
      <c r="Z577" s="543">
        <f t="shared" ca="1" si="5"/>
        <v>70</v>
      </c>
      <c r="AA577" s="534" t="s">
        <v>3507</v>
      </c>
      <c r="AB577" s="516"/>
      <c r="AC577" s="516" t="s">
        <v>842</v>
      </c>
      <c r="AD577" s="516" t="s">
        <v>843</v>
      </c>
      <c r="AE577" s="534" t="s">
        <v>815</v>
      </c>
      <c r="AF577" s="606" t="s">
        <v>815</v>
      </c>
      <c r="AG577" s="534" t="s">
        <v>2734</v>
      </c>
      <c r="AH577" s="516"/>
      <c r="AI577" s="516"/>
      <c r="AJ577" s="516" t="s">
        <v>1497</v>
      </c>
      <c r="AK577" s="516"/>
      <c r="AL577" s="544"/>
      <c r="AM577" s="544"/>
    </row>
    <row r="578" spans="3:39" ht="18" customHeight="1">
      <c r="C578" s="516">
        <v>558</v>
      </c>
      <c r="D578" s="516" t="s">
        <v>3508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874</v>
      </c>
      <c r="V578" s="538" t="s">
        <v>557</v>
      </c>
      <c r="W578" s="541" t="s">
        <v>3509</v>
      </c>
      <c r="X578" s="516" t="s">
        <v>876</v>
      </c>
      <c r="Y578" s="542">
        <v>21731</v>
      </c>
      <c r="Z578" s="543">
        <f t="shared" ca="1" si="5"/>
        <v>66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3511</v>
      </c>
      <c r="E579" s="516">
        <f t="shared" si="4"/>
        <v>526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59" t="s">
        <v>828</v>
      </c>
      <c r="Q579" s="539" t="s">
        <v>308</v>
      </c>
      <c r="R579" s="516"/>
      <c r="S579" s="516"/>
      <c r="T579" s="516"/>
      <c r="U579" s="516" t="s">
        <v>898</v>
      </c>
      <c r="V579" s="559" t="s">
        <v>3512</v>
      </c>
      <c r="W579" s="541" t="s">
        <v>3513</v>
      </c>
      <c r="X579" s="516" t="s">
        <v>876</v>
      </c>
      <c r="Y579" s="542">
        <v>17849</v>
      </c>
      <c r="Z579" s="543">
        <f t="shared" ca="1" si="5"/>
        <v>77</v>
      </c>
      <c r="AA579" s="534" t="s">
        <v>3514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3409</v>
      </c>
      <c r="AH579" s="516"/>
      <c r="AI579" s="516" t="s">
        <v>3515</v>
      </c>
      <c r="AJ579" s="516" t="s">
        <v>976</v>
      </c>
      <c r="AK579" s="516" t="s">
        <v>860</v>
      </c>
      <c r="AL579" s="544"/>
      <c r="AM579" s="544"/>
    </row>
    <row r="580" spans="3:39" ht="18" customHeight="1">
      <c r="C580" s="516">
        <v>560</v>
      </c>
      <c r="D580" s="516" t="s">
        <v>3345</v>
      </c>
      <c r="E580" s="516">
        <f t="shared" si="4"/>
        <v>526</v>
      </c>
      <c r="F580" s="534"/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3345</v>
      </c>
      <c r="L580" s="535" t="s">
        <v>3516</v>
      </c>
      <c r="M580" s="536"/>
      <c r="N580" s="537"/>
      <c r="O580" s="537"/>
      <c r="P580" s="548" t="s">
        <v>938</v>
      </c>
      <c r="Q580" s="539"/>
      <c r="R580" s="516" t="s">
        <v>49</v>
      </c>
      <c r="S580" s="516" t="s">
        <v>168</v>
      </c>
      <c r="T580" s="516"/>
      <c r="U580" s="516"/>
      <c r="V580" s="548" t="s">
        <v>481</v>
      </c>
      <c r="W580" s="541" t="s">
        <v>3346</v>
      </c>
      <c r="X580" s="516" t="s">
        <v>876</v>
      </c>
      <c r="Y580" s="542">
        <v>25024</v>
      </c>
      <c r="Z580" s="543">
        <f t="shared" ca="1" si="5"/>
        <v>57</v>
      </c>
      <c r="AA580" s="534" t="s">
        <v>3347</v>
      </c>
      <c r="AB580" s="516"/>
      <c r="AC580" s="516" t="s">
        <v>802</v>
      </c>
      <c r="AD580" s="516" t="s">
        <v>794</v>
      </c>
      <c r="AE580" s="534" t="s">
        <v>236</v>
      </c>
      <c r="AF580" s="534" t="s">
        <v>236</v>
      </c>
      <c r="AG580" s="534" t="s">
        <v>865</v>
      </c>
      <c r="AH580" s="516" t="s">
        <v>872</v>
      </c>
      <c r="AI580" s="516"/>
      <c r="AJ580" s="516"/>
      <c r="AK580" s="516"/>
      <c r="AL580" s="544"/>
      <c r="AM580" s="544"/>
    </row>
    <row r="581" spans="3:39" ht="18" customHeight="1">
      <c r="C581" s="516">
        <v>561</v>
      </c>
      <c r="D581" s="516" t="s">
        <v>3516</v>
      </c>
      <c r="E581" s="516">
        <f t="shared" si="4"/>
        <v>527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38" t="s">
        <v>938</v>
      </c>
      <c r="Q581" s="539" t="s">
        <v>308</v>
      </c>
      <c r="R581" s="516" t="s">
        <v>62</v>
      </c>
      <c r="S581" s="516" t="s">
        <v>548</v>
      </c>
      <c r="T581" s="516"/>
      <c r="U581" s="516" t="s">
        <v>874</v>
      </c>
      <c r="V581" s="538" t="s">
        <v>515</v>
      </c>
      <c r="W581" s="541" t="s">
        <v>3520</v>
      </c>
      <c r="X581" s="516" t="s">
        <v>876</v>
      </c>
      <c r="Y581" s="542">
        <v>20844</v>
      </c>
      <c r="Z581" s="543">
        <f t="shared" ca="1" si="5"/>
        <v>69</v>
      </c>
      <c r="AA581" s="534" t="s">
        <v>3521</v>
      </c>
      <c r="AB581" s="516"/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3523</v>
      </c>
      <c r="AH581" s="516"/>
      <c r="AI581" s="516"/>
      <c r="AJ581" s="516" t="s">
        <v>1852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3517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/>
      <c r="S582" s="516"/>
      <c r="T582" s="516"/>
      <c r="U582" s="516" t="s">
        <v>874</v>
      </c>
      <c r="V582" s="538" t="s">
        <v>507</v>
      </c>
      <c r="W582" s="541" t="s">
        <v>3524</v>
      </c>
      <c r="X582" s="516" t="s">
        <v>876</v>
      </c>
      <c r="Y582" s="542">
        <v>20604</v>
      </c>
      <c r="Z582" s="543">
        <f t="shared" ca="1" si="5"/>
        <v>69</v>
      </c>
      <c r="AA582" s="534" t="s">
        <v>3525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3527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3518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531</v>
      </c>
      <c r="W583" s="541" t="s">
        <v>3528</v>
      </c>
      <c r="X583" s="516" t="s">
        <v>876</v>
      </c>
      <c r="Y583" s="542">
        <v>22829</v>
      </c>
      <c r="Z583" s="543">
        <f t="shared" ca="1" si="5"/>
        <v>63</v>
      </c>
      <c r="AA583" s="534" t="s">
        <v>3529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74" t="s">
        <v>3531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3536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538</v>
      </c>
      <c r="W584" s="541" t="s">
        <v>3537</v>
      </c>
      <c r="X584" s="516" t="s">
        <v>876</v>
      </c>
      <c r="Y584" s="542">
        <v>22980</v>
      </c>
      <c r="Z584" s="543">
        <f t="shared" ca="1" si="5"/>
        <v>63</v>
      </c>
      <c r="AA584" s="534" t="s">
        <v>3538</v>
      </c>
      <c r="AB584" s="516"/>
      <c r="AC584" s="516" t="s">
        <v>842</v>
      </c>
      <c r="AD584" s="516" t="s">
        <v>843</v>
      </c>
      <c r="AE584" s="534" t="s">
        <v>809</v>
      </c>
      <c r="AF584" s="534" t="s">
        <v>809</v>
      </c>
      <c r="AG584" s="534" t="s">
        <v>3539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3519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543</v>
      </c>
      <c r="W585" s="541" t="s">
        <v>3532</v>
      </c>
      <c r="X585" s="516" t="s">
        <v>876</v>
      </c>
      <c r="Y585" s="542">
        <v>26443</v>
      </c>
      <c r="Z585" s="543">
        <f t="shared" ca="1" si="5"/>
        <v>53</v>
      </c>
      <c r="AA585" s="534" t="s">
        <v>3533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74" t="s">
        <v>3535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3540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549</v>
      </c>
      <c r="W586" s="541" t="s">
        <v>3541</v>
      </c>
      <c r="X586" s="516" t="s">
        <v>876</v>
      </c>
      <c r="Y586" s="542">
        <v>27733</v>
      </c>
      <c r="Z586" s="543">
        <f t="shared" ca="1" si="5"/>
        <v>50</v>
      </c>
      <c r="AA586" s="534" t="s">
        <v>3542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3544</v>
      </c>
      <c r="AH586" s="516"/>
      <c r="AI586" s="516" t="s">
        <v>3545</v>
      </c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3546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554</v>
      </c>
      <c r="W587" s="541" t="s">
        <v>3547</v>
      </c>
      <c r="X587" s="516" t="s">
        <v>876</v>
      </c>
      <c r="Y587" s="542">
        <v>32138</v>
      </c>
      <c r="Z587" s="543">
        <f t="shared" ca="1" si="5"/>
        <v>38</v>
      </c>
      <c r="AA587" s="534" t="s">
        <v>3548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3550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3551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788</v>
      </c>
      <c r="V588" s="538" t="s">
        <v>558</v>
      </c>
      <c r="W588" s="541" t="s">
        <v>3552</v>
      </c>
      <c r="X588" s="516" t="s">
        <v>876</v>
      </c>
      <c r="Y588" s="542">
        <v>36800</v>
      </c>
      <c r="Z588" s="543">
        <f t="shared" ca="1" si="5"/>
        <v>25</v>
      </c>
      <c r="AA588" s="534" t="s">
        <v>3553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865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3554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874</v>
      </c>
      <c r="V589" s="538" t="s">
        <v>523</v>
      </c>
      <c r="W589" s="541" t="s">
        <v>3555</v>
      </c>
      <c r="X589" s="516" t="s">
        <v>876</v>
      </c>
      <c r="Y589" s="542">
        <v>21916</v>
      </c>
      <c r="Z589" s="543">
        <f t="shared" ca="1" si="5"/>
        <v>66</v>
      </c>
      <c r="AA589" s="534" t="s">
        <v>3556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3557</v>
      </c>
      <c r="AH589" s="516"/>
      <c r="AI589" s="516" t="s">
        <v>3558</v>
      </c>
      <c r="AJ589" s="516" t="s">
        <v>1852</v>
      </c>
      <c r="AK589" s="516" t="s">
        <v>860</v>
      </c>
      <c r="AL589" s="544"/>
      <c r="AM589" s="544"/>
    </row>
    <row r="590" spans="3:39" ht="18" customHeight="1">
      <c r="C590" s="516">
        <v>570</v>
      </c>
      <c r="D590" s="516" t="s">
        <v>3559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59" t="s">
        <v>938</v>
      </c>
      <c r="Q590" s="539" t="s">
        <v>308</v>
      </c>
      <c r="R590" s="516"/>
      <c r="S590" s="516"/>
      <c r="T590" s="516"/>
      <c r="U590" s="516" t="s">
        <v>874</v>
      </c>
      <c r="V590" s="559" t="s">
        <v>3560</v>
      </c>
      <c r="W590" s="541" t="s">
        <v>3561</v>
      </c>
      <c r="X590" s="516" t="s">
        <v>876</v>
      </c>
      <c r="Y590" s="542">
        <v>28211</v>
      </c>
      <c r="Z590" s="543">
        <f t="shared" ca="1" si="5"/>
        <v>48</v>
      </c>
      <c r="AA590" s="534" t="s">
        <v>3562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3564</v>
      </c>
      <c r="AH590" s="516"/>
      <c r="AI590" s="516" t="s">
        <v>3316</v>
      </c>
      <c r="AJ590" s="516" t="s">
        <v>1852</v>
      </c>
      <c r="AK590" s="516" t="s">
        <v>860</v>
      </c>
      <c r="AL590" s="544"/>
      <c r="AM590" s="544"/>
    </row>
    <row r="591" spans="3:39" ht="18" customHeight="1">
      <c r="C591" s="516">
        <v>571</v>
      </c>
      <c r="D591" s="516" t="s">
        <v>2094</v>
      </c>
      <c r="E591" s="516">
        <f t="shared" si="4"/>
        <v>536</v>
      </c>
      <c r="F591" s="534"/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2094</v>
      </c>
      <c r="L591" s="535" t="s">
        <v>786</v>
      </c>
      <c r="M591" s="536"/>
      <c r="N591" s="537"/>
      <c r="O591" s="537"/>
      <c r="P591" s="548" t="s">
        <v>978</v>
      </c>
      <c r="Q591" s="539"/>
      <c r="R591" s="516" t="s">
        <v>49</v>
      </c>
      <c r="S591" s="516" t="s">
        <v>168</v>
      </c>
      <c r="T591" s="516"/>
      <c r="U591" s="516"/>
      <c r="V591" s="548" t="s">
        <v>231</v>
      </c>
      <c r="W591" s="541" t="s">
        <v>2095</v>
      </c>
      <c r="X591" s="516" t="s">
        <v>876</v>
      </c>
      <c r="Y591" s="542">
        <v>25211</v>
      </c>
      <c r="Z591" s="543">
        <f t="shared" ca="1" si="5"/>
        <v>57</v>
      </c>
      <c r="AA591" s="534" t="s">
        <v>2096</v>
      </c>
      <c r="AB591" s="516"/>
      <c r="AC591" s="516" t="s">
        <v>802</v>
      </c>
      <c r="AD591" s="516" t="s">
        <v>794</v>
      </c>
      <c r="AE591" s="534" t="s">
        <v>809</v>
      </c>
      <c r="AF591" s="534" t="s">
        <v>809</v>
      </c>
      <c r="AG591" s="534" t="s">
        <v>2085</v>
      </c>
      <c r="AH591" s="516" t="s">
        <v>872</v>
      </c>
      <c r="AI591" s="516"/>
      <c r="AJ591" s="516"/>
      <c r="AK591" s="516"/>
      <c r="AL591" s="544"/>
      <c r="AM591" s="544"/>
    </row>
    <row r="592" spans="3:39" ht="18" customHeight="1">
      <c r="C592" s="516">
        <v>572</v>
      </c>
      <c r="D592" s="516" t="s">
        <v>3565</v>
      </c>
      <c r="E592" s="516">
        <f t="shared" si="4"/>
        <v>537</v>
      </c>
      <c r="F592" s="534" t="s">
        <v>811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38" t="s">
        <v>978</v>
      </c>
      <c r="Q592" s="539" t="s">
        <v>308</v>
      </c>
      <c r="R592" s="516"/>
      <c r="S592" s="516"/>
      <c r="T592" s="516"/>
      <c r="U592" s="516" t="s">
        <v>874</v>
      </c>
      <c r="V592" s="538" t="s">
        <v>3566</v>
      </c>
      <c r="W592" s="541" t="s">
        <v>3567</v>
      </c>
      <c r="X592" s="516" t="s">
        <v>876</v>
      </c>
      <c r="Y592" s="542">
        <v>33974</v>
      </c>
      <c r="Z592" s="543">
        <f t="shared" ca="1" si="5"/>
        <v>33</v>
      </c>
      <c r="AA592" s="534" t="s">
        <v>3568</v>
      </c>
      <c r="AB592" s="516"/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3212</v>
      </c>
      <c r="AH592" s="516"/>
      <c r="AI592" s="516"/>
      <c r="AJ592" s="516" t="s">
        <v>971</v>
      </c>
      <c r="AK592" s="516"/>
      <c r="AL592" s="544"/>
      <c r="AM592" s="544"/>
    </row>
    <row r="593" spans="3:39" ht="18" customHeight="1">
      <c r="C593" s="516">
        <v>573</v>
      </c>
      <c r="D593" s="516" t="s">
        <v>3570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788</v>
      </c>
      <c r="V593" s="538" t="s">
        <v>3571</v>
      </c>
      <c r="W593" s="541" t="s">
        <v>3572</v>
      </c>
      <c r="X593" s="516" t="s">
        <v>876</v>
      </c>
      <c r="Y593" s="542">
        <v>37889</v>
      </c>
      <c r="Z593" s="543">
        <f t="shared" ca="1" si="5"/>
        <v>22</v>
      </c>
      <c r="AA593" s="534" t="s">
        <v>3573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3199</v>
      </c>
      <c r="AH593" s="516"/>
      <c r="AI593" s="516" t="s">
        <v>3297</v>
      </c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3575</v>
      </c>
      <c r="E594" s="516">
        <f t="shared" si="4"/>
        <v>539</v>
      </c>
      <c r="F594" s="534" t="s">
        <v>1310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524</v>
      </c>
      <c r="W594" s="541" t="s">
        <v>3576</v>
      </c>
      <c r="X594" s="516" t="s">
        <v>876</v>
      </c>
      <c r="Y594" s="542">
        <v>38551</v>
      </c>
      <c r="Z594" s="543">
        <f t="shared" ca="1" si="5"/>
        <v>20</v>
      </c>
      <c r="AA594" s="534" t="s">
        <v>3577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3579</v>
      </c>
      <c r="E595" s="516">
        <f t="shared" si="4"/>
        <v>540</v>
      </c>
      <c r="F595" s="534" t="s">
        <v>811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59" t="s">
        <v>978</v>
      </c>
      <c r="Q595" s="539" t="s">
        <v>308</v>
      </c>
      <c r="R595" s="516"/>
      <c r="S595" s="516"/>
      <c r="T595" s="516"/>
      <c r="U595" s="516" t="s">
        <v>874</v>
      </c>
      <c r="V595" s="559" t="s">
        <v>3580</v>
      </c>
      <c r="W595" s="541" t="s">
        <v>3581</v>
      </c>
      <c r="X595" s="516" t="s">
        <v>876</v>
      </c>
      <c r="Y595" s="542">
        <v>33117</v>
      </c>
      <c r="Z595" s="543">
        <f t="shared" ca="1" si="5"/>
        <v>35</v>
      </c>
      <c r="AA595" s="534" t="s">
        <v>3582</v>
      </c>
      <c r="AB595" s="516"/>
      <c r="AC595" s="516" t="s">
        <v>842</v>
      </c>
      <c r="AD595" s="516" t="s">
        <v>843</v>
      </c>
      <c r="AE595" s="534" t="s">
        <v>713</v>
      </c>
      <c r="AF595" s="534" t="s">
        <v>713</v>
      </c>
      <c r="AG595" s="534" t="s">
        <v>3583</v>
      </c>
      <c r="AH595" s="516"/>
      <c r="AI595" s="516" t="s">
        <v>866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915</v>
      </c>
      <c r="E596" s="516">
        <f t="shared" si="4"/>
        <v>540</v>
      </c>
      <c r="F596" s="534"/>
      <c r="G596" s="534" t="s">
        <v>3584</v>
      </c>
      <c r="H596" s="535"/>
      <c r="I596" s="535" t="s">
        <v>73</v>
      </c>
      <c r="J596" s="535"/>
      <c r="K596" s="535" t="s">
        <v>915</v>
      </c>
      <c r="L596" s="535"/>
      <c r="M596" s="536"/>
      <c r="N596" s="537"/>
      <c r="O596" s="537"/>
      <c r="P596" s="548" t="s">
        <v>2372</v>
      </c>
      <c r="Q596" s="539"/>
      <c r="R596" s="516" t="s">
        <v>163</v>
      </c>
      <c r="S596" s="516" t="s">
        <v>500</v>
      </c>
      <c r="T596" s="516"/>
      <c r="U596" s="516"/>
      <c r="V596" s="548" t="s">
        <v>73</v>
      </c>
      <c r="W596" s="541" t="s">
        <v>3585</v>
      </c>
      <c r="X596" s="516" t="s">
        <v>876</v>
      </c>
      <c r="Y596" s="542">
        <v>31722</v>
      </c>
      <c r="Z596" s="543">
        <f t="shared" ca="1" si="5"/>
        <v>39</v>
      </c>
      <c r="AA596" s="534" t="s">
        <v>917</v>
      </c>
      <c r="AB596" s="516"/>
      <c r="AC596" s="516" t="s">
        <v>802</v>
      </c>
      <c r="AD596" s="516" t="s">
        <v>794</v>
      </c>
      <c r="AE596" s="534" t="s">
        <v>713</v>
      </c>
      <c r="AF596" s="534" t="s">
        <v>795</v>
      </c>
      <c r="AG596" s="534" t="s">
        <v>796</v>
      </c>
      <c r="AH596" s="516" t="s">
        <v>872</v>
      </c>
      <c r="AI596" s="516"/>
      <c r="AJ596" s="516"/>
      <c r="AK596" s="516"/>
      <c r="AL596" s="544"/>
      <c r="AM596" s="544"/>
    </row>
    <row r="597" spans="3:39" ht="18" customHeight="1">
      <c r="C597" s="516">
        <v>577</v>
      </c>
      <c r="D597" s="516" t="s">
        <v>3587</v>
      </c>
      <c r="E597" s="516">
        <f t="shared" si="4"/>
        <v>541</v>
      </c>
      <c r="F597" s="534" t="s">
        <v>811</v>
      </c>
      <c r="G597" s="534" t="s">
        <v>3584</v>
      </c>
      <c r="H597" s="535" t="s">
        <v>1106</v>
      </c>
      <c r="I597" s="535" t="s">
        <v>73</v>
      </c>
      <c r="J597" s="535" t="s">
        <v>915</v>
      </c>
      <c r="K597" s="535" t="s">
        <v>915</v>
      </c>
      <c r="L597" s="535" t="s">
        <v>3587</v>
      </c>
      <c r="M597" s="536" t="s">
        <v>3622</v>
      </c>
      <c r="N597" s="537"/>
      <c r="O597" s="537"/>
      <c r="P597" s="538" t="s">
        <v>2372</v>
      </c>
      <c r="Q597" s="539"/>
      <c r="R597" s="516" t="s">
        <v>62</v>
      </c>
      <c r="S597" s="516" t="s">
        <v>548</v>
      </c>
      <c r="T597" s="516"/>
      <c r="U597" s="516" t="s">
        <v>874</v>
      </c>
      <c r="V597" s="538" t="s">
        <v>594</v>
      </c>
      <c r="W597" s="541" t="s">
        <v>3588</v>
      </c>
      <c r="X597" s="516" t="s">
        <v>876</v>
      </c>
      <c r="Y597" s="542">
        <v>33100</v>
      </c>
      <c r="Z597" s="543">
        <f t="shared" ca="1" si="5"/>
        <v>35</v>
      </c>
      <c r="AA597" s="534" t="s">
        <v>3589</v>
      </c>
      <c r="AB597" s="516"/>
      <c r="AC597" s="516" t="s">
        <v>842</v>
      </c>
      <c r="AD597" s="516" t="s">
        <v>851</v>
      </c>
      <c r="AE597" s="534" t="s">
        <v>713</v>
      </c>
      <c r="AF597" s="566" t="s">
        <v>713</v>
      </c>
      <c r="AG597" s="552" t="s">
        <v>3591</v>
      </c>
      <c r="AH597" s="516"/>
      <c r="AI597" s="516"/>
      <c r="AJ597" s="516" t="s">
        <v>903</v>
      </c>
      <c r="AK597" s="516"/>
      <c r="AL597" s="544"/>
      <c r="AM597" s="544"/>
    </row>
    <row r="598" spans="3:39" ht="18" customHeight="1">
      <c r="C598" s="516">
        <v>578</v>
      </c>
      <c r="D598" s="516" t="s">
        <v>3592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/>
      <c r="S598" s="516"/>
      <c r="T598" s="516"/>
      <c r="U598" s="516" t="s">
        <v>874</v>
      </c>
      <c r="V598" s="538" t="s">
        <v>3593</v>
      </c>
      <c r="W598" s="541" t="s">
        <v>3594</v>
      </c>
      <c r="X598" s="516" t="s">
        <v>876</v>
      </c>
      <c r="Y598" s="542">
        <v>32267</v>
      </c>
      <c r="Z598" s="543">
        <f t="shared" ca="1" si="5"/>
        <v>37</v>
      </c>
      <c r="AA598" s="534" t="s">
        <v>3595</v>
      </c>
      <c r="AB598" s="516"/>
      <c r="AC598" s="516" t="s">
        <v>842</v>
      </c>
      <c r="AD598" s="516" t="s">
        <v>843</v>
      </c>
      <c r="AE598" s="534" t="s">
        <v>713</v>
      </c>
      <c r="AF598" s="566" t="s">
        <v>713</v>
      </c>
      <c r="AG598" s="552" t="s">
        <v>3591</v>
      </c>
      <c r="AH598" s="516"/>
      <c r="AI598" s="516" t="s">
        <v>3597</v>
      </c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3598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3599</v>
      </c>
      <c r="W599" s="541" t="s">
        <v>3600</v>
      </c>
      <c r="X599" s="516" t="s">
        <v>876</v>
      </c>
      <c r="Y599" s="542">
        <v>35591</v>
      </c>
      <c r="Z599" s="543">
        <f t="shared" ca="1" si="5"/>
        <v>28</v>
      </c>
      <c r="AA599" s="534" t="s">
        <v>3601</v>
      </c>
      <c r="AB599" s="516"/>
      <c r="AC599" s="516" t="s">
        <v>802</v>
      </c>
      <c r="AD599" s="516" t="s">
        <v>794</v>
      </c>
      <c r="AE599" s="534" t="s">
        <v>713</v>
      </c>
      <c r="AF599" s="566" t="s">
        <v>713</v>
      </c>
      <c r="AG599" s="552" t="s">
        <v>3591</v>
      </c>
      <c r="AH599" s="516"/>
      <c r="AI599" s="516"/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3603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 t="s">
        <v>308</v>
      </c>
      <c r="R600" s="516"/>
      <c r="S600" s="516"/>
      <c r="T600" s="516"/>
      <c r="U600" s="516" t="s">
        <v>874</v>
      </c>
      <c r="V600" s="538" t="s">
        <v>3604</v>
      </c>
      <c r="W600" s="541" t="s">
        <v>3605</v>
      </c>
      <c r="X600" s="516" t="s">
        <v>876</v>
      </c>
      <c r="Y600" s="542">
        <v>31113</v>
      </c>
      <c r="Z600" s="543">
        <f t="shared" ca="1" si="5"/>
        <v>40</v>
      </c>
      <c r="AA600" s="534" t="s">
        <v>3606</v>
      </c>
      <c r="AB600" s="516"/>
      <c r="AC600" s="516" t="s">
        <v>842</v>
      </c>
      <c r="AD600" s="516" t="s">
        <v>843</v>
      </c>
      <c r="AE600" s="534" t="s">
        <v>713</v>
      </c>
      <c r="AF600" s="566" t="s">
        <v>713</v>
      </c>
      <c r="AG600" s="552" t="s">
        <v>3608</v>
      </c>
      <c r="AH600" s="516"/>
      <c r="AI600" s="516"/>
      <c r="AJ600" s="565" t="s">
        <v>1087</v>
      </c>
      <c r="AK600" s="516"/>
      <c r="AL600" s="544"/>
      <c r="AM600" s="544"/>
    </row>
    <row r="601" spans="3:39" ht="18" customHeight="1">
      <c r="C601" s="516">
        <v>581</v>
      </c>
      <c r="D601" s="516" t="s">
        <v>3609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59" t="s">
        <v>2372</v>
      </c>
      <c r="Q601" s="539" t="s">
        <v>308</v>
      </c>
      <c r="R601" s="516"/>
      <c r="S601" s="516"/>
      <c r="T601" s="516"/>
      <c r="U601" s="516" t="s">
        <v>874</v>
      </c>
      <c r="V601" s="559" t="s">
        <v>3610</v>
      </c>
      <c r="W601" s="541" t="s">
        <v>3611</v>
      </c>
      <c r="X601" s="516" t="s">
        <v>876</v>
      </c>
      <c r="Y601" s="542">
        <v>30783</v>
      </c>
      <c r="Z601" s="543">
        <f t="shared" ca="1" si="5"/>
        <v>41</v>
      </c>
      <c r="AA601" s="534" t="s">
        <v>3612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34" t="s">
        <v>1906</v>
      </c>
      <c r="AH601" s="516"/>
      <c r="AI601" s="516"/>
      <c r="AJ601" s="593" t="s">
        <v>1604</v>
      </c>
      <c r="AK601" s="516"/>
      <c r="AL601" s="544"/>
      <c r="AM601" s="544"/>
    </row>
    <row r="602" spans="3:39" ht="18" customHeight="1">
      <c r="C602" s="516">
        <v>582</v>
      </c>
      <c r="D602" s="516" t="s">
        <v>3622</v>
      </c>
      <c r="E602" s="516">
        <f t="shared" ref="E602:E710" si="6">SUBTOTAL(103,$U$21:U602)</f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48" t="s">
        <v>2425</v>
      </c>
      <c r="Q602" s="539"/>
      <c r="R602" s="516" t="s">
        <v>62</v>
      </c>
      <c r="S602" s="516" t="s">
        <v>548</v>
      </c>
      <c r="T602" s="516"/>
      <c r="U602" s="516" t="s">
        <v>874</v>
      </c>
      <c r="V602" s="548" t="s">
        <v>3624</v>
      </c>
      <c r="W602" s="541" t="s">
        <v>3625</v>
      </c>
      <c r="X602" s="516" t="s">
        <v>876</v>
      </c>
      <c r="Y602" s="542">
        <v>21995</v>
      </c>
      <c r="Z602" s="543">
        <f t="shared" ca="1" si="5"/>
        <v>65</v>
      </c>
      <c r="AA602" s="534" t="s">
        <v>3626</v>
      </c>
      <c r="AB602" s="516"/>
      <c r="AC602" s="516" t="s">
        <v>802</v>
      </c>
      <c r="AD602" s="516" t="s">
        <v>794</v>
      </c>
      <c r="AE602" s="633" t="s">
        <v>1400</v>
      </c>
      <c r="AF602" s="534" t="s">
        <v>1400</v>
      </c>
      <c r="AG602" s="534" t="s">
        <v>3628</v>
      </c>
      <c r="AH602" s="516"/>
      <c r="AI602" s="516"/>
      <c r="AJ602" s="516" t="s">
        <v>903</v>
      </c>
      <c r="AK602" s="516"/>
      <c r="AL602" s="544"/>
      <c r="AM602" s="544"/>
    </row>
    <row r="603" spans="3:39" ht="18" customHeight="1">
      <c r="C603" s="516">
        <v>583</v>
      </c>
      <c r="D603" s="516" t="s">
        <v>3623</v>
      </c>
      <c r="E603" s="516">
        <f t="shared" si="6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38" t="s">
        <v>2425</v>
      </c>
      <c r="Q603" s="539"/>
      <c r="R603" s="516"/>
      <c r="S603" s="516"/>
      <c r="T603" s="516" t="s">
        <v>4216</v>
      </c>
      <c r="U603" s="516" t="s">
        <v>874</v>
      </c>
      <c r="V603" s="538" t="s">
        <v>3629</v>
      </c>
      <c r="W603" s="541" t="s">
        <v>3630</v>
      </c>
      <c r="X603" s="516" t="s">
        <v>876</v>
      </c>
      <c r="Y603" s="542">
        <v>28273</v>
      </c>
      <c r="Z603" s="543">
        <f t="shared" ca="1" si="5"/>
        <v>48</v>
      </c>
      <c r="AA603" s="534" t="s">
        <v>3631</v>
      </c>
      <c r="AB603" s="516"/>
      <c r="AC603" s="516" t="s">
        <v>842</v>
      </c>
      <c r="AD603" s="516" t="s">
        <v>851</v>
      </c>
      <c r="AE603" s="633" t="s">
        <v>1400</v>
      </c>
      <c r="AF603" s="534" t="s">
        <v>1400</v>
      </c>
      <c r="AG603" s="534" t="s">
        <v>3633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3634</v>
      </c>
      <c r="E604" s="516">
        <f t="shared" si="6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/>
      <c r="U604" s="516" t="s">
        <v>874</v>
      </c>
      <c r="V604" s="538" t="s">
        <v>3635</v>
      </c>
      <c r="W604" s="541" t="s">
        <v>3636</v>
      </c>
      <c r="X604" s="516" t="s">
        <v>876</v>
      </c>
      <c r="Y604" s="542">
        <v>31463</v>
      </c>
      <c r="Z604" s="543">
        <f t="shared" ca="1" si="5"/>
        <v>39</v>
      </c>
      <c r="AA604" s="534" t="s">
        <v>3637</v>
      </c>
      <c r="AB604" s="516"/>
      <c r="AC604" s="516" t="s">
        <v>842</v>
      </c>
      <c r="AD604" s="516" t="s">
        <v>851</v>
      </c>
      <c r="AE604" s="534" t="s">
        <v>713</v>
      </c>
      <c r="AF604" s="534" t="s">
        <v>713</v>
      </c>
      <c r="AG604" s="633" t="s">
        <v>1583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3639</v>
      </c>
      <c r="E605" s="516">
        <f t="shared" si="6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3640</v>
      </c>
      <c r="W605" s="541" t="s">
        <v>3641</v>
      </c>
      <c r="X605" s="516" t="s">
        <v>876</v>
      </c>
      <c r="Y605" s="542">
        <v>30230</v>
      </c>
      <c r="Z605" s="543">
        <f t="shared" ca="1" si="5"/>
        <v>43</v>
      </c>
      <c r="AA605" s="534" t="s">
        <v>3642</v>
      </c>
      <c r="AB605" s="516"/>
      <c r="AC605" s="516" t="s">
        <v>842</v>
      </c>
      <c r="AD605" s="516" t="s">
        <v>851</v>
      </c>
      <c r="AE605" s="633" t="s">
        <v>2208</v>
      </c>
      <c r="AF605" s="534" t="s">
        <v>2208</v>
      </c>
      <c r="AG605" s="534" t="s">
        <v>3644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3645</v>
      </c>
      <c r="E606" s="516">
        <f t="shared" si="6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3646</v>
      </c>
      <c r="W606" s="541" t="s">
        <v>3647</v>
      </c>
      <c r="X606" s="516" t="s">
        <v>876</v>
      </c>
      <c r="Y606" s="542">
        <v>32894</v>
      </c>
      <c r="Z606" s="543">
        <f t="shared" ca="1" si="5"/>
        <v>36</v>
      </c>
      <c r="AA606" s="534" t="s">
        <v>3648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3650</v>
      </c>
      <c r="E607" s="516">
        <f t="shared" si="6"/>
        <v>551</v>
      </c>
      <c r="F607" s="534" t="s">
        <v>981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59" t="s">
        <v>2425</v>
      </c>
      <c r="Q607" s="539" t="s">
        <v>4439</v>
      </c>
      <c r="R607" s="516"/>
      <c r="S607" s="516"/>
      <c r="T607" s="516"/>
      <c r="U607" s="516" t="s">
        <v>874</v>
      </c>
      <c r="V607" s="559" t="s">
        <v>3651</v>
      </c>
      <c r="W607" s="541" t="s">
        <v>3652</v>
      </c>
      <c r="X607" s="516" t="s">
        <v>876</v>
      </c>
      <c r="Y607" s="542">
        <v>25602</v>
      </c>
      <c r="Z607" s="543">
        <f t="shared" ca="1" si="5"/>
        <v>55</v>
      </c>
      <c r="AA607" s="534"/>
      <c r="AB607" s="516"/>
      <c r="AC607" s="516" t="s">
        <v>842</v>
      </c>
      <c r="AD607" s="516" t="s">
        <v>851</v>
      </c>
      <c r="AE607" s="534" t="s">
        <v>1400</v>
      </c>
      <c r="AF607" s="534" t="s">
        <v>1400</v>
      </c>
      <c r="AG607" s="534" t="s">
        <v>3654</v>
      </c>
      <c r="AH607" s="516"/>
      <c r="AI607" s="516"/>
      <c r="AJ607" s="516" t="s">
        <v>832</v>
      </c>
      <c r="AK607" s="516"/>
      <c r="AL607" s="544"/>
      <c r="AM607" s="544"/>
    </row>
    <row r="608" spans="3:39" ht="18" customHeight="1">
      <c r="C608" s="516">
        <v>588</v>
      </c>
      <c r="D608" s="516" t="s">
        <v>1679</v>
      </c>
      <c r="E608" s="516">
        <f t="shared" si="6"/>
        <v>551</v>
      </c>
      <c r="F608" s="534"/>
      <c r="G608" s="534" t="s">
        <v>3584</v>
      </c>
      <c r="H608" s="535" t="s">
        <v>1118</v>
      </c>
      <c r="I608" s="535" t="s">
        <v>73</v>
      </c>
      <c r="J608" s="535" t="s">
        <v>915</v>
      </c>
      <c r="K608" s="535" t="s">
        <v>1679</v>
      </c>
      <c r="L608" s="535" t="s">
        <v>3658</v>
      </c>
      <c r="M608" s="536"/>
      <c r="N608" s="537"/>
      <c r="O608" s="537"/>
      <c r="P608" s="548" t="s">
        <v>828</v>
      </c>
      <c r="Q608" s="539"/>
      <c r="R608" s="516" t="s">
        <v>49</v>
      </c>
      <c r="S608" s="516" t="s">
        <v>168</v>
      </c>
      <c r="T608" s="516"/>
      <c r="U608" s="516"/>
      <c r="V608" s="548" t="s">
        <v>278</v>
      </c>
      <c r="W608" s="541" t="s">
        <v>1680</v>
      </c>
      <c r="X608" s="516" t="s">
        <v>876</v>
      </c>
      <c r="Y608" s="542">
        <v>28944</v>
      </c>
      <c r="Z608" s="543">
        <f t="shared" ca="1" si="5"/>
        <v>46</v>
      </c>
      <c r="AA608" s="534" t="s">
        <v>1681</v>
      </c>
      <c r="AB608" s="516"/>
      <c r="AC608" s="516" t="s">
        <v>802</v>
      </c>
      <c r="AD608" s="516" t="s">
        <v>794</v>
      </c>
      <c r="AE608" s="534" t="s">
        <v>236</v>
      </c>
      <c r="AF608" s="534" t="s">
        <v>236</v>
      </c>
      <c r="AG608" s="534" t="s">
        <v>1683</v>
      </c>
      <c r="AH608" s="516" t="s">
        <v>872</v>
      </c>
      <c r="AI608" s="516"/>
      <c r="AJ608" s="516"/>
      <c r="AK608" s="516"/>
      <c r="AL608" s="544"/>
      <c r="AM608" s="544"/>
    </row>
    <row r="609" spans="3:39" ht="18" customHeight="1">
      <c r="C609" s="516">
        <v>589</v>
      </c>
      <c r="D609" s="516" t="s">
        <v>3658</v>
      </c>
      <c r="E609" s="516">
        <f t="shared" si="6"/>
        <v>552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38" t="s">
        <v>828</v>
      </c>
      <c r="Q609" s="539"/>
      <c r="R609" s="516" t="s">
        <v>62</v>
      </c>
      <c r="S609" s="516" t="s">
        <v>548</v>
      </c>
      <c r="T609" s="516"/>
      <c r="U609" s="516" t="s">
        <v>874</v>
      </c>
      <c r="V609" s="538" t="s">
        <v>595</v>
      </c>
      <c r="W609" s="541" t="s">
        <v>3660</v>
      </c>
      <c r="X609" s="516" t="s">
        <v>876</v>
      </c>
      <c r="Y609" s="542">
        <v>30933</v>
      </c>
      <c r="Z609" s="543">
        <f t="shared" ca="1" si="5"/>
        <v>41</v>
      </c>
      <c r="AA609" s="534" t="s">
        <v>3661</v>
      </c>
      <c r="AB609" s="516"/>
      <c r="AC609" s="516" t="s">
        <v>842</v>
      </c>
      <c r="AD609" s="516" t="s">
        <v>851</v>
      </c>
      <c r="AE609" s="534" t="s">
        <v>713</v>
      </c>
      <c r="AF609" s="566" t="s">
        <v>713</v>
      </c>
      <c r="AG609" s="534" t="s">
        <v>3663</v>
      </c>
      <c r="AH609" s="516"/>
      <c r="AI609" s="516"/>
      <c r="AJ609" s="516" t="s">
        <v>867</v>
      </c>
      <c r="AK609" s="516"/>
      <c r="AL609" s="544"/>
      <c r="AM609" s="544"/>
    </row>
    <row r="610" spans="3:39" ht="18" customHeight="1">
      <c r="C610" s="516">
        <v>590</v>
      </c>
      <c r="D610" s="516" t="s">
        <v>3664</v>
      </c>
      <c r="E610" s="516">
        <f t="shared" si="6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/>
      <c r="S610" s="516"/>
      <c r="T610" s="516"/>
      <c r="U610" s="516" t="s">
        <v>874</v>
      </c>
      <c r="V610" s="538" t="s">
        <v>614</v>
      </c>
      <c r="W610" s="541" t="s">
        <v>3665</v>
      </c>
      <c r="X610" s="516" t="s">
        <v>876</v>
      </c>
      <c r="Y610" s="542">
        <v>26339</v>
      </c>
      <c r="Z610" s="543">
        <f t="shared" ca="1" si="5"/>
        <v>53</v>
      </c>
      <c r="AA610" s="534" t="s">
        <v>3666</v>
      </c>
      <c r="AB610" s="516"/>
      <c r="AC610" s="516" t="s">
        <v>842</v>
      </c>
      <c r="AD610" s="516" t="s">
        <v>851</v>
      </c>
      <c r="AE610" s="534" t="s">
        <v>713</v>
      </c>
      <c r="AF610" s="566" t="s">
        <v>713</v>
      </c>
      <c r="AG610" s="534" t="s">
        <v>3668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3669</v>
      </c>
      <c r="E611" s="516">
        <f t="shared" si="6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632</v>
      </c>
      <c r="W611" s="541" t="s">
        <v>3670</v>
      </c>
      <c r="X611" s="516" t="s">
        <v>876</v>
      </c>
      <c r="Y611" s="542">
        <v>31788</v>
      </c>
      <c r="Z611" s="543">
        <f t="shared" ca="1" si="5"/>
        <v>39</v>
      </c>
      <c r="AA611" s="534" t="s">
        <v>3671</v>
      </c>
      <c r="AB611" s="516"/>
      <c r="AC611" s="516" t="s">
        <v>842</v>
      </c>
      <c r="AD611" s="516" t="s">
        <v>851</v>
      </c>
      <c r="AE611" s="534" t="s">
        <v>713</v>
      </c>
      <c r="AF611" s="566" t="s">
        <v>713</v>
      </c>
      <c r="AG611" s="534" t="s">
        <v>3672</v>
      </c>
      <c r="AH611" s="516" t="s">
        <v>1571</v>
      </c>
      <c r="AI611" s="634" t="s">
        <v>4214</v>
      </c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3674</v>
      </c>
      <c r="E612" s="516">
        <f t="shared" si="6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3675</v>
      </c>
      <c r="W612" s="541" t="s">
        <v>3676</v>
      </c>
      <c r="X612" s="516" t="s">
        <v>876</v>
      </c>
      <c r="Y612" s="542">
        <v>21929</v>
      </c>
      <c r="Z612" s="543">
        <f t="shared" ca="1" si="5"/>
        <v>66</v>
      </c>
      <c r="AA612" s="534" t="s">
        <v>3677</v>
      </c>
      <c r="AB612" s="516"/>
      <c r="AC612" s="516" t="s">
        <v>842</v>
      </c>
      <c r="AD612" s="516" t="s">
        <v>843</v>
      </c>
      <c r="AE612" s="534" t="s">
        <v>713</v>
      </c>
      <c r="AF612" s="534" t="s">
        <v>713</v>
      </c>
      <c r="AG612" s="534" t="s">
        <v>3678</v>
      </c>
      <c r="AH612" s="516"/>
      <c r="AI612" s="516" t="s">
        <v>866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3679</v>
      </c>
      <c r="E613" s="516">
        <f t="shared" si="6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59" t="s">
        <v>828</v>
      </c>
      <c r="Q613" s="539"/>
      <c r="R613" s="516"/>
      <c r="S613" s="516"/>
      <c r="T613" s="516"/>
      <c r="U613" s="516" t="s">
        <v>874</v>
      </c>
      <c r="V613" s="559" t="s">
        <v>3680</v>
      </c>
      <c r="W613" s="541" t="s">
        <v>3681</v>
      </c>
      <c r="X613" s="516" t="s">
        <v>876</v>
      </c>
      <c r="Y613" s="542">
        <v>32411</v>
      </c>
      <c r="Z613" s="543">
        <f t="shared" ca="1" si="5"/>
        <v>37</v>
      </c>
      <c r="AA613" s="534" t="s">
        <v>3682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1294</v>
      </c>
      <c r="AH613" s="516"/>
      <c r="AI613" s="516" t="s">
        <v>866</v>
      </c>
      <c r="AJ613" s="516" t="s">
        <v>976</v>
      </c>
      <c r="AK613" s="516"/>
      <c r="AL613" s="544"/>
      <c r="AM613" s="544"/>
    </row>
    <row r="614" spans="3:39" ht="18" customHeight="1">
      <c r="C614" s="516">
        <v>594</v>
      </c>
      <c r="D614" s="516" t="s">
        <v>3683</v>
      </c>
      <c r="E614" s="516">
        <f t="shared" si="6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1186</v>
      </c>
      <c r="L614" s="535" t="s">
        <v>3683</v>
      </c>
      <c r="M614" s="536"/>
      <c r="N614" s="537"/>
      <c r="O614" s="537"/>
      <c r="P614" s="548" t="s">
        <v>938</v>
      </c>
      <c r="Q614" s="539"/>
      <c r="R614" s="516" t="s">
        <v>49</v>
      </c>
      <c r="S614" s="516" t="s">
        <v>168</v>
      </c>
      <c r="T614" s="516"/>
      <c r="U614" s="516" t="s">
        <v>874</v>
      </c>
      <c r="V614" s="548" t="s">
        <v>3685</v>
      </c>
      <c r="W614" s="541" t="s">
        <v>3686</v>
      </c>
      <c r="X614" s="516" t="s">
        <v>876</v>
      </c>
      <c r="Y614" s="542">
        <v>33871</v>
      </c>
      <c r="Z614" s="543">
        <f t="shared" ca="1" si="5"/>
        <v>33</v>
      </c>
      <c r="AA614" s="534" t="s">
        <v>3687</v>
      </c>
      <c r="AB614" s="516" t="s">
        <v>3688</v>
      </c>
      <c r="AC614" s="516" t="s">
        <v>842</v>
      </c>
      <c r="AD614" s="516" t="s">
        <v>851</v>
      </c>
      <c r="AE614" s="534" t="s">
        <v>1256</v>
      </c>
      <c r="AF614" s="534" t="s">
        <v>1256</v>
      </c>
      <c r="AG614" s="534"/>
      <c r="AH614" s="516"/>
      <c r="AI614" s="516"/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3684</v>
      </c>
      <c r="E615" s="516">
        <f t="shared" si="6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38" t="s">
        <v>938</v>
      </c>
      <c r="Q615" s="539"/>
      <c r="R615" s="516" t="s">
        <v>62</v>
      </c>
      <c r="S615" s="516" t="s">
        <v>548</v>
      </c>
      <c r="T615" s="516"/>
      <c r="U615" s="516" t="s">
        <v>874</v>
      </c>
      <c r="V615" s="538" t="s">
        <v>596</v>
      </c>
      <c r="W615" s="541" t="s">
        <v>3689</v>
      </c>
      <c r="X615" s="516" t="s">
        <v>876</v>
      </c>
      <c r="Y615" s="542">
        <v>35425</v>
      </c>
      <c r="Z615" s="543">
        <f t="shared" ca="1" si="5"/>
        <v>29</v>
      </c>
      <c r="AA615" s="534" t="s">
        <v>3690</v>
      </c>
      <c r="AB615" s="516"/>
      <c r="AC615" s="516" t="s">
        <v>842</v>
      </c>
      <c r="AD615" s="516" t="s">
        <v>851</v>
      </c>
      <c r="AE615" s="534" t="s">
        <v>713</v>
      </c>
      <c r="AF615" s="566" t="s">
        <v>713</v>
      </c>
      <c r="AG615" s="534" t="s">
        <v>3692</v>
      </c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3693</v>
      </c>
      <c r="E616" s="516">
        <f t="shared" si="6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/>
      <c r="S616" s="516"/>
      <c r="T616" s="516"/>
      <c r="U616" s="516" t="s">
        <v>874</v>
      </c>
      <c r="V616" s="538" t="s">
        <v>615</v>
      </c>
      <c r="W616" s="541" t="s">
        <v>3694</v>
      </c>
      <c r="X616" s="516" t="s">
        <v>876</v>
      </c>
      <c r="Y616" s="542">
        <v>35131</v>
      </c>
      <c r="Z616" s="543">
        <f t="shared" ca="1" si="5"/>
        <v>29</v>
      </c>
      <c r="AA616" s="534" t="s">
        <v>3695</v>
      </c>
      <c r="AB616" s="516"/>
      <c r="AC616" s="516" t="s">
        <v>842</v>
      </c>
      <c r="AD616" s="516" t="s">
        <v>851</v>
      </c>
      <c r="AE616" s="534" t="s">
        <v>1256</v>
      </c>
      <c r="AF616" s="534" t="s">
        <v>1256</v>
      </c>
      <c r="AG616" s="534" t="s">
        <v>2768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3697</v>
      </c>
      <c r="E617" s="516">
        <f t="shared" si="6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633</v>
      </c>
      <c r="W617" s="541" t="s">
        <v>3698</v>
      </c>
      <c r="X617" s="516" t="s">
        <v>876</v>
      </c>
      <c r="Y617" s="542">
        <v>31175</v>
      </c>
      <c r="Z617" s="543">
        <f t="shared" ca="1" si="5"/>
        <v>40</v>
      </c>
      <c r="AA617" s="534" t="s">
        <v>3699</v>
      </c>
      <c r="AB617" s="516"/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3701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3702</v>
      </c>
      <c r="E618" s="516">
        <f t="shared" si="6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652</v>
      </c>
      <c r="W618" s="541" t="s">
        <v>3703</v>
      </c>
      <c r="X618" s="516" t="s">
        <v>876</v>
      </c>
      <c r="Y618" s="542">
        <v>31279</v>
      </c>
      <c r="Z618" s="543">
        <f t="shared" ca="1" si="5"/>
        <v>40</v>
      </c>
      <c r="AA618" s="534" t="s">
        <v>3704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3705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3706</v>
      </c>
      <c r="E619" s="516">
        <f t="shared" si="6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670</v>
      </c>
      <c r="W619" s="541" t="s">
        <v>3707</v>
      </c>
      <c r="X619" s="516" t="s">
        <v>876</v>
      </c>
      <c r="Y619" s="542">
        <v>34479</v>
      </c>
      <c r="Z619" s="543">
        <f t="shared" ca="1" si="5"/>
        <v>31</v>
      </c>
      <c r="AA619" s="534" t="s">
        <v>3708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3692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3710</v>
      </c>
      <c r="E620" s="516">
        <f t="shared" si="6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59" t="s">
        <v>938</v>
      </c>
      <c r="Q620" s="539"/>
      <c r="R620" s="516"/>
      <c r="S620" s="516"/>
      <c r="T620" s="516"/>
      <c r="U620" s="516" t="s">
        <v>874</v>
      </c>
      <c r="V620" s="559" t="s">
        <v>684</v>
      </c>
      <c r="W620" s="541" t="s">
        <v>3711</v>
      </c>
      <c r="X620" s="516" t="s">
        <v>876</v>
      </c>
      <c r="Y620" s="542" t="s">
        <v>3712</v>
      </c>
      <c r="Z620" s="543">
        <f t="shared" ca="1" si="5"/>
        <v>25</v>
      </c>
      <c r="AA620" s="534" t="s">
        <v>3713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3715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1194</v>
      </c>
      <c r="E621" s="516">
        <f t="shared" si="6"/>
        <v>563</v>
      </c>
      <c r="F621" s="534"/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1194</v>
      </c>
      <c r="L621" s="535" t="s">
        <v>3716</v>
      </c>
      <c r="M621" s="536"/>
      <c r="N621" s="537"/>
      <c r="O621" s="537"/>
      <c r="P621" s="548" t="s">
        <v>978</v>
      </c>
      <c r="Q621" s="539"/>
      <c r="R621" s="516" t="s">
        <v>49</v>
      </c>
      <c r="S621" s="516" t="s">
        <v>168</v>
      </c>
      <c r="T621" s="516"/>
      <c r="U621" s="516"/>
      <c r="V621" s="548" t="s">
        <v>294</v>
      </c>
      <c r="W621" s="541" t="s">
        <v>1195</v>
      </c>
      <c r="X621" s="516" t="s">
        <v>876</v>
      </c>
      <c r="Y621" s="542">
        <v>25307</v>
      </c>
      <c r="Z621" s="543">
        <f t="shared" ca="1" si="5"/>
        <v>56</v>
      </c>
      <c r="AA621" s="534" t="s">
        <v>1196</v>
      </c>
      <c r="AB621" s="516"/>
      <c r="AC621" s="516" t="s">
        <v>802</v>
      </c>
      <c r="AD621" s="516" t="s">
        <v>794</v>
      </c>
      <c r="AE621" s="534" t="s">
        <v>713</v>
      </c>
      <c r="AF621" s="534" t="s">
        <v>1163</v>
      </c>
      <c r="AG621" s="534" t="s">
        <v>1164</v>
      </c>
      <c r="AH621" s="516" t="s">
        <v>872</v>
      </c>
      <c r="AI621" s="516"/>
      <c r="AJ621" s="516"/>
      <c r="AK621" s="516"/>
      <c r="AL621" s="544"/>
      <c r="AM621" s="544"/>
    </row>
    <row r="622" spans="3:39" ht="18" customHeight="1">
      <c r="C622" s="516">
        <v>602</v>
      </c>
      <c r="D622" s="516" t="s">
        <v>3716</v>
      </c>
      <c r="E622" s="516">
        <f t="shared" si="6"/>
        <v>564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38" t="s">
        <v>978</v>
      </c>
      <c r="Q622" s="539" t="s">
        <v>308</v>
      </c>
      <c r="R622" s="516" t="s">
        <v>62</v>
      </c>
      <c r="S622" s="516" t="s">
        <v>548</v>
      </c>
      <c r="T622" s="516"/>
      <c r="U622" s="516" t="s">
        <v>874</v>
      </c>
      <c r="V622" s="538" t="s">
        <v>597</v>
      </c>
      <c r="W622" s="541" t="s">
        <v>3718</v>
      </c>
      <c r="X622" s="516" t="s">
        <v>876</v>
      </c>
      <c r="Y622" s="542">
        <v>27337</v>
      </c>
      <c r="Z622" s="543">
        <f t="shared" ca="1" si="5"/>
        <v>51</v>
      </c>
      <c r="AA622" s="534" t="s">
        <v>3719</v>
      </c>
      <c r="AB622" s="516"/>
      <c r="AC622" s="516" t="s">
        <v>842</v>
      </c>
      <c r="AD622" s="516" t="s">
        <v>851</v>
      </c>
      <c r="AE622" s="534" t="s">
        <v>815</v>
      </c>
      <c r="AF622" s="606" t="s">
        <v>815</v>
      </c>
      <c r="AG622" s="534" t="s">
        <v>1352</v>
      </c>
      <c r="AH622" s="516"/>
      <c r="AI622" s="516"/>
      <c r="AJ622" s="516" t="s">
        <v>971</v>
      </c>
      <c r="AK622" s="516"/>
      <c r="AL622" s="544"/>
      <c r="AM622" s="544"/>
    </row>
    <row r="623" spans="3:39" ht="18" customHeight="1">
      <c r="C623" s="516">
        <v>603</v>
      </c>
      <c r="D623" s="516" t="s">
        <v>3721</v>
      </c>
      <c r="E623" s="516">
        <f t="shared" si="6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/>
      <c r="S623" s="516"/>
      <c r="T623" s="516"/>
      <c r="U623" s="516" t="s">
        <v>874</v>
      </c>
      <c r="V623" s="538" t="s">
        <v>616</v>
      </c>
      <c r="W623" s="541" t="s">
        <v>3722</v>
      </c>
      <c r="X623" s="516" t="s">
        <v>876</v>
      </c>
      <c r="Y623" s="542">
        <v>26046</v>
      </c>
      <c r="Z623" s="543">
        <f t="shared" ca="1" si="5"/>
        <v>54</v>
      </c>
      <c r="AA623" s="534" t="s">
        <v>3723</v>
      </c>
      <c r="AB623" s="516"/>
      <c r="AC623" s="516" t="s">
        <v>842</v>
      </c>
      <c r="AD623" s="516" t="s">
        <v>843</v>
      </c>
      <c r="AE623" s="534" t="s">
        <v>713</v>
      </c>
      <c r="AF623" s="566" t="s">
        <v>713</v>
      </c>
      <c r="AG623" s="534" t="s">
        <v>3724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3725</v>
      </c>
      <c r="E624" s="516">
        <f t="shared" si="6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634</v>
      </c>
      <c r="W624" s="541" t="s">
        <v>3726</v>
      </c>
      <c r="X624" s="516" t="s">
        <v>876</v>
      </c>
      <c r="Y624" s="542">
        <v>26397</v>
      </c>
      <c r="Z624" s="543">
        <f t="shared" ca="1" si="5"/>
        <v>53</v>
      </c>
      <c r="AA624" s="534" t="s">
        <v>3727</v>
      </c>
      <c r="AB624" s="516"/>
      <c r="AC624" s="516" t="s">
        <v>842</v>
      </c>
      <c r="AD624" s="516" t="s">
        <v>851</v>
      </c>
      <c r="AE624" s="534" t="s">
        <v>713</v>
      </c>
      <c r="AF624" s="606" t="s">
        <v>815</v>
      </c>
      <c r="AG624" s="534" t="s">
        <v>3729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3730</v>
      </c>
      <c r="E625" s="516">
        <f t="shared" si="6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653</v>
      </c>
      <c r="W625" s="541" t="s">
        <v>3731</v>
      </c>
      <c r="X625" s="516" t="s">
        <v>876</v>
      </c>
      <c r="Y625" s="542">
        <v>26636</v>
      </c>
      <c r="Z625" s="543">
        <f t="shared" ca="1" si="5"/>
        <v>53</v>
      </c>
      <c r="AA625" s="534" t="s">
        <v>3732</v>
      </c>
      <c r="AB625" s="516"/>
      <c r="AC625" s="516" t="s">
        <v>842</v>
      </c>
      <c r="AD625" s="516" t="s">
        <v>843</v>
      </c>
      <c r="AE625" s="534" t="s">
        <v>713</v>
      </c>
      <c r="AF625" s="534" t="s">
        <v>713</v>
      </c>
      <c r="AG625" s="534" t="s">
        <v>3734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3735</v>
      </c>
      <c r="E626" s="516">
        <f t="shared" si="6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685</v>
      </c>
      <c r="W626" s="541" t="s">
        <v>3736</v>
      </c>
      <c r="X626" s="516" t="s">
        <v>876</v>
      </c>
      <c r="Y626" s="542">
        <v>27745</v>
      </c>
      <c r="Z626" s="543">
        <f t="shared" ca="1" si="5"/>
        <v>50</v>
      </c>
      <c r="AA626" s="534" t="s">
        <v>3737</v>
      </c>
      <c r="AB626" s="516"/>
      <c r="AC626" s="516" t="s">
        <v>842</v>
      </c>
      <c r="AD626" s="516" t="s">
        <v>843</v>
      </c>
      <c r="AE626" s="534" t="s">
        <v>2208</v>
      </c>
      <c r="AF626" s="534" t="s">
        <v>2208</v>
      </c>
      <c r="AG626" s="534" t="s">
        <v>3739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3740</v>
      </c>
      <c r="E627" s="516">
        <f t="shared" si="6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694</v>
      </c>
      <c r="W627" s="541" t="s">
        <v>3741</v>
      </c>
      <c r="X627" s="516" t="s">
        <v>876</v>
      </c>
      <c r="Y627" s="542">
        <v>28463</v>
      </c>
      <c r="Z627" s="543">
        <f t="shared" ca="1" si="5"/>
        <v>48</v>
      </c>
      <c r="AA627" s="534" t="s">
        <v>3742</v>
      </c>
      <c r="AB627" s="516"/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3744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3745</v>
      </c>
      <c r="E628" s="516">
        <f t="shared" si="6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3746</v>
      </c>
      <c r="W628" s="541" t="s">
        <v>3747</v>
      </c>
      <c r="X628" s="516" t="s">
        <v>876</v>
      </c>
      <c r="Y628" s="542">
        <v>29857</v>
      </c>
      <c r="Z628" s="543">
        <f t="shared" ca="1" si="5"/>
        <v>44</v>
      </c>
      <c r="AA628" s="534" t="s">
        <v>3748</v>
      </c>
      <c r="AB628" s="516"/>
      <c r="AC628" s="516" t="s">
        <v>842</v>
      </c>
      <c r="AD628" s="516" t="s">
        <v>851</v>
      </c>
      <c r="AE628" s="534" t="s">
        <v>236</v>
      </c>
      <c r="AF628" s="534" t="s">
        <v>236</v>
      </c>
      <c r="AG628" s="534" t="s">
        <v>1597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3750</v>
      </c>
      <c r="E629" s="516">
        <f t="shared" si="6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3751</v>
      </c>
      <c r="W629" s="541" t="s">
        <v>3752</v>
      </c>
      <c r="X629" s="516" t="s">
        <v>876</v>
      </c>
      <c r="Y629" s="542">
        <v>30123</v>
      </c>
      <c r="Z629" s="543">
        <f t="shared" ca="1" si="5"/>
        <v>43</v>
      </c>
      <c r="AA629" s="534" t="s">
        <v>3753</v>
      </c>
      <c r="AB629" s="516"/>
      <c r="AC629" s="516" t="s">
        <v>842</v>
      </c>
      <c r="AD629" s="516" t="s">
        <v>843</v>
      </c>
      <c r="AE629" s="534" t="s">
        <v>713</v>
      </c>
      <c r="AF629" s="566" t="s">
        <v>713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3755</v>
      </c>
      <c r="E630" s="516">
        <f t="shared" si="6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59" t="s">
        <v>978</v>
      </c>
      <c r="Q630" s="539" t="s">
        <v>308</v>
      </c>
      <c r="R630" s="516"/>
      <c r="S630" s="516"/>
      <c r="T630" s="516"/>
      <c r="U630" s="516" t="s">
        <v>874</v>
      </c>
      <c r="V630" s="559" t="s">
        <v>3756</v>
      </c>
      <c r="W630" s="541" t="s">
        <v>3757</v>
      </c>
      <c r="X630" s="516" t="s">
        <v>876</v>
      </c>
      <c r="Y630" s="542">
        <v>30594</v>
      </c>
      <c r="Z630" s="543">
        <f t="shared" ca="1" si="5"/>
        <v>42</v>
      </c>
      <c r="AA630" s="534" t="s">
        <v>3758</v>
      </c>
      <c r="AB630" s="516"/>
      <c r="AC630" s="516" t="s">
        <v>842</v>
      </c>
      <c r="AD630" s="516" t="s">
        <v>851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3760</v>
      </c>
      <c r="E631" s="516">
        <f t="shared" si="6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3760</v>
      </c>
      <c r="L631" s="535" t="s">
        <v>3761</v>
      </c>
      <c r="M631" s="536"/>
      <c r="N631" s="537"/>
      <c r="O631" s="537"/>
      <c r="P631" s="548" t="s">
        <v>1011</v>
      </c>
      <c r="Q631" s="539"/>
      <c r="R631" s="516" t="s">
        <v>49</v>
      </c>
      <c r="S631" s="516" t="s">
        <v>168</v>
      </c>
      <c r="T631" s="516"/>
      <c r="U631" s="516" t="s">
        <v>874</v>
      </c>
      <c r="V631" s="548" t="s">
        <v>590</v>
      </c>
      <c r="W631" s="541" t="s">
        <v>3762</v>
      </c>
      <c r="X631" s="516" t="s">
        <v>876</v>
      </c>
      <c r="Y631" s="542">
        <v>21524</v>
      </c>
      <c r="Z631" s="543">
        <f t="shared" ca="1" si="5"/>
        <v>67</v>
      </c>
      <c r="AA631" s="534" t="s">
        <v>3763</v>
      </c>
      <c r="AB631" s="516" t="s">
        <v>3764</v>
      </c>
      <c r="AC631" s="516" t="s">
        <v>802</v>
      </c>
      <c r="AD631" s="516" t="s">
        <v>794</v>
      </c>
      <c r="AE631" s="534" t="s">
        <v>713</v>
      </c>
      <c r="AF631" s="566" t="s">
        <v>713</v>
      </c>
      <c r="AG631" s="534" t="s">
        <v>3765</v>
      </c>
      <c r="AH631" s="516"/>
      <c r="AI631" s="516"/>
      <c r="AJ631" s="516" t="s">
        <v>867</v>
      </c>
      <c r="AK631" s="516"/>
      <c r="AL631" s="544"/>
      <c r="AM631" s="544"/>
    </row>
    <row r="632" spans="3:39" ht="18" customHeight="1">
      <c r="C632" s="516">
        <v>612</v>
      </c>
      <c r="D632" s="516" t="s">
        <v>3761</v>
      </c>
      <c r="E632" s="516">
        <f t="shared" si="6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38" t="s">
        <v>1011</v>
      </c>
      <c r="Q632" s="539" t="s">
        <v>308</v>
      </c>
      <c r="R632" s="516"/>
      <c r="S632" s="516"/>
      <c r="T632" s="516"/>
      <c r="U632" s="516" t="s">
        <v>874</v>
      </c>
      <c r="V632" s="538" t="s">
        <v>617</v>
      </c>
      <c r="W632" s="541" t="s">
        <v>3766</v>
      </c>
      <c r="X632" s="516" t="s">
        <v>876</v>
      </c>
      <c r="Y632" s="542">
        <v>25485</v>
      </c>
      <c r="Z632" s="543">
        <f t="shared" ca="1" si="5"/>
        <v>56</v>
      </c>
      <c r="AA632" s="534" t="s">
        <v>3767</v>
      </c>
      <c r="AB632" s="516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1427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614</v>
      </c>
      <c r="D633" s="516" t="s">
        <v>3769</v>
      </c>
      <c r="E633" s="516">
        <f t="shared" si="6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598</v>
      </c>
      <c r="W633" s="541" t="s">
        <v>3770</v>
      </c>
      <c r="X633" s="516" t="s">
        <v>876</v>
      </c>
      <c r="Y633" s="542">
        <v>21286</v>
      </c>
      <c r="Z633" s="543">
        <f t="shared" ca="1" si="5"/>
        <v>67</v>
      </c>
      <c r="AA633" s="534" t="s">
        <v>3771</v>
      </c>
      <c r="AB633" s="516"/>
      <c r="AC633" s="516" t="s">
        <v>842</v>
      </c>
      <c r="AD633" s="516" t="s">
        <v>851</v>
      </c>
      <c r="AE633" s="534" t="s">
        <v>713</v>
      </c>
      <c r="AF633" s="566" t="s">
        <v>713</v>
      </c>
      <c r="AG633" s="534" t="s">
        <v>741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3773</v>
      </c>
      <c r="E634" s="516">
        <f t="shared" si="6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59" t="s">
        <v>1011</v>
      </c>
      <c r="Q634" s="539" t="s">
        <v>308</v>
      </c>
      <c r="R634" s="516"/>
      <c r="S634" s="516"/>
      <c r="T634" s="516"/>
      <c r="U634" s="516" t="s">
        <v>874</v>
      </c>
      <c r="V634" s="559" t="s">
        <v>635</v>
      </c>
      <c r="W634" s="541" t="s">
        <v>3774</v>
      </c>
      <c r="X634" s="516" t="s">
        <v>876</v>
      </c>
      <c r="Y634" s="542">
        <v>26525</v>
      </c>
      <c r="Z634" s="543">
        <f t="shared" ca="1" si="5"/>
        <v>53</v>
      </c>
      <c r="AA634" s="534" t="s">
        <v>3775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3777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1178</v>
      </c>
      <c r="E635" s="516">
        <f t="shared" si="6"/>
        <v>576</v>
      </c>
      <c r="F635" s="534"/>
      <c r="G635" s="534" t="s">
        <v>3796</v>
      </c>
      <c r="H635" s="535" t="s">
        <v>1106</v>
      </c>
      <c r="I635" s="535" t="s">
        <v>243</v>
      </c>
      <c r="J635" s="535" t="s">
        <v>1178</v>
      </c>
      <c r="K635" s="535" t="s">
        <v>1178</v>
      </c>
      <c r="L635" s="535" t="s">
        <v>3797</v>
      </c>
      <c r="M635" s="536"/>
      <c r="N635" s="537"/>
      <c r="O635" s="537"/>
      <c r="P635" s="548" t="s">
        <v>1041</v>
      </c>
      <c r="Q635" s="539"/>
      <c r="R635" s="516" t="s">
        <v>163</v>
      </c>
      <c r="S635" s="516" t="s">
        <v>500</v>
      </c>
      <c r="T635" s="516"/>
      <c r="U635" s="516"/>
      <c r="V635" s="548" t="s">
        <v>243</v>
      </c>
      <c r="W635" s="541" t="s">
        <v>3799</v>
      </c>
      <c r="X635" s="516" t="s">
        <v>876</v>
      </c>
      <c r="Y635" s="542">
        <v>20283</v>
      </c>
      <c r="Z635" s="543">
        <f t="shared" ca="1" si="5"/>
        <v>70</v>
      </c>
      <c r="AA635" s="534" t="s">
        <v>1180</v>
      </c>
      <c r="AB635" s="516"/>
      <c r="AC635" s="516" t="s">
        <v>802</v>
      </c>
      <c r="AD635" s="516" t="s">
        <v>794</v>
      </c>
      <c r="AE635" s="534" t="s">
        <v>713</v>
      </c>
      <c r="AF635" s="534" t="s">
        <v>1163</v>
      </c>
      <c r="AG635" s="534" t="s">
        <v>1164</v>
      </c>
      <c r="AH635" s="516" t="s">
        <v>872</v>
      </c>
      <c r="AI635" s="516"/>
      <c r="AJ635" s="516"/>
      <c r="AK635" s="516"/>
      <c r="AL635" s="544"/>
      <c r="AM635" s="544"/>
    </row>
    <row r="636" spans="3:39" ht="18" customHeight="1">
      <c r="C636" s="516">
        <v>616</v>
      </c>
      <c r="D636" s="516" t="s">
        <v>3797</v>
      </c>
      <c r="E636" s="516">
        <f t="shared" si="6"/>
        <v>577</v>
      </c>
      <c r="F636" s="534" t="s">
        <v>811</v>
      </c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38" t="s">
        <v>1041</v>
      </c>
      <c r="Q636" s="539" t="s">
        <v>308</v>
      </c>
      <c r="R636" s="516" t="s">
        <v>62</v>
      </c>
      <c r="S636" s="516" t="s">
        <v>548</v>
      </c>
      <c r="T636" s="516"/>
      <c r="U636" s="516" t="s">
        <v>874</v>
      </c>
      <c r="V636" s="538" t="s">
        <v>599</v>
      </c>
      <c r="W636" s="541" t="s">
        <v>3800</v>
      </c>
      <c r="X636" s="516" t="s">
        <v>876</v>
      </c>
      <c r="Y636" s="542">
        <v>26069</v>
      </c>
      <c r="Z636" s="543">
        <f t="shared" ref="Z636:Z710" ca="1" si="7">DATEDIF(Y636,TODAY(),"Y")</f>
        <v>54</v>
      </c>
      <c r="AA636" s="534" t="s">
        <v>3801</v>
      </c>
      <c r="AB636" s="516"/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66" t="s">
        <v>1313</v>
      </c>
      <c r="AH636" s="516"/>
      <c r="AI636" s="516"/>
      <c r="AJ636" s="516" t="s">
        <v>1497</v>
      </c>
      <c r="AK636" s="516"/>
      <c r="AL636" s="544"/>
      <c r="AM636" s="544"/>
    </row>
    <row r="637" spans="3:39" ht="18" customHeight="1">
      <c r="C637" s="516">
        <v>617</v>
      </c>
      <c r="D637" s="516" t="s">
        <v>3803</v>
      </c>
      <c r="E637" s="516">
        <f t="shared" si="6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/>
      <c r="S637" s="516"/>
      <c r="T637" s="516"/>
      <c r="U637" s="516" t="s">
        <v>874</v>
      </c>
      <c r="V637" s="538" t="s">
        <v>618</v>
      </c>
      <c r="W637" s="541" t="s">
        <v>3804</v>
      </c>
      <c r="X637" s="516" t="s">
        <v>876</v>
      </c>
      <c r="Y637" s="542">
        <v>21767</v>
      </c>
      <c r="Z637" s="543">
        <f t="shared" ca="1" si="7"/>
        <v>66</v>
      </c>
      <c r="AA637" s="534" t="s">
        <v>3805</v>
      </c>
      <c r="AB637" s="516"/>
      <c r="AC637" s="516" t="s">
        <v>842</v>
      </c>
      <c r="AD637" s="516" t="s">
        <v>851</v>
      </c>
      <c r="AE637" s="534" t="s">
        <v>713</v>
      </c>
      <c r="AF637" s="566" t="s">
        <v>713</v>
      </c>
      <c r="AG637" s="534" t="s">
        <v>1229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3807</v>
      </c>
      <c r="E638" s="516">
        <f t="shared" si="6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636</v>
      </c>
      <c r="W638" s="541" t="s">
        <v>3808</v>
      </c>
      <c r="X638" s="516" t="s">
        <v>876</v>
      </c>
      <c r="Y638" s="542">
        <v>21805</v>
      </c>
      <c r="Z638" s="543">
        <f t="shared" ca="1" si="7"/>
        <v>66</v>
      </c>
      <c r="AA638" s="534" t="s">
        <v>3809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66" t="s">
        <v>1313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3811</v>
      </c>
      <c r="E639" s="516">
        <f t="shared" si="6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655</v>
      </c>
      <c r="W639" s="541" t="s">
        <v>3812</v>
      </c>
      <c r="X639" s="516" t="s">
        <v>876</v>
      </c>
      <c r="Y639" s="542">
        <v>22122</v>
      </c>
      <c r="Z639" s="543">
        <f t="shared" ca="1" si="7"/>
        <v>65</v>
      </c>
      <c r="AA639" s="534" t="s">
        <v>3813</v>
      </c>
      <c r="AB639" s="516"/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1431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3815</v>
      </c>
      <c r="E640" s="516">
        <f t="shared" si="6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672</v>
      </c>
      <c r="W640" s="541" t="s">
        <v>3816</v>
      </c>
      <c r="X640" s="516" t="s">
        <v>876</v>
      </c>
      <c r="Y640" s="542">
        <v>23390</v>
      </c>
      <c r="Z640" s="543">
        <f t="shared" ca="1" si="7"/>
        <v>62</v>
      </c>
      <c r="AA640" s="534" t="s">
        <v>3817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1361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3798</v>
      </c>
      <c r="E641" s="516">
        <f t="shared" si="6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687</v>
      </c>
      <c r="W641" s="541" t="s">
        <v>3819</v>
      </c>
      <c r="X641" s="516" t="s">
        <v>876</v>
      </c>
      <c r="Y641" s="542">
        <v>26671</v>
      </c>
      <c r="Z641" s="543">
        <f t="shared" ca="1" si="7"/>
        <v>53</v>
      </c>
      <c r="AA641" s="534" t="s">
        <v>3820</v>
      </c>
      <c r="AB641" s="516"/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66" t="s">
        <v>1313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3822</v>
      </c>
      <c r="E642" s="516">
        <f t="shared" si="6"/>
        <v>583</v>
      </c>
      <c r="F642" s="534" t="s">
        <v>1310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3823</v>
      </c>
      <c r="W642" s="541" t="s">
        <v>3824</v>
      </c>
      <c r="X642" s="516" t="s">
        <v>876</v>
      </c>
      <c r="Y642" s="542">
        <v>23348</v>
      </c>
      <c r="Z642" s="543">
        <f t="shared" ca="1" si="7"/>
        <v>62</v>
      </c>
      <c r="AA642" s="534" t="s">
        <v>3825</v>
      </c>
      <c r="AB642" s="516"/>
      <c r="AC642" s="516" t="s">
        <v>842</v>
      </c>
      <c r="AD642" s="516" t="s">
        <v>843</v>
      </c>
      <c r="AE642" s="534" t="s">
        <v>713</v>
      </c>
      <c r="AF642" s="534" t="s">
        <v>713</v>
      </c>
      <c r="AG642" s="566" t="s">
        <v>1313</v>
      </c>
      <c r="AH642" s="516"/>
      <c r="AI642" s="516"/>
      <c r="AJ642" s="593" t="s">
        <v>1950</v>
      </c>
      <c r="AK642" s="516"/>
      <c r="AL642" s="544"/>
      <c r="AM642" s="544"/>
    </row>
    <row r="643" spans="3:39" ht="18" customHeight="1">
      <c r="C643" s="516">
        <v>623</v>
      </c>
      <c r="D643" s="516" t="s">
        <v>3827</v>
      </c>
      <c r="E643" s="516">
        <f t="shared" si="6"/>
        <v>584</v>
      </c>
      <c r="F643" s="534" t="s">
        <v>811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59" t="s">
        <v>1041</v>
      </c>
      <c r="Q643" s="539" t="s">
        <v>308</v>
      </c>
      <c r="R643" s="516"/>
      <c r="S643" s="516"/>
      <c r="T643" s="516"/>
      <c r="U643" s="516" t="s">
        <v>874</v>
      </c>
      <c r="V643" s="559" t="s">
        <v>3828</v>
      </c>
      <c r="W643" s="541" t="s">
        <v>3829</v>
      </c>
      <c r="X643" s="516" t="s">
        <v>876</v>
      </c>
      <c r="Y643" s="542">
        <v>25538</v>
      </c>
      <c r="Z643" s="543">
        <f t="shared" ca="1" si="7"/>
        <v>56</v>
      </c>
      <c r="AA643" s="534" t="s">
        <v>3830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34" t="s">
        <v>1781</v>
      </c>
      <c r="AH643" s="516" t="s">
        <v>1571</v>
      </c>
      <c r="AI643" s="516" t="s">
        <v>3831</v>
      </c>
      <c r="AJ643" s="516" t="s">
        <v>976</v>
      </c>
      <c r="AK643" s="516"/>
      <c r="AL643" s="544"/>
      <c r="AM643" s="544"/>
    </row>
    <row r="644" spans="3:39" ht="18" customHeight="1">
      <c r="C644" s="516">
        <v>624</v>
      </c>
      <c r="D644" s="516" t="s">
        <v>3840</v>
      </c>
      <c r="E644" s="516">
        <f t="shared" si="6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3840</v>
      </c>
      <c r="L644" s="535"/>
      <c r="M644" s="536"/>
      <c r="N644" s="537"/>
      <c r="O644" s="537"/>
      <c r="P644" s="548" t="s">
        <v>1077</v>
      </c>
      <c r="Q644" s="539"/>
      <c r="R644" s="516" t="s">
        <v>49</v>
      </c>
      <c r="S644" s="516" t="s">
        <v>168</v>
      </c>
      <c r="T644" s="516"/>
      <c r="U644" s="516" t="s">
        <v>874</v>
      </c>
      <c r="V644" s="548" t="s">
        <v>591</v>
      </c>
      <c r="W644" s="541" t="s">
        <v>3842</v>
      </c>
      <c r="X644" s="516" t="s">
        <v>876</v>
      </c>
      <c r="Y644" s="542">
        <v>28783</v>
      </c>
      <c r="Z644" s="543">
        <f t="shared" ca="1" si="7"/>
        <v>47</v>
      </c>
      <c r="AA644" s="534" t="s">
        <v>3843</v>
      </c>
      <c r="AB644" s="628"/>
      <c r="AC644" s="516" t="s">
        <v>842</v>
      </c>
      <c r="AD644" s="516" t="s">
        <v>851</v>
      </c>
      <c r="AE644" s="534" t="s">
        <v>713</v>
      </c>
      <c r="AF644" s="534" t="s">
        <v>1400</v>
      </c>
      <c r="AG644" s="534" t="s">
        <v>3845</v>
      </c>
      <c r="AH644" s="516"/>
      <c r="AI644" s="516"/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3850</v>
      </c>
      <c r="E645" s="516">
        <f t="shared" si="6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38" t="s">
        <v>1077</v>
      </c>
      <c r="Q645" s="539"/>
      <c r="R645" s="516"/>
      <c r="S645" s="516"/>
      <c r="T645" s="516"/>
      <c r="U645" s="516" t="s">
        <v>898</v>
      </c>
      <c r="V645" s="538" t="s">
        <v>600</v>
      </c>
      <c r="W645" s="541" t="s">
        <v>3851</v>
      </c>
      <c r="X645" s="516" t="s">
        <v>876</v>
      </c>
      <c r="Y645" s="542">
        <v>19196</v>
      </c>
      <c r="Z645" s="543">
        <f t="shared" ca="1" si="7"/>
        <v>73</v>
      </c>
      <c r="AA645" s="534" t="s">
        <v>3852</v>
      </c>
      <c r="AB645" s="516"/>
      <c r="AC645" s="516" t="s">
        <v>842</v>
      </c>
      <c r="AD645" s="516" t="s">
        <v>851</v>
      </c>
      <c r="AE645" s="534" t="s">
        <v>1289</v>
      </c>
      <c r="AF645" s="534" t="s">
        <v>1289</v>
      </c>
      <c r="AG645" s="534" t="s">
        <v>3854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3841</v>
      </c>
      <c r="E646" s="516">
        <f t="shared" si="6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874</v>
      </c>
      <c r="V646" s="538" t="s">
        <v>619</v>
      </c>
      <c r="W646" s="541" t="s">
        <v>3846</v>
      </c>
      <c r="X646" s="516" t="s">
        <v>876</v>
      </c>
      <c r="Y646" s="542">
        <v>22484</v>
      </c>
      <c r="Z646" s="543">
        <f t="shared" ca="1" si="7"/>
        <v>64</v>
      </c>
      <c r="AA646" s="534" t="s">
        <v>3847</v>
      </c>
      <c r="AB646" s="516"/>
      <c r="AC646" s="516" t="s">
        <v>842</v>
      </c>
      <c r="AD646" s="516" t="s">
        <v>851</v>
      </c>
      <c r="AE646" s="534" t="s">
        <v>713</v>
      </c>
      <c r="AF646" s="534" t="s">
        <v>1256</v>
      </c>
      <c r="AG646" s="534" t="s">
        <v>3849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3855</v>
      </c>
      <c r="E647" s="516">
        <f t="shared" si="6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59" t="s">
        <v>1077</v>
      </c>
      <c r="Q647" s="539"/>
      <c r="R647" s="516"/>
      <c r="S647" s="516"/>
      <c r="T647" s="516"/>
      <c r="U647" s="516" t="s">
        <v>874</v>
      </c>
      <c r="V647" s="559" t="s">
        <v>656</v>
      </c>
      <c r="W647" s="541" t="s">
        <v>3856</v>
      </c>
      <c r="X647" s="516" t="s">
        <v>876</v>
      </c>
      <c r="Y647" s="542">
        <v>26250</v>
      </c>
      <c r="Z647" s="543">
        <f t="shared" ca="1" si="7"/>
        <v>54</v>
      </c>
      <c r="AA647" s="534" t="s">
        <v>3857</v>
      </c>
      <c r="AB647" s="516"/>
      <c r="AC647" s="516" t="s">
        <v>842</v>
      </c>
      <c r="AD647" s="516" t="s">
        <v>843</v>
      </c>
      <c r="AE647" s="534" t="s">
        <v>713</v>
      </c>
      <c r="AF647" s="566" t="s">
        <v>713</v>
      </c>
      <c r="AG647" s="534" t="s">
        <v>1718</v>
      </c>
      <c r="AH647" s="516"/>
      <c r="AI647" s="516" t="s">
        <v>2511</v>
      </c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1668</v>
      </c>
      <c r="E648" s="516">
        <f t="shared" si="6"/>
        <v>588</v>
      </c>
      <c r="F648" s="534"/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1668</v>
      </c>
      <c r="L648" s="535" t="s">
        <v>786</v>
      </c>
      <c r="M648" s="536"/>
      <c r="N648" s="537"/>
      <c r="O648" s="537"/>
      <c r="P648" s="548" t="s">
        <v>1755</v>
      </c>
      <c r="Q648" s="539"/>
      <c r="R648" s="516" t="s">
        <v>49</v>
      </c>
      <c r="S648" s="516" t="s">
        <v>168</v>
      </c>
      <c r="T648" s="516"/>
      <c r="U648" s="516"/>
      <c r="V648" s="548" t="s">
        <v>288</v>
      </c>
      <c r="W648" s="541" t="s">
        <v>1669</v>
      </c>
      <c r="X648" s="516" t="s">
        <v>876</v>
      </c>
      <c r="Y648" s="542">
        <v>22549</v>
      </c>
      <c r="Z648" s="543">
        <f t="shared" ca="1" si="7"/>
        <v>64</v>
      </c>
      <c r="AA648" s="594" t="s">
        <v>1670</v>
      </c>
      <c r="AB648" s="516"/>
      <c r="AC648" s="516" t="s">
        <v>802</v>
      </c>
      <c r="AD648" s="516" t="s">
        <v>794</v>
      </c>
      <c r="AE648" s="534" t="s">
        <v>713</v>
      </c>
      <c r="AF648" s="534" t="s">
        <v>713</v>
      </c>
      <c r="AG648" s="534" t="s">
        <v>1672</v>
      </c>
      <c r="AH648" s="516" t="s">
        <v>872</v>
      </c>
      <c r="AI648" s="516"/>
      <c r="AJ648" s="516"/>
      <c r="AK648" s="516"/>
      <c r="AL648" s="544"/>
      <c r="AM648" s="544"/>
    </row>
    <row r="649" spans="3:39" ht="18" customHeight="1">
      <c r="C649" s="516">
        <v>629</v>
      </c>
      <c r="D649" s="516" t="s">
        <v>3859</v>
      </c>
      <c r="E649" s="516">
        <f t="shared" si="6"/>
        <v>589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3859</v>
      </c>
      <c r="M649" s="536" t="s">
        <v>3870</v>
      </c>
      <c r="N649" s="537"/>
      <c r="O649" s="537"/>
      <c r="P649" s="538" t="s">
        <v>1755</v>
      </c>
      <c r="Q649" s="539"/>
      <c r="R649" s="516" t="s">
        <v>62</v>
      </c>
      <c r="S649" s="516" t="s">
        <v>548</v>
      </c>
      <c r="T649" s="516"/>
      <c r="U649" s="516" t="s">
        <v>898</v>
      </c>
      <c r="V649" s="538" t="s">
        <v>601</v>
      </c>
      <c r="W649" s="541" t="s">
        <v>3861</v>
      </c>
      <c r="X649" s="516" t="s">
        <v>876</v>
      </c>
      <c r="Y649" s="542">
        <v>20098</v>
      </c>
      <c r="Z649" s="543">
        <f t="shared" ca="1" si="7"/>
        <v>71</v>
      </c>
      <c r="AA649" s="534" t="s">
        <v>3862</v>
      </c>
      <c r="AB649" s="516"/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3864</v>
      </c>
      <c r="AH649" s="516"/>
      <c r="AI649" s="516"/>
      <c r="AJ649" s="516" t="s">
        <v>1852</v>
      </c>
      <c r="AK649" s="516"/>
      <c r="AL649" s="544"/>
      <c r="AM649" s="544"/>
    </row>
    <row r="650" spans="3:39" ht="18" customHeight="1">
      <c r="C650" s="516">
        <v>630</v>
      </c>
      <c r="D650" s="516" t="s">
        <v>3870</v>
      </c>
      <c r="E650" s="516">
        <f t="shared" si="6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874</v>
      </c>
      <c r="V650" s="538" t="s">
        <v>620</v>
      </c>
      <c r="W650" s="541" t="s">
        <v>3871</v>
      </c>
      <c r="X650" s="516" t="s">
        <v>876</v>
      </c>
      <c r="Y650" s="542">
        <v>27355</v>
      </c>
      <c r="Z650" s="543">
        <f t="shared" ca="1" si="7"/>
        <v>51</v>
      </c>
      <c r="AA650" s="534" t="s">
        <v>3872</v>
      </c>
      <c r="AB650" s="516"/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3874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3865</v>
      </c>
      <c r="E651" s="516">
        <f t="shared" si="6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/>
      <c r="S651" s="516"/>
      <c r="T651" s="516"/>
      <c r="U651" s="516" t="s">
        <v>898</v>
      </c>
      <c r="V651" s="538" t="s">
        <v>638</v>
      </c>
      <c r="W651" s="541" t="s">
        <v>3866</v>
      </c>
      <c r="X651" s="516" t="s">
        <v>876</v>
      </c>
      <c r="Y651" s="542">
        <v>15828</v>
      </c>
      <c r="Z651" s="543">
        <f t="shared" ca="1" si="7"/>
        <v>82</v>
      </c>
      <c r="AA651" s="534" t="s">
        <v>3867</v>
      </c>
      <c r="AB651" s="516"/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3869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3875</v>
      </c>
      <c r="E652" s="516">
        <f t="shared" si="6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874</v>
      </c>
      <c r="V652" s="538" t="s">
        <v>657</v>
      </c>
      <c r="W652" s="541" t="s">
        <v>3876</v>
      </c>
      <c r="X652" s="516" t="s">
        <v>876</v>
      </c>
      <c r="Y652" s="542">
        <v>21451</v>
      </c>
      <c r="Z652" s="543">
        <f t="shared" ca="1" si="7"/>
        <v>67</v>
      </c>
      <c r="AA652" s="534" t="s">
        <v>3877</v>
      </c>
      <c r="AB652" s="516"/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34" t="s">
        <v>3879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3880</v>
      </c>
      <c r="E653" s="516">
        <f t="shared" si="6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673</v>
      </c>
      <c r="W653" s="541" t="s">
        <v>3881</v>
      </c>
      <c r="X653" s="516" t="s">
        <v>876</v>
      </c>
      <c r="Y653" s="542">
        <v>25299</v>
      </c>
      <c r="Z653" s="543">
        <f t="shared" ca="1" si="7"/>
        <v>56</v>
      </c>
      <c r="AA653" s="534" t="s">
        <v>3882</v>
      </c>
      <c r="AB653" s="516"/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34" t="s">
        <v>3884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3885</v>
      </c>
      <c r="E654" s="516">
        <f t="shared" si="6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688</v>
      </c>
      <c r="W654" s="541" t="s">
        <v>3886</v>
      </c>
      <c r="X654" s="516" t="s">
        <v>876</v>
      </c>
      <c r="Y654" s="542">
        <v>29981</v>
      </c>
      <c r="Z654" s="543">
        <f t="shared" ca="1" si="7"/>
        <v>43</v>
      </c>
      <c r="AA654" s="534" t="s">
        <v>3887</v>
      </c>
      <c r="AB654" s="516"/>
      <c r="AC654" s="516" t="s">
        <v>842</v>
      </c>
      <c r="AD654" s="516" t="s">
        <v>851</v>
      </c>
      <c r="AE654" s="534" t="s">
        <v>713</v>
      </c>
      <c r="AF654" s="566" t="s">
        <v>713</v>
      </c>
      <c r="AG654" s="534" t="s">
        <v>3889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3890</v>
      </c>
      <c r="E655" s="516">
        <f t="shared" si="6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696</v>
      </c>
      <c r="W655" s="541" t="s">
        <v>3891</v>
      </c>
      <c r="X655" s="516" t="s">
        <v>876</v>
      </c>
      <c r="Y655" s="542">
        <v>30203</v>
      </c>
      <c r="Z655" s="543">
        <f t="shared" ca="1" si="7"/>
        <v>43</v>
      </c>
      <c r="AA655" s="534" t="s">
        <v>3892</v>
      </c>
      <c r="AB655" s="516"/>
      <c r="AC655" s="516" t="s">
        <v>842</v>
      </c>
      <c r="AD655" s="516" t="s">
        <v>851</v>
      </c>
      <c r="AE655" s="534" t="s">
        <v>713</v>
      </c>
      <c r="AF655" s="566" t="s">
        <v>713</v>
      </c>
      <c r="AG655" s="534" t="s">
        <v>3894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3895</v>
      </c>
      <c r="E656" s="516">
        <f t="shared" si="6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59" t="s">
        <v>1755</v>
      </c>
      <c r="Q656" s="539"/>
      <c r="R656" s="516"/>
      <c r="S656" s="516"/>
      <c r="T656" s="516"/>
      <c r="U656" s="516" t="s">
        <v>874</v>
      </c>
      <c r="V656" s="559" t="s">
        <v>3896</v>
      </c>
      <c r="W656" s="541" t="s">
        <v>3897</v>
      </c>
      <c r="X656" s="516" t="s">
        <v>876</v>
      </c>
      <c r="Y656" s="542">
        <v>21232</v>
      </c>
      <c r="Z656" s="543">
        <f t="shared" ca="1" si="7"/>
        <v>67</v>
      </c>
      <c r="AA656" s="534" t="s">
        <v>3898</v>
      </c>
      <c r="AB656" s="516"/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3900</v>
      </c>
      <c r="AH656" s="516"/>
      <c r="AI656" s="516" t="s">
        <v>866</v>
      </c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2384</v>
      </c>
      <c r="E657" s="516">
        <f t="shared" si="6"/>
        <v>596</v>
      </c>
      <c r="F657" s="534"/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2384</v>
      </c>
      <c r="L657" s="535" t="s">
        <v>3901</v>
      </c>
      <c r="M657" s="536"/>
      <c r="N657" s="537"/>
      <c r="O657" s="537"/>
      <c r="P657" s="548" t="s">
        <v>3903</v>
      </c>
      <c r="Q657" s="539"/>
      <c r="R657" s="516" t="s">
        <v>49</v>
      </c>
      <c r="S657" s="516" t="s">
        <v>168</v>
      </c>
      <c r="T657" s="516"/>
      <c r="U657" s="516"/>
      <c r="V657" s="548" t="s">
        <v>197</v>
      </c>
      <c r="W657" s="541" t="s">
        <v>2385</v>
      </c>
      <c r="X657" s="516" t="s">
        <v>876</v>
      </c>
      <c r="Y657" s="542">
        <v>28739</v>
      </c>
      <c r="Z657" s="543">
        <f t="shared" ca="1" si="7"/>
        <v>47</v>
      </c>
      <c r="AA657" s="534"/>
      <c r="AB657" s="516"/>
      <c r="AC657" s="516" t="s">
        <v>802</v>
      </c>
      <c r="AD657" s="516" t="s">
        <v>794</v>
      </c>
      <c r="AE657" s="534" t="s">
        <v>1735</v>
      </c>
      <c r="AF657" s="534" t="s">
        <v>1735</v>
      </c>
      <c r="AG657" s="534" t="s">
        <v>2388</v>
      </c>
      <c r="AH657" s="516" t="s">
        <v>872</v>
      </c>
      <c r="AI657" s="516"/>
      <c r="AJ657" s="516"/>
      <c r="AK657" s="516"/>
      <c r="AL657" s="544"/>
      <c r="AM657" s="544"/>
    </row>
    <row r="658" spans="3:39" ht="18" customHeight="1">
      <c r="C658" s="516">
        <v>638</v>
      </c>
      <c r="D658" s="516" t="s">
        <v>3901</v>
      </c>
      <c r="E658" s="516">
        <f t="shared" si="6"/>
        <v>597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38" t="s">
        <v>3903</v>
      </c>
      <c r="Q658" s="539"/>
      <c r="R658" s="516" t="s">
        <v>62</v>
      </c>
      <c r="S658" s="516" t="s">
        <v>548</v>
      </c>
      <c r="T658" s="516"/>
      <c r="U658" s="516" t="s">
        <v>874</v>
      </c>
      <c r="V658" s="538" t="s">
        <v>602</v>
      </c>
      <c r="W658" s="541" t="s">
        <v>3904</v>
      </c>
      <c r="X658" s="516" t="s">
        <v>876</v>
      </c>
      <c r="Y658" s="542">
        <v>24860</v>
      </c>
      <c r="Z658" s="543">
        <f t="shared" ca="1" si="7"/>
        <v>58</v>
      </c>
      <c r="AA658" s="534" t="s">
        <v>3905</v>
      </c>
      <c r="AB658" s="516"/>
      <c r="AC658" s="516" t="s">
        <v>842</v>
      </c>
      <c r="AD658" s="516" t="s">
        <v>851</v>
      </c>
      <c r="AE658" s="534" t="s">
        <v>713</v>
      </c>
      <c r="AF658" s="566" t="s">
        <v>713</v>
      </c>
      <c r="AG658" s="534" t="s">
        <v>3907</v>
      </c>
      <c r="AH658" s="516"/>
      <c r="AI658" s="516"/>
      <c r="AJ658" s="516" t="s">
        <v>1852</v>
      </c>
      <c r="AK658" s="516"/>
      <c r="AL658" s="544"/>
      <c r="AM658" s="544"/>
    </row>
    <row r="659" spans="3:39" ht="18" customHeight="1">
      <c r="C659" s="516">
        <v>639</v>
      </c>
      <c r="D659" s="516" t="s">
        <v>3902</v>
      </c>
      <c r="E659" s="516">
        <f t="shared" si="6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/>
      <c r="S659" s="516"/>
      <c r="T659" s="516"/>
      <c r="U659" s="516" t="s">
        <v>874</v>
      </c>
      <c r="V659" s="538" t="s">
        <v>621</v>
      </c>
      <c r="W659" s="541" t="s">
        <v>3908</v>
      </c>
      <c r="X659" s="516" t="s">
        <v>876</v>
      </c>
      <c r="Y659" s="542">
        <v>23911</v>
      </c>
      <c r="Z659" s="543">
        <f t="shared" ca="1" si="7"/>
        <v>60</v>
      </c>
      <c r="AA659" s="534" t="s">
        <v>3909</v>
      </c>
      <c r="AB659" s="516"/>
      <c r="AC659" s="516" t="s">
        <v>842</v>
      </c>
      <c r="AD659" s="516" t="s">
        <v>851</v>
      </c>
      <c r="AE659" s="534" t="s">
        <v>713</v>
      </c>
      <c r="AF659" s="566" t="s">
        <v>713</v>
      </c>
      <c r="AG659" s="534" t="s">
        <v>3911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3912</v>
      </c>
      <c r="E660" s="516">
        <f t="shared" si="6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639</v>
      </c>
      <c r="W660" s="541" t="s">
        <v>3913</v>
      </c>
      <c r="X660" s="516" t="s">
        <v>876</v>
      </c>
      <c r="Y660" s="542">
        <v>24181</v>
      </c>
      <c r="Z660" s="543">
        <f t="shared" ca="1" si="7"/>
        <v>59</v>
      </c>
      <c r="AA660" s="534" t="s">
        <v>3914</v>
      </c>
      <c r="AB660" s="516"/>
      <c r="AC660" s="516" t="s">
        <v>842</v>
      </c>
      <c r="AD660" s="516" t="s">
        <v>851</v>
      </c>
      <c r="AE660" s="534" t="s">
        <v>713</v>
      </c>
      <c r="AF660" s="566" t="s">
        <v>713</v>
      </c>
      <c r="AG660" s="534" t="s">
        <v>3916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3917</v>
      </c>
      <c r="E661" s="516">
        <f t="shared" si="6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658</v>
      </c>
      <c r="W661" s="541" t="s">
        <v>3918</v>
      </c>
      <c r="X661" s="516" t="s">
        <v>876</v>
      </c>
      <c r="Y661" s="542">
        <v>29947</v>
      </c>
      <c r="Z661" s="543">
        <f t="shared" ca="1" si="7"/>
        <v>44</v>
      </c>
      <c r="AA661" s="534" t="s">
        <v>3919</v>
      </c>
      <c r="AB661" s="516"/>
      <c r="AC661" s="516" t="s">
        <v>842</v>
      </c>
      <c r="AD661" s="516" t="s">
        <v>851</v>
      </c>
      <c r="AE661" s="534" t="s">
        <v>1256</v>
      </c>
      <c r="AF661" s="534" t="s">
        <v>1256</v>
      </c>
      <c r="AG661" s="534" t="s">
        <v>3921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3922</v>
      </c>
      <c r="E662" s="516">
        <f t="shared" si="6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674</v>
      </c>
      <c r="W662" s="541" t="s">
        <v>3923</v>
      </c>
      <c r="X662" s="516" t="s">
        <v>876</v>
      </c>
      <c r="Y662" s="542">
        <v>30310</v>
      </c>
      <c r="Z662" s="543">
        <f t="shared" ca="1" si="7"/>
        <v>43</v>
      </c>
      <c r="AA662" s="534" t="s">
        <v>3924</v>
      </c>
      <c r="AB662" s="516"/>
      <c r="AC662" s="516" t="s">
        <v>842</v>
      </c>
      <c r="AD662" s="516" t="s">
        <v>843</v>
      </c>
      <c r="AE662" s="534" t="s">
        <v>713</v>
      </c>
      <c r="AF662" s="566" t="s">
        <v>713</v>
      </c>
      <c r="AG662" s="534" t="s">
        <v>3926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3927</v>
      </c>
      <c r="E663" s="516">
        <f t="shared" si="6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689</v>
      </c>
      <c r="W663" s="541" t="s">
        <v>3928</v>
      </c>
      <c r="X663" s="516" t="s">
        <v>876</v>
      </c>
      <c r="Y663" s="542">
        <v>32130</v>
      </c>
      <c r="Z663" s="543">
        <f t="shared" ca="1" si="7"/>
        <v>38</v>
      </c>
      <c r="AA663" s="534" t="s">
        <v>3929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3930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3931</v>
      </c>
      <c r="E664" s="516">
        <f t="shared" si="6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 t="s">
        <v>308</v>
      </c>
      <c r="R664" s="516"/>
      <c r="S664" s="516"/>
      <c r="T664" s="516"/>
      <c r="U664" s="516" t="s">
        <v>874</v>
      </c>
      <c r="V664" s="538" t="s">
        <v>3932</v>
      </c>
      <c r="W664" s="541" t="s">
        <v>3933</v>
      </c>
      <c r="X664" s="516" t="s">
        <v>876</v>
      </c>
      <c r="Y664" s="542">
        <v>22724</v>
      </c>
      <c r="Z664" s="543">
        <f t="shared" ca="1" si="7"/>
        <v>63</v>
      </c>
      <c r="AA664" s="534" t="s">
        <v>3934</v>
      </c>
      <c r="AB664" s="516"/>
      <c r="AC664" s="516" t="s">
        <v>842</v>
      </c>
      <c r="AD664" s="516" t="s">
        <v>843</v>
      </c>
      <c r="AE664" s="534" t="s">
        <v>713</v>
      </c>
      <c r="AF664" s="534" t="s">
        <v>1436</v>
      </c>
      <c r="AG664" s="534" t="s">
        <v>1437</v>
      </c>
      <c r="AH664" s="516"/>
      <c r="AI664" s="516"/>
      <c r="AJ664" s="565" t="s">
        <v>1087</v>
      </c>
      <c r="AK664" s="516"/>
      <c r="AL664" s="544"/>
      <c r="AM664" s="544"/>
    </row>
    <row r="665" spans="3:39" ht="18" customHeight="1">
      <c r="C665" s="516">
        <v>645</v>
      </c>
      <c r="D665" s="516" t="s">
        <v>3936</v>
      </c>
      <c r="E665" s="516">
        <f t="shared" si="6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3937</v>
      </c>
      <c r="W665" s="541" t="s">
        <v>3938</v>
      </c>
      <c r="X665" s="516" t="s">
        <v>876</v>
      </c>
      <c r="Y665" s="542">
        <v>22873</v>
      </c>
      <c r="Z665" s="543">
        <f t="shared" ca="1" si="7"/>
        <v>63</v>
      </c>
      <c r="AA665" s="534" t="s">
        <v>3939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713</v>
      </c>
      <c r="AG665" s="534" t="s">
        <v>3940</v>
      </c>
      <c r="AH665" s="516" t="s">
        <v>1571</v>
      </c>
      <c r="AI665" s="516" t="s">
        <v>3941</v>
      </c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3942</v>
      </c>
      <c r="E666" s="516">
        <f t="shared" si="6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59" t="s">
        <v>3903</v>
      </c>
      <c r="Q666" s="539" t="s">
        <v>308</v>
      </c>
      <c r="R666" s="516"/>
      <c r="S666" s="516"/>
      <c r="T666" s="516"/>
      <c r="U666" s="516" t="s">
        <v>874</v>
      </c>
      <c r="V666" s="559" t="s">
        <v>3943</v>
      </c>
      <c r="W666" s="541" t="s">
        <v>3944</v>
      </c>
      <c r="X666" s="516" t="s">
        <v>876</v>
      </c>
      <c r="Y666" s="542">
        <v>25028</v>
      </c>
      <c r="Z666" s="543">
        <f t="shared" ca="1" si="7"/>
        <v>57</v>
      </c>
      <c r="AA666" s="534" t="s">
        <v>3945</v>
      </c>
      <c r="AB666" s="516"/>
      <c r="AC666" s="516" t="s">
        <v>842</v>
      </c>
      <c r="AD666" s="516" t="s">
        <v>843</v>
      </c>
      <c r="AE666" s="534" t="s">
        <v>713</v>
      </c>
      <c r="AF666" s="566" t="s">
        <v>713</v>
      </c>
      <c r="AG666" s="534" t="s">
        <v>3734</v>
      </c>
      <c r="AH666" s="516"/>
      <c r="AI666" s="516"/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827</v>
      </c>
      <c r="E667" s="516">
        <f t="shared" si="6"/>
        <v>605</v>
      </c>
      <c r="F667" s="534"/>
      <c r="G667" s="534" t="s">
        <v>846</v>
      </c>
      <c r="H667" s="535" t="s">
        <v>1106</v>
      </c>
      <c r="I667" s="535" t="s">
        <v>71</v>
      </c>
      <c r="J667" s="535" t="s">
        <v>827</v>
      </c>
      <c r="K667" s="535" t="s">
        <v>827</v>
      </c>
      <c r="L667" s="535"/>
      <c r="M667" s="536"/>
      <c r="N667" s="537"/>
      <c r="O667" s="537"/>
      <c r="P667" s="548" t="s">
        <v>3947</v>
      </c>
      <c r="Q667" s="539"/>
      <c r="R667" s="516" t="s">
        <v>49</v>
      </c>
      <c r="S667" s="516" t="s">
        <v>168</v>
      </c>
      <c r="T667" s="516"/>
      <c r="U667" s="516"/>
      <c r="V667" s="548" t="s">
        <v>71</v>
      </c>
      <c r="W667" s="541" t="s">
        <v>833</v>
      </c>
      <c r="X667" s="516" t="s">
        <v>790</v>
      </c>
      <c r="Y667" s="542">
        <v>33031</v>
      </c>
      <c r="Z667" s="543">
        <f t="shared" ca="1" si="7"/>
        <v>35</v>
      </c>
      <c r="AA667" s="534" t="s">
        <v>834</v>
      </c>
      <c r="AB667" s="516"/>
      <c r="AC667" s="516" t="s">
        <v>802</v>
      </c>
      <c r="AD667" s="516" t="s">
        <v>794</v>
      </c>
      <c r="AE667" s="534"/>
      <c r="AF667" s="534"/>
      <c r="AG667" s="534"/>
      <c r="AH667" s="516" t="s">
        <v>872</v>
      </c>
      <c r="AI667" s="516"/>
      <c r="AJ667" s="516"/>
      <c r="AK667" s="516"/>
      <c r="AL667" s="544"/>
      <c r="AM667" s="544"/>
    </row>
    <row r="668" spans="3:39" ht="18" customHeight="1">
      <c r="C668" s="516">
        <v>648</v>
      </c>
      <c r="D668" s="516" t="s">
        <v>3949</v>
      </c>
      <c r="E668" s="516">
        <f t="shared" si="6"/>
        <v>606</v>
      </c>
      <c r="F668" s="534" t="s">
        <v>811</v>
      </c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 t="s">
        <v>786</v>
      </c>
      <c r="M668" s="536"/>
      <c r="N668" s="537"/>
      <c r="O668" s="537"/>
      <c r="P668" s="538" t="s">
        <v>3947</v>
      </c>
      <c r="Q668" s="539" t="s">
        <v>308</v>
      </c>
      <c r="R668" s="516"/>
      <c r="S668" s="516"/>
      <c r="T668" s="516"/>
      <c r="U668" s="516" t="s">
        <v>788</v>
      </c>
      <c r="V668" s="538" t="s">
        <v>3950</v>
      </c>
      <c r="W668" s="541" t="s">
        <v>3951</v>
      </c>
      <c r="X668" s="516" t="s">
        <v>790</v>
      </c>
      <c r="Y668" s="542">
        <v>34371</v>
      </c>
      <c r="Z668" s="543">
        <f t="shared" ca="1" si="7"/>
        <v>31</v>
      </c>
      <c r="AA668" s="534" t="s">
        <v>3952</v>
      </c>
      <c r="AB668" s="516"/>
      <c r="AC668" s="516" t="s">
        <v>842</v>
      </c>
      <c r="AD668" s="516" t="s">
        <v>843</v>
      </c>
      <c r="AE668" s="534" t="s">
        <v>713</v>
      </c>
      <c r="AF668" s="566" t="s">
        <v>713</v>
      </c>
      <c r="AG668" s="534" t="s">
        <v>3954</v>
      </c>
      <c r="AH668" s="516"/>
      <c r="AI668" s="516"/>
      <c r="AJ668" s="516" t="s">
        <v>971</v>
      </c>
      <c r="AK668" s="516"/>
      <c r="AL668" s="544"/>
      <c r="AM668" s="544"/>
    </row>
    <row r="669" spans="3:39" ht="18" customHeight="1">
      <c r="C669" s="516">
        <v>649</v>
      </c>
      <c r="D669" s="516" t="s">
        <v>845</v>
      </c>
      <c r="E669" s="516">
        <f t="shared" si="6"/>
        <v>607</v>
      </c>
      <c r="F669" s="534" t="s">
        <v>782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847</v>
      </c>
      <c r="W669" s="541" t="s">
        <v>848</v>
      </c>
      <c r="X669" s="516" t="s">
        <v>790</v>
      </c>
      <c r="Y669" s="542">
        <v>32741</v>
      </c>
      <c r="Z669" s="543">
        <f t="shared" ca="1" si="7"/>
        <v>36</v>
      </c>
      <c r="AA669" s="534" t="s">
        <v>849</v>
      </c>
      <c r="AB669" s="516"/>
      <c r="AC669" s="516" t="s">
        <v>842</v>
      </c>
      <c r="AD669" s="516" t="s">
        <v>851</v>
      </c>
      <c r="AE669" s="534" t="s">
        <v>713</v>
      </c>
      <c r="AF669" s="534" t="s">
        <v>795</v>
      </c>
      <c r="AG669" s="534" t="s">
        <v>4209</v>
      </c>
      <c r="AH669" s="516"/>
      <c r="AI669" s="516"/>
      <c r="AJ669" s="565" t="s">
        <v>853</v>
      </c>
      <c r="AK669" s="516"/>
      <c r="AL669" s="544"/>
      <c r="AM669" s="544"/>
    </row>
    <row r="670" spans="3:39" ht="18" customHeight="1">
      <c r="C670" s="516">
        <v>650</v>
      </c>
      <c r="D670" s="516" t="s">
        <v>3955</v>
      </c>
      <c r="E670" s="516">
        <f t="shared" si="6"/>
        <v>608</v>
      </c>
      <c r="F670" s="534" t="s">
        <v>811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59" t="s">
        <v>3947</v>
      </c>
      <c r="Q670" s="539" t="s">
        <v>308</v>
      </c>
      <c r="R670" s="516"/>
      <c r="S670" s="516"/>
      <c r="T670" s="516"/>
      <c r="U670" s="516" t="s">
        <v>799</v>
      </c>
      <c r="V670" s="559" t="s">
        <v>3956</v>
      </c>
      <c r="W670" s="541" t="s">
        <v>3957</v>
      </c>
      <c r="X670" s="516" t="s">
        <v>790</v>
      </c>
      <c r="Y670" s="542">
        <v>30717</v>
      </c>
      <c r="Z670" s="543">
        <f t="shared" ca="1" si="7"/>
        <v>41</v>
      </c>
      <c r="AA670" s="534" t="s">
        <v>3958</v>
      </c>
      <c r="AB670" s="516"/>
      <c r="AC670" s="516" t="s">
        <v>842</v>
      </c>
      <c r="AD670" s="516" t="s">
        <v>843</v>
      </c>
      <c r="AE670" s="534" t="s">
        <v>815</v>
      </c>
      <c r="AF670" s="534" t="s">
        <v>815</v>
      </c>
      <c r="AG670" s="534" t="s">
        <v>1282</v>
      </c>
      <c r="AH670" s="516" t="s">
        <v>1571</v>
      </c>
      <c r="AI670" s="516" t="s">
        <v>3959</v>
      </c>
      <c r="AJ670" s="516" t="s">
        <v>971</v>
      </c>
      <c r="AK670" s="516"/>
      <c r="AL670" s="544"/>
      <c r="AM670" s="544"/>
    </row>
    <row r="671" spans="3:39" ht="18" customHeight="1">
      <c r="C671" s="516">
        <v>651</v>
      </c>
      <c r="D671" s="516" t="s">
        <v>785</v>
      </c>
      <c r="E671" s="516">
        <f t="shared" si="6"/>
        <v>608</v>
      </c>
      <c r="F671" s="534"/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785</v>
      </c>
      <c r="L671" s="535" t="s">
        <v>3960</v>
      </c>
      <c r="M671" s="536" t="s">
        <v>3961</v>
      </c>
      <c r="N671" s="537"/>
      <c r="O671" s="537"/>
      <c r="P671" s="548" t="s">
        <v>3962</v>
      </c>
      <c r="Q671" s="539"/>
      <c r="R671" s="516" t="s">
        <v>163</v>
      </c>
      <c r="S671" s="516" t="s">
        <v>163</v>
      </c>
      <c r="T671" s="516" t="s">
        <v>168</v>
      </c>
      <c r="U671" s="516"/>
      <c r="V671" s="548" t="s">
        <v>57</v>
      </c>
      <c r="W671" s="541" t="s">
        <v>3963</v>
      </c>
      <c r="X671" s="516" t="s">
        <v>790</v>
      </c>
      <c r="Y671" s="542">
        <v>32431</v>
      </c>
      <c r="Z671" s="543">
        <f t="shared" ca="1" si="7"/>
        <v>37</v>
      </c>
      <c r="AA671" s="534" t="s">
        <v>800</v>
      </c>
      <c r="AB671" s="516"/>
      <c r="AC671" s="516" t="s">
        <v>802</v>
      </c>
      <c r="AD671" s="516" t="s">
        <v>794</v>
      </c>
      <c r="AE671" s="534" t="s">
        <v>803</v>
      </c>
      <c r="AF671" s="534" t="s">
        <v>795</v>
      </c>
      <c r="AG671" s="534" t="s">
        <v>796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3960</v>
      </c>
      <c r="E672" s="516">
        <f t="shared" si="6"/>
        <v>609</v>
      </c>
      <c r="F672" s="534" t="s">
        <v>811</v>
      </c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38" t="s">
        <v>3962</v>
      </c>
      <c r="Q672" s="539" t="s">
        <v>308</v>
      </c>
      <c r="R672" s="516" t="s">
        <v>62</v>
      </c>
      <c r="S672" s="516" t="s">
        <v>548</v>
      </c>
      <c r="T672" s="516"/>
      <c r="U672" s="516" t="s">
        <v>799</v>
      </c>
      <c r="V672" s="538" t="s">
        <v>604</v>
      </c>
      <c r="W672" s="541" t="s">
        <v>3965</v>
      </c>
      <c r="X672" s="516" t="s">
        <v>790</v>
      </c>
      <c r="Y672" s="542">
        <v>22474</v>
      </c>
      <c r="Z672" s="543">
        <f t="shared" ca="1" si="7"/>
        <v>64</v>
      </c>
      <c r="AA672" s="534" t="s">
        <v>3966</v>
      </c>
      <c r="AB672" s="516"/>
      <c r="AC672" s="516" t="s">
        <v>842</v>
      </c>
      <c r="AD672" s="516" t="s">
        <v>843</v>
      </c>
      <c r="AE672" s="534" t="s">
        <v>236</v>
      </c>
      <c r="AF672" s="534" t="s">
        <v>236</v>
      </c>
      <c r="AG672" s="574" t="s">
        <v>3968</v>
      </c>
      <c r="AH672" s="516"/>
      <c r="AI672" s="516"/>
      <c r="AJ672" s="516" t="s">
        <v>976</v>
      </c>
      <c r="AK672" s="516"/>
      <c r="AL672" s="544"/>
      <c r="AM672" s="544"/>
    </row>
    <row r="673" spans="3:39" ht="18" customHeight="1">
      <c r="C673" s="516">
        <v>653</v>
      </c>
      <c r="D673" s="516" t="s">
        <v>3961</v>
      </c>
      <c r="E673" s="516">
        <f t="shared" si="6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874</v>
      </c>
      <c r="V673" s="538" t="s">
        <v>623</v>
      </c>
      <c r="W673" s="541" t="s">
        <v>3969</v>
      </c>
      <c r="X673" s="516" t="s">
        <v>876</v>
      </c>
      <c r="Y673" s="542">
        <v>26681</v>
      </c>
      <c r="Z673" s="543">
        <f t="shared" ca="1" si="7"/>
        <v>53</v>
      </c>
      <c r="AA673" s="534" t="s">
        <v>3970</v>
      </c>
      <c r="AB673" s="516"/>
      <c r="AC673" s="516" t="s">
        <v>842</v>
      </c>
      <c r="AD673" s="516" t="s">
        <v>851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3972</v>
      </c>
      <c r="E674" s="516">
        <f t="shared" si="6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/>
      <c r="S674" s="516"/>
      <c r="T674" s="516"/>
      <c r="U674" s="516" t="s">
        <v>799</v>
      </c>
      <c r="V674" s="538" t="s">
        <v>3973</v>
      </c>
      <c r="W674" s="541" t="s">
        <v>3974</v>
      </c>
      <c r="X674" s="516" t="s">
        <v>790</v>
      </c>
      <c r="Y674" s="542">
        <v>26062</v>
      </c>
      <c r="Z674" s="543">
        <f t="shared" ca="1" si="7"/>
        <v>54</v>
      </c>
      <c r="AA674" s="534" t="s">
        <v>3975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34" t="s">
        <v>3977</v>
      </c>
      <c r="AH674" s="516"/>
      <c r="AI674" s="516"/>
      <c r="AJ674" s="516" t="s">
        <v>971</v>
      </c>
      <c r="AK674" s="516"/>
      <c r="AL674" s="544"/>
      <c r="AM674" s="544"/>
    </row>
    <row r="675" spans="3:39" ht="18" customHeight="1">
      <c r="C675" s="516">
        <v>655</v>
      </c>
      <c r="D675" s="516" t="s">
        <v>3978</v>
      </c>
      <c r="E675" s="516">
        <f t="shared" si="6"/>
        <v>612</v>
      </c>
      <c r="F675" s="534" t="s">
        <v>1822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659</v>
      </c>
      <c r="W675" s="541" t="s">
        <v>3979</v>
      </c>
      <c r="X675" s="516" t="s">
        <v>790</v>
      </c>
      <c r="Y675" s="542">
        <v>24209</v>
      </c>
      <c r="Z675" s="543">
        <f t="shared" ca="1" si="7"/>
        <v>59</v>
      </c>
      <c r="AA675" s="534" t="s">
        <v>3980</v>
      </c>
      <c r="AB675" s="516"/>
      <c r="AC675" s="516" t="s">
        <v>842</v>
      </c>
      <c r="AD675" s="516" t="s">
        <v>843</v>
      </c>
      <c r="AE675" s="534" t="s">
        <v>809</v>
      </c>
      <c r="AF675" s="534" t="s">
        <v>809</v>
      </c>
      <c r="AG675" s="534" t="s">
        <v>2218</v>
      </c>
      <c r="AH675" s="516"/>
      <c r="AI675" s="516"/>
      <c r="AJ675" s="516" t="s">
        <v>976</v>
      </c>
      <c r="AK675" s="516" t="s">
        <v>1863</v>
      </c>
      <c r="AL675" s="544"/>
      <c r="AM675" s="544"/>
    </row>
    <row r="676" spans="3:39" ht="18" customHeight="1">
      <c r="C676" s="516">
        <v>656</v>
      </c>
      <c r="D676" s="516" t="s">
        <v>3982</v>
      </c>
      <c r="E676" s="516">
        <f t="shared" si="6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675</v>
      </c>
      <c r="W676" s="541" t="s">
        <v>3983</v>
      </c>
      <c r="X676" s="516" t="s">
        <v>790</v>
      </c>
      <c r="Y676" s="542">
        <v>26119</v>
      </c>
      <c r="Z676" s="543">
        <f t="shared" ca="1" si="7"/>
        <v>54</v>
      </c>
      <c r="AA676" s="534"/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3985</v>
      </c>
      <c r="E677" s="516">
        <f t="shared" si="6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59" t="s">
        <v>3962</v>
      </c>
      <c r="Q677" s="539" t="s">
        <v>308</v>
      </c>
      <c r="R677" s="516"/>
      <c r="S677" s="516"/>
      <c r="T677" s="516"/>
      <c r="U677" s="516" t="s">
        <v>874</v>
      </c>
      <c r="V677" s="559" t="s">
        <v>3986</v>
      </c>
      <c r="W677" s="541" t="s">
        <v>3987</v>
      </c>
      <c r="X677" s="516" t="s">
        <v>876</v>
      </c>
      <c r="Y677" s="542">
        <v>22399</v>
      </c>
      <c r="Z677" s="543">
        <f t="shared" ca="1" si="7"/>
        <v>64</v>
      </c>
      <c r="AA677" s="534" t="s">
        <v>3988</v>
      </c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 t="s">
        <v>3989</v>
      </c>
      <c r="AJ677" s="516" t="s">
        <v>976</v>
      </c>
      <c r="AK677" s="516" t="s">
        <v>860</v>
      </c>
      <c r="AL677" s="544" t="s">
        <v>1083</v>
      </c>
      <c r="AM677" s="544"/>
    </row>
    <row r="678" spans="3:39" ht="18" customHeight="1">
      <c r="C678" s="516">
        <v>658</v>
      </c>
      <c r="D678" s="516" t="s">
        <v>1159</v>
      </c>
      <c r="E678" s="516">
        <f t="shared" si="6"/>
        <v>614</v>
      </c>
      <c r="F678" s="534"/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1159</v>
      </c>
      <c r="L678" s="535" t="s">
        <v>786</v>
      </c>
      <c r="M678" s="536"/>
      <c r="N678" s="537"/>
      <c r="O678" s="537"/>
      <c r="P678" s="548" t="s">
        <v>3995</v>
      </c>
      <c r="Q678" s="539"/>
      <c r="R678" s="516" t="s">
        <v>49</v>
      </c>
      <c r="S678" s="516" t="s">
        <v>168</v>
      </c>
      <c r="T678" s="516"/>
      <c r="U678" s="516"/>
      <c r="V678" s="548" t="s">
        <v>181</v>
      </c>
      <c r="W678" s="541" t="s">
        <v>1165</v>
      </c>
      <c r="X678" s="516" t="s">
        <v>790</v>
      </c>
      <c r="Y678" s="542">
        <v>19232</v>
      </c>
      <c r="Z678" s="543">
        <f t="shared" ca="1" si="7"/>
        <v>73</v>
      </c>
      <c r="AA678" s="534" t="s">
        <v>1166</v>
      </c>
      <c r="AB678" s="516"/>
      <c r="AC678" s="516" t="s">
        <v>802</v>
      </c>
      <c r="AD678" s="516" t="s">
        <v>794</v>
      </c>
      <c r="AE678" s="534" t="s">
        <v>713</v>
      </c>
      <c r="AF678" s="534" t="s">
        <v>1163</v>
      </c>
      <c r="AG678" s="534" t="s">
        <v>1164</v>
      </c>
      <c r="AH678" s="516" t="s">
        <v>872</v>
      </c>
      <c r="AI678" s="516"/>
      <c r="AJ678" s="516"/>
      <c r="AK678" s="516"/>
      <c r="AL678" s="544"/>
      <c r="AM678" s="544"/>
    </row>
    <row r="679" spans="3:39" ht="18" customHeight="1">
      <c r="C679" s="516">
        <v>659</v>
      </c>
      <c r="D679" s="516" t="s">
        <v>3997</v>
      </c>
      <c r="E679" s="516">
        <f t="shared" si="6"/>
        <v>615</v>
      </c>
      <c r="F679" s="534" t="s">
        <v>811</v>
      </c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38" t="s">
        <v>3995</v>
      </c>
      <c r="Q679" s="539" t="s">
        <v>308</v>
      </c>
      <c r="R679" s="516"/>
      <c r="S679" s="516"/>
      <c r="T679" s="516"/>
      <c r="U679" s="516" t="s">
        <v>799</v>
      </c>
      <c r="V679" s="538" t="s">
        <v>605</v>
      </c>
      <c r="W679" s="541" t="s">
        <v>3998</v>
      </c>
      <c r="X679" s="516" t="s">
        <v>790</v>
      </c>
      <c r="Y679" s="542">
        <v>22720</v>
      </c>
      <c r="Z679" s="543">
        <f t="shared" ca="1" si="7"/>
        <v>63</v>
      </c>
      <c r="AA679" s="534" t="s">
        <v>3999</v>
      </c>
      <c r="AB679" s="516"/>
      <c r="AC679" s="516" t="s">
        <v>842</v>
      </c>
      <c r="AD679" s="516" t="s">
        <v>851</v>
      </c>
      <c r="AE679" s="534" t="s">
        <v>713</v>
      </c>
      <c r="AF679" s="566" t="s">
        <v>713</v>
      </c>
      <c r="AG679" s="534" t="s">
        <v>4001</v>
      </c>
      <c r="AH679" s="516"/>
      <c r="AI679" s="516"/>
      <c r="AJ679" s="516" t="s">
        <v>1852</v>
      </c>
      <c r="AK679" s="516"/>
      <c r="AL679" s="544"/>
      <c r="AM679" s="544"/>
    </row>
    <row r="680" spans="3:39" ht="18" customHeight="1">
      <c r="C680" s="516">
        <v>660</v>
      </c>
      <c r="D680" s="516" t="s">
        <v>4002</v>
      </c>
      <c r="E680" s="516">
        <f t="shared" si="6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641</v>
      </c>
      <c r="W680" s="541" t="s">
        <v>4003</v>
      </c>
      <c r="X680" s="516" t="s">
        <v>790</v>
      </c>
      <c r="Y680" s="542">
        <v>35402</v>
      </c>
      <c r="Z680" s="543">
        <f t="shared" ca="1" si="7"/>
        <v>29</v>
      </c>
      <c r="AA680" s="534" t="s">
        <v>4004</v>
      </c>
      <c r="AB680" s="516"/>
      <c r="AC680" s="516" t="s">
        <v>842</v>
      </c>
      <c r="AD680" s="516" t="s">
        <v>851</v>
      </c>
      <c r="AE680" s="534" t="s">
        <v>713</v>
      </c>
      <c r="AF680" s="566" t="s">
        <v>713</v>
      </c>
      <c r="AG680" s="534" t="s">
        <v>4005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4006</v>
      </c>
      <c r="E681" s="516">
        <f t="shared" si="6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660</v>
      </c>
      <c r="W681" s="541" t="s">
        <v>4007</v>
      </c>
      <c r="X681" s="516" t="s">
        <v>790</v>
      </c>
      <c r="Y681" s="542">
        <v>35555</v>
      </c>
      <c r="Z681" s="543">
        <f t="shared" ca="1" si="7"/>
        <v>28</v>
      </c>
      <c r="AA681" s="534" t="s">
        <v>4008</v>
      </c>
      <c r="AB681" s="516"/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4010</v>
      </c>
      <c r="E682" s="516">
        <f t="shared" si="6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898</v>
      </c>
      <c r="V682" s="538" t="s">
        <v>691</v>
      </c>
      <c r="W682" s="541" t="s">
        <v>4011</v>
      </c>
      <c r="X682" s="516" t="s">
        <v>790</v>
      </c>
      <c r="Y682" s="542">
        <v>18218</v>
      </c>
      <c r="Z682" s="543">
        <f t="shared" ca="1" si="7"/>
        <v>76</v>
      </c>
      <c r="AA682" s="534" t="s">
        <v>4012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1729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4014</v>
      </c>
      <c r="E683" s="516">
        <f t="shared" si="6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799</v>
      </c>
      <c r="V683" s="538" t="s">
        <v>4015</v>
      </c>
      <c r="W683" s="541" t="s">
        <v>4016</v>
      </c>
      <c r="X683" s="516" t="s">
        <v>790</v>
      </c>
      <c r="Y683" s="542">
        <v>22220</v>
      </c>
      <c r="Z683" s="543">
        <f t="shared" ca="1" si="7"/>
        <v>65</v>
      </c>
      <c r="AA683" s="534" t="s">
        <v>4017</v>
      </c>
      <c r="AB683" s="516"/>
      <c r="AC683" s="516" t="s">
        <v>842</v>
      </c>
      <c r="AD683" s="516" t="s">
        <v>851</v>
      </c>
      <c r="AE683" s="534" t="s">
        <v>713</v>
      </c>
      <c r="AF683" s="534" t="s">
        <v>1735</v>
      </c>
      <c r="AG683" s="534" t="s">
        <v>4019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4020</v>
      </c>
      <c r="E684" s="516">
        <f t="shared" si="6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898</v>
      </c>
      <c r="V684" s="538" t="s">
        <v>4021</v>
      </c>
      <c r="W684" s="541" t="s">
        <v>4022</v>
      </c>
      <c r="X684" s="516" t="s">
        <v>790</v>
      </c>
      <c r="Y684" s="542">
        <v>18796</v>
      </c>
      <c r="Z684" s="543">
        <f t="shared" ca="1" si="7"/>
        <v>74</v>
      </c>
      <c r="AA684" s="534" t="s">
        <v>4023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1735</v>
      </c>
      <c r="AG684" s="534" t="s">
        <v>4025</v>
      </c>
      <c r="AH684" s="516"/>
      <c r="AI684" s="516"/>
      <c r="AJ684" s="516" t="s">
        <v>1497</v>
      </c>
      <c r="AK684" s="516"/>
      <c r="AL684" s="544"/>
      <c r="AM684" s="544"/>
    </row>
    <row r="685" spans="3:39" ht="18" customHeight="1">
      <c r="C685" s="516">
        <v>665</v>
      </c>
      <c r="D685" s="516" t="s">
        <v>4026</v>
      </c>
      <c r="E685" s="516">
        <f t="shared" si="6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799</v>
      </c>
      <c r="V685" s="538" t="s">
        <v>4027</v>
      </c>
      <c r="W685" s="541" t="s">
        <v>4028</v>
      </c>
      <c r="X685" s="516" t="s">
        <v>790</v>
      </c>
      <c r="Y685" s="542">
        <v>21313</v>
      </c>
      <c r="Z685" s="543">
        <f t="shared" ca="1" si="7"/>
        <v>67</v>
      </c>
      <c r="AA685" s="534" t="s">
        <v>4029</v>
      </c>
      <c r="AB685" s="516"/>
      <c r="AC685" s="516" t="s">
        <v>842</v>
      </c>
      <c r="AD685" s="516" t="s">
        <v>843</v>
      </c>
      <c r="AE685" s="534" t="s">
        <v>713</v>
      </c>
      <c r="AF685" s="534" t="s">
        <v>713</v>
      </c>
      <c r="AG685" s="534" t="s">
        <v>1229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4031</v>
      </c>
      <c r="E686" s="516">
        <f t="shared" si="6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59" t="s">
        <v>3995</v>
      </c>
      <c r="Q686" s="539" t="s">
        <v>308</v>
      </c>
      <c r="R686" s="516"/>
      <c r="S686" s="516"/>
      <c r="T686" s="516"/>
      <c r="U686" s="516" t="s">
        <v>799</v>
      </c>
      <c r="V686" s="559" t="s">
        <v>4032</v>
      </c>
      <c r="W686" s="541" t="s">
        <v>4033</v>
      </c>
      <c r="X686" s="516" t="s">
        <v>790</v>
      </c>
      <c r="Y686" s="542">
        <v>26711</v>
      </c>
      <c r="Z686" s="543">
        <f t="shared" ca="1" si="7"/>
        <v>52</v>
      </c>
      <c r="AA686" s="534" t="s">
        <v>4034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4035</v>
      </c>
      <c r="AH686" s="516"/>
      <c r="AI686" s="516" t="s">
        <v>866</v>
      </c>
      <c r="AJ686" s="516" t="s">
        <v>1852</v>
      </c>
      <c r="AK686" s="516"/>
      <c r="AL686" s="544"/>
      <c r="AM686" s="544"/>
    </row>
    <row r="687" spans="3:39" ht="18" customHeight="1">
      <c r="C687" s="516">
        <v>667</v>
      </c>
      <c r="D687" s="516" t="s">
        <v>1186</v>
      </c>
      <c r="E687" s="516">
        <f t="shared" si="6"/>
        <v>622</v>
      </c>
      <c r="F687" s="534"/>
      <c r="G687" s="534" t="s">
        <v>4036</v>
      </c>
      <c r="H687" s="535" t="s">
        <v>1106</v>
      </c>
      <c r="I687" s="535" t="s">
        <v>80</v>
      </c>
      <c r="J687" s="535" t="s">
        <v>908</v>
      </c>
      <c r="K687" s="535" t="s">
        <v>1186</v>
      </c>
      <c r="L687" s="535"/>
      <c r="M687" s="536"/>
      <c r="N687" s="537"/>
      <c r="O687" s="537"/>
      <c r="P687" s="548" t="s">
        <v>4037</v>
      </c>
      <c r="Q687" s="539"/>
      <c r="R687" s="516" t="s">
        <v>49</v>
      </c>
      <c r="S687" s="516" t="s">
        <v>168</v>
      </c>
      <c r="T687" s="516"/>
      <c r="U687" s="516"/>
      <c r="V687" s="548" t="s">
        <v>275</v>
      </c>
      <c r="W687" s="541" t="s">
        <v>4038</v>
      </c>
      <c r="X687" s="516" t="s">
        <v>876</v>
      </c>
      <c r="Y687" s="542">
        <v>29090</v>
      </c>
      <c r="Z687" s="543">
        <f t="shared" ca="1" si="7"/>
        <v>46</v>
      </c>
      <c r="AA687" s="534" t="s">
        <v>1188</v>
      </c>
      <c r="AB687" s="516"/>
      <c r="AC687" s="516" t="s">
        <v>802</v>
      </c>
      <c r="AD687" s="516" t="s">
        <v>794</v>
      </c>
      <c r="AE687" s="534" t="s">
        <v>713</v>
      </c>
      <c r="AF687" s="534" t="s">
        <v>1163</v>
      </c>
      <c r="AG687" s="534" t="s">
        <v>1172</v>
      </c>
      <c r="AH687" s="516" t="s">
        <v>872</v>
      </c>
      <c r="AI687" s="516"/>
      <c r="AJ687" s="516"/>
      <c r="AK687" s="516"/>
      <c r="AL687" s="544"/>
      <c r="AM687" s="544"/>
    </row>
    <row r="688" spans="3:39" ht="18" customHeight="1">
      <c r="C688" s="516">
        <v>668</v>
      </c>
      <c r="D688" s="516" t="s">
        <v>4039</v>
      </c>
      <c r="E688" s="516">
        <f t="shared" si="6"/>
        <v>623</v>
      </c>
      <c r="F688" s="534" t="s">
        <v>811</v>
      </c>
      <c r="G688" s="534" t="s">
        <v>4036</v>
      </c>
      <c r="H688" s="535" t="s">
        <v>1106</v>
      </c>
      <c r="I688" s="535" t="s">
        <v>80</v>
      </c>
      <c r="J688" s="535" t="s">
        <v>1118</v>
      </c>
      <c r="K688" s="535" t="s">
        <v>1186</v>
      </c>
      <c r="L688" s="535"/>
      <c r="M688" s="536"/>
      <c r="N688" s="537"/>
      <c r="O688" s="537"/>
      <c r="P688" s="538" t="s">
        <v>4037</v>
      </c>
      <c r="Q688" s="539" t="s">
        <v>308</v>
      </c>
      <c r="R688" s="516"/>
      <c r="S688" s="516"/>
      <c r="T688" s="516"/>
      <c r="U688" s="516" t="s">
        <v>874</v>
      </c>
      <c r="V688" s="538" t="s">
        <v>606</v>
      </c>
      <c r="W688" s="541" t="s">
        <v>4040</v>
      </c>
      <c r="X688" s="516" t="s">
        <v>876</v>
      </c>
      <c r="Y688" s="542">
        <v>24600</v>
      </c>
      <c r="Z688" s="543">
        <f t="shared" ca="1" si="7"/>
        <v>58</v>
      </c>
      <c r="AA688" s="534" t="s">
        <v>4041</v>
      </c>
      <c r="AB688" s="516"/>
      <c r="AC688" s="516" t="s">
        <v>842</v>
      </c>
      <c r="AD688" s="516" t="s">
        <v>843</v>
      </c>
      <c r="AE688" s="534" t="s">
        <v>713</v>
      </c>
      <c r="AF688" s="534" t="s">
        <v>713</v>
      </c>
      <c r="AG688" s="534" t="s">
        <v>1229</v>
      </c>
      <c r="AH688" s="516"/>
      <c r="AI688" s="516"/>
      <c r="AJ688" s="569" t="s">
        <v>1224</v>
      </c>
      <c r="AK688" s="516"/>
      <c r="AL688" s="544"/>
      <c r="AM688" s="544"/>
    </row>
    <row r="689" spans="3:39" ht="18" customHeight="1">
      <c r="C689" s="516">
        <v>669</v>
      </c>
      <c r="D689" s="516" t="s">
        <v>4043</v>
      </c>
      <c r="E689" s="516">
        <f t="shared" si="6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1106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625</v>
      </c>
      <c r="W689" s="541" t="s">
        <v>4044</v>
      </c>
      <c r="X689" s="516" t="s">
        <v>876</v>
      </c>
      <c r="Y689" s="542">
        <v>26817</v>
      </c>
      <c r="Z689" s="543">
        <f t="shared" ca="1" si="7"/>
        <v>52</v>
      </c>
      <c r="AA689" s="534" t="s">
        <v>4045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1373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4046</v>
      </c>
      <c r="E690" s="516">
        <f t="shared" si="6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642</v>
      </c>
      <c r="W690" s="541" t="s">
        <v>4047</v>
      </c>
      <c r="X690" s="516" t="s">
        <v>876</v>
      </c>
      <c r="Y690" s="542">
        <v>27630</v>
      </c>
      <c r="Z690" s="543">
        <f t="shared" ca="1" si="7"/>
        <v>50</v>
      </c>
      <c r="AA690" s="534" t="s">
        <v>4048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4050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4051</v>
      </c>
      <c r="E691" s="516">
        <f t="shared" si="6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661</v>
      </c>
      <c r="W691" s="541" t="s">
        <v>4052</v>
      </c>
      <c r="X691" s="516" t="s">
        <v>876</v>
      </c>
      <c r="Y691" s="542">
        <v>29536</v>
      </c>
      <c r="Z691" s="543">
        <f t="shared" ca="1" si="7"/>
        <v>45</v>
      </c>
      <c r="AA691" s="534" t="s">
        <v>4053</v>
      </c>
      <c r="AB691" s="516"/>
      <c r="AC691" s="516" t="s">
        <v>842</v>
      </c>
      <c r="AD691" s="516" t="s">
        <v>843</v>
      </c>
      <c r="AE691" s="534" t="s">
        <v>2039</v>
      </c>
      <c r="AF691" s="534" t="s">
        <v>2039</v>
      </c>
      <c r="AG691" s="534" t="s">
        <v>4054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4055</v>
      </c>
      <c r="E692" s="516">
        <f t="shared" si="6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59" t="s">
        <v>4037</v>
      </c>
      <c r="Q692" s="539" t="s">
        <v>308</v>
      </c>
      <c r="R692" s="516"/>
      <c r="S692" s="516"/>
      <c r="T692" s="516"/>
      <c r="U692" s="516" t="s">
        <v>874</v>
      </c>
      <c r="V692" s="559" t="s">
        <v>677</v>
      </c>
      <c r="W692" s="541" t="s">
        <v>4056</v>
      </c>
      <c r="X692" s="516" t="s">
        <v>876</v>
      </c>
      <c r="Y692" s="542">
        <v>31881</v>
      </c>
      <c r="Z692" s="543">
        <f t="shared" ca="1" si="7"/>
        <v>38</v>
      </c>
      <c r="AA692" s="534" t="s">
        <v>4057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713</v>
      </c>
      <c r="AG692" s="534" t="s">
        <v>1229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3760</v>
      </c>
      <c r="E693" s="516">
        <f t="shared" si="6"/>
        <v>627</v>
      </c>
      <c r="F693" s="534"/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3760</v>
      </c>
      <c r="L693" s="535"/>
      <c r="M693" s="536"/>
      <c r="N693" s="537"/>
      <c r="O693" s="537"/>
      <c r="P693" s="548" t="s">
        <v>4059</v>
      </c>
      <c r="Q693" s="539"/>
      <c r="R693" s="516" t="s">
        <v>49</v>
      </c>
      <c r="S693" s="516" t="s">
        <v>168</v>
      </c>
      <c r="T693" s="516"/>
      <c r="U693" s="516"/>
      <c r="V693" s="548" t="s">
        <v>590</v>
      </c>
      <c r="W693" s="541" t="s">
        <v>3762</v>
      </c>
      <c r="X693" s="516" t="s">
        <v>876</v>
      </c>
      <c r="Y693" s="542">
        <v>21524</v>
      </c>
      <c r="Z693" s="543">
        <f t="shared" ca="1" si="7"/>
        <v>67</v>
      </c>
      <c r="AA693" s="534" t="s">
        <v>3763</v>
      </c>
      <c r="AB693" s="516"/>
      <c r="AC693" s="516" t="s">
        <v>802</v>
      </c>
      <c r="AD693" s="516" t="s">
        <v>794</v>
      </c>
      <c r="AE693" s="534"/>
      <c r="AF693" s="534"/>
      <c r="AG693" s="534"/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4061</v>
      </c>
      <c r="E694" s="516">
        <f t="shared" si="6"/>
        <v>628</v>
      </c>
      <c r="F694" s="534" t="s">
        <v>811</v>
      </c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38" t="s">
        <v>4059</v>
      </c>
      <c r="Q694" s="539" t="s">
        <v>308</v>
      </c>
      <c r="R694" s="516"/>
      <c r="S694" s="516"/>
      <c r="T694" s="516"/>
      <c r="U694" s="516" t="s">
        <v>874</v>
      </c>
      <c r="V694" s="538" t="s">
        <v>607</v>
      </c>
      <c r="W694" s="541" t="s">
        <v>4062</v>
      </c>
      <c r="X694" s="516" t="s">
        <v>876</v>
      </c>
      <c r="Y694" s="542">
        <v>22993</v>
      </c>
      <c r="Z694" s="543">
        <f t="shared" ca="1" si="7"/>
        <v>63</v>
      </c>
      <c r="AA694" s="534" t="s">
        <v>4063</v>
      </c>
      <c r="AB694" s="516"/>
      <c r="AC694" s="516" t="s">
        <v>842</v>
      </c>
      <c r="AD694" s="516" t="s">
        <v>843</v>
      </c>
      <c r="AE694" s="534" t="s">
        <v>713</v>
      </c>
      <c r="AF694" s="534" t="s">
        <v>713</v>
      </c>
      <c r="AG694" s="534" t="s">
        <v>1094</v>
      </c>
      <c r="AH694" s="516"/>
      <c r="AI694" s="516"/>
      <c r="AJ694" s="569" t="s">
        <v>1224</v>
      </c>
      <c r="AK694" s="516"/>
      <c r="AL694" s="544"/>
      <c r="AM694" s="544"/>
    </row>
    <row r="695" spans="3:39" ht="18" customHeight="1">
      <c r="C695" s="516">
        <v>675</v>
      </c>
      <c r="D695" s="516" t="s">
        <v>4065</v>
      </c>
      <c r="E695" s="516">
        <f t="shared" si="6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626</v>
      </c>
      <c r="W695" s="541" t="s">
        <v>4066</v>
      </c>
      <c r="X695" s="516" t="s">
        <v>876</v>
      </c>
      <c r="Y695" s="542">
        <v>24691</v>
      </c>
      <c r="Z695" s="543">
        <f t="shared" ca="1" si="7"/>
        <v>58</v>
      </c>
      <c r="AA695" s="534" t="s">
        <v>4067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1894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4069</v>
      </c>
      <c r="E696" s="516">
        <f t="shared" si="6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643</v>
      </c>
      <c r="W696" s="541" t="s">
        <v>4070</v>
      </c>
      <c r="X696" s="516" t="s">
        <v>876</v>
      </c>
      <c r="Y696" s="542">
        <v>24929</v>
      </c>
      <c r="Z696" s="543">
        <f t="shared" ca="1" si="7"/>
        <v>57</v>
      </c>
      <c r="AA696" s="534" t="s">
        <v>4071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1427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4073</v>
      </c>
      <c r="E697" s="516">
        <f t="shared" si="6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662</v>
      </c>
      <c r="W697" s="541" t="s">
        <v>4074</v>
      </c>
      <c r="X697" s="516" t="s">
        <v>876</v>
      </c>
      <c r="Y697" s="542">
        <v>26306</v>
      </c>
      <c r="Z697" s="543">
        <f t="shared" ca="1" si="7"/>
        <v>54</v>
      </c>
      <c r="AA697" s="534" t="s">
        <v>4075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4077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4078</v>
      </c>
      <c r="E698" s="516">
        <f t="shared" si="6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59" t="s">
        <v>4059</v>
      </c>
      <c r="Q698" s="539" t="s">
        <v>308</v>
      </c>
      <c r="R698" s="516"/>
      <c r="S698" s="516"/>
      <c r="T698" s="516"/>
      <c r="U698" s="516" t="s">
        <v>874</v>
      </c>
      <c r="V698" s="559" t="s">
        <v>678</v>
      </c>
      <c r="W698" s="541" t="s">
        <v>4079</v>
      </c>
      <c r="X698" s="516" t="s">
        <v>876</v>
      </c>
      <c r="Y698" s="542">
        <v>28381</v>
      </c>
      <c r="Z698" s="543">
        <f t="shared" ca="1" si="7"/>
        <v>48</v>
      </c>
      <c r="AA698" s="534" t="s">
        <v>4080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4082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2520</v>
      </c>
      <c r="E699" s="516">
        <f t="shared" si="6"/>
        <v>632</v>
      </c>
      <c r="F699" s="534"/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2520</v>
      </c>
      <c r="L699" s="535" t="s">
        <v>786</v>
      </c>
      <c r="M699" s="536"/>
      <c r="N699" s="537"/>
      <c r="O699" s="537"/>
      <c r="P699" s="548" t="s">
        <v>4083</v>
      </c>
      <c r="Q699" s="539"/>
      <c r="R699" s="516"/>
      <c r="S699" s="516" t="s">
        <v>168</v>
      </c>
      <c r="T699" s="516"/>
      <c r="U699" s="516"/>
      <c r="V699" s="548" t="s">
        <v>180</v>
      </c>
      <c r="W699" s="541" t="s">
        <v>2522</v>
      </c>
      <c r="X699" s="516" t="s">
        <v>876</v>
      </c>
      <c r="Y699" s="542">
        <v>25699</v>
      </c>
      <c r="Z699" s="543">
        <f t="shared" ca="1" si="7"/>
        <v>55</v>
      </c>
      <c r="AA699" s="534" t="s">
        <v>2523</v>
      </c>
      <c r="AB699" s="516"/>
      <c r="AC699" s="516" t="s">
        <v>802</v>
      </c>
      <c r="AD699" s="516" t="s">
        <v>794</v>
      </c>
      <c r="AE699" s="534" t="s">
        <v>815</v>
      </c>
      <c r="AF699" s="534" t="s">
        <v>815</v>
      </c>
      <c r="AG699" s="534" t="s">
        <v>2525</v>
      </c>
      <c r="AH699" s="516" t="s">
        <v>872</v>
      </c>
      <c r="AI699" s="516"/>
      <c r="AJ699" s="516"/>
      <c r="AK699" s="516"/>
      <c r="AL699" s="544"/>
      <c r="AM699" s="544"/>
    </row>
    <row r="700" spans="3:39" ht="18" customHeight="1">
      <c r="C700" s="516">
        <v>680</v>
      </c>
      <c r="D700" s="516" t="s">
        <v>4084</v>
      </c>
      <c r="E700" s="516">
        <f t="shared" si="6"/>
        <v>633</v>
      </c>
      <c r="F700" s="534" t="s">
        <v>811</v>
      </c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/>
      <c r="M700" s="536"/>
      <c r="N700" s="537"/>
      <c r="O700" s="537"/>
      <c r="P700" s="538" t="s">
        <v>4083</v>
      </c>
      <c r="Q700" s="539" t="s">
        <v>308</v>
      </c>
      <c r="R700" s="516"/>
      <c r="S700" s="516"/>
      <c r="T700" s="516"/>
      <c r="U700" s="516" t="s">
        <v>874</v>
      </c>
      <c r="V700" s="538" t="s">
        <v>4085</v>
      </c>
      <c r="W700" s="541" t="s">
        <v>4086</v>
      </c>
      <c r="X700" s="516" t="s">
        <v>876</v>
      </c>
      <c r="Y700" s="542">
        <v>20919</v>
      </c>
      <c r="Z700" s="543">
        <f t="shared" ca="1" si="7"/>
        <v>68</v>
      </c>
      <c r="AA700" s="534" t="s">
        <v>4087</v>
      </c>
      <c r="AB700" s="516"/>
      <c r="AC700" s="516" t="s">
        <v>842</v>
      </c>
      <c r="AD700" s="516" t="s">
        <v>843</v>
      </c>
      <c r="AE700" s="534" t="s">
        <v>815</v>
      </c>
      <c r="AF700" s="534" t="s">
        <v>1400</v>
      </c>
      <c r="AG700" s="534" t="s">
        <v>2888</v>
      </c>
      <c r="AH700" s="516"/>
      <c r="AI700" s="516"/>
      <c r="AJ700" s="569" t="s">
        <v>1224</v>
      </c>
      <c r="AK700" s="516"/>
      <c r="AL700" s="544"/>
      <c r="AM700" s="544"/>
    </row>
    <row r="701" spans="3:39" ht="18" customHeight="1">
      <c r="C701" s="516">
        <v>681</v>
      </c>
      <c r="D701" s="516" t="s">
        <v>4089</v>
      </c>
      <c r="E701" s="516">
        <f t="shared" si="6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627</v>
      </c>
      <c r="W701" s="541" t="s">
        <v>4090</v>
      </c>
      <c r="X701" s="516" t="s">
        <v>876</v>
      </c>
      <c r="Y701" s="542">
        <v>22040</v>
      </c>
      <c r="Z701" s="543">
        <f t="shared" ca="1" si="7"/>
        <v>65</v>
      </c>
      <c r="AA701" s="534" t="s">
        <v>4091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815</v>
      </c>
      <c r="AG701" s="534" t="s">
        <v>4093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4094</v>
      </c>
      <c r="E702" s="516">
        <f t="shared" si="6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4219</v>
      </c>
      <c r="W702" s="541" t="s">
        <v>4095</v>
      </c>
      <c r="X702" s="516" t="s">
        <v>876</v>
      </c>
      <c r="Y702" s="542">
        <v>26478</v>
      </c>
      <c r="Z702" s="543">
        <f t="shared" ca="1" si="7"/>
        <v>53</v>
      </c>
      <c r="AA702" s="534" t="s">
        <v>4096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4098</v>
      </c>
      <c r="E703" s="516">
        <f t="shared" si="6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663</v>
      </c>
      <c r="W703" s="541" t="s">
        <v>4099</v>
      </c>
      <c r="X703" s="516" t="s">
        <v>876</v>
      </c>
      <c r="Y703" s="542">
        <v>27186</v>
      </c>
      <c r="Z703" s="543">
        <f t="shared" ca="1" si="7"/>
        <v>51</v>
      </c>
      <c r="AA703" s="534" t="s">
        <v>4100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1352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4102</v>
      </c>
      <c r="E704" s="516">
        <f t="shared" si="6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59" t="s">
        <v>4083</v>
      </c>
      <c r="Q704" s="539" t="s">
        <v>308</v>
      </c>
      <c r="R704" s="516"/>
      <c r="S704" s="516"/>
      <c r="T704" s="516"/>
      <c r="U704" s="516" t="s">
        <v>874</v>
      </c>
      <c r="V704" s="559" t="s">
        <v>679</v>
      </c>
      <c r="W704" s="541" t="s">
        <v>4103</v>
      </c>
      <c r="X704" s="516" t="s">
        <v>876</v>
      </c>
      <c r="Y704" s="542">
        <v>28887</v>
      </c>
      <c r="Z704" s="543">
        <f t="shared" ca="1" si="7"/>
        <v>46</v>
      </c>
      <c r="AA704" s="534" t="s">
        <v>4104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2411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2918</v>
      </c>
      <c r="E705" s="516">
        <f t="shared" si="6"/>
        <v>637</v>
      </c>
      <c r="F705" s="534"/>
      <c r="G705" s="534" t="s">
        <v>4036</v>
      </c>
      <c r="H705" s="535" t="s">
        <v>1106</v>
      </c>
      <c r="I705" s="535" t="s">
        <v>80</v>
      </c>
      <c r="J705" s="535" t="s">
        <v>908</v>
      </c>
      <c r="K705" s="535" t="s">
        <v>2918</v>
      </c>
      <c r="L705" s="535" t="s">
        <v>786</v>
      </c>
      <c r="M705" s="536"/>
      <c r="N705" s="537"/>
      <c r="O705" s="537"/>
      <c r="P705" s="548" t="s">
        <v>4106</v>
      </c>
      <c r="Q705" s="539"/>
      <c r="R705" s="516" t="s">
        <v>163</v>
      </c>
      <c r="S705" s="516" t="s">
        <v>500</v>
      </c>
      <c r="T705" s="516" t="s">
        <v>49</v>
      </c>
      <c r="U705" s="516"/>
      <c r="V705" s="548" t="s">
        <v>498</v>
      </c>
      <c r="W705" s="541" t="s">
        <v>2919</v>
      </c>
      <c r="X705" s="516" t="s">
        <v>876</v>
      </c>
      <c r="Y705" s="542">
        <v>22147</v>
      </c>
      <c r="Z705" s="543">
        <f t="shared" ca="1" si="7"/>
        <v>65</v>
      </c>
      <c r="AA705" s="534" t="s">
        <v>2920</v>
      </c>
      <c r="AB705" s="516"/>
      <c r="AC705" s="516" t="s">
        <v>842</v>
      </c>
      <c r="AD705" s="516" t="s">
        <v>794</v>
      </c>
      <c r="AE705" s="534" t="s">
        <v>236</v>
      </c>
      <c r="AF705" s="534" t="s">
        <v>236</v>
      </c>
      <c r="AG705" s="534" t="s">
        <v>865</v>
      </c>
      <c r="AH705" s="516" t="s">
        <v>872</v>
      </c>
      <c r="AI705" s="516"/>
      <c r="AJ705" s="516"/>
      <c r="AK705" s="516"/>
      <c r="AL705" s="544"/>
      <c r="AM705" s="544"/>
    </row>
    <row r="706" spans="3:39" ht="18" customHeight="1">
      <c r="C706" s="516">
        <v>686</v>
      </c>
      <c r="D706" s="516" t="s">
        <v>4107</v>
      </c>
      <c r="E706" s="516">
        <f t="shared" si="6"/>
        <v>638</v>
      </c>
      <c r="F706" s="534" t="s">
        <v>1001</v>
      </c>
      <c r="G706" s="534" t="s">
        <v>4036</v>
      </c>
      <c r="H706" s="535" t="s">
        <v>1106</v>
      </c>
      <c r="I706" s="535" t="s">
        <v>80</v>
      </c>
      <c r="J706" s="535" t="s">
        <v>1118</v>
      </c>
      <c r="K706" s="535" t="s">
        <v>2918</v>
      </c>
      <c r="L706" s="535" t="s">
        <v>786</v>
      </c>
      <c r="M706" s="536"/>
      <c r="N706" s="537"/>
      <c r="O706" s="537"/>
      <c r="P706" s="538" t="s">
        <v>4106</v>
      </c>
      <c r="Q706" s="539" t="s">
        <v>308</v>
      </c>
      <c r="R706" s="516"/>
      <c r="S706" s="516"/>
      <c r="T706" s="516"/>
      <c r="U706" s="516" t="s">
        <v>874</v>
      </c>
      <c r="V706" s="538" t="s">
        <v>609</v>
      </c>
      <c r="W706" s="541" t="s">
        <v>4108</v>
      </c>
      <c r="X706" s="516" t="s">
        <v>876</v>
      </c>
      <c r="Y706" s="542">
        <v>20956</v>
      </c>
      <c r="Z706" s="543">
        <f t="shared" ca="1" si="7"/>
        <v>68</v>
      </c>
      <c r="AA706" s="534" t="s">
        <v>4109</v>
      </c>
      <c r="AB706" s="516"/>
      <c r="AC706" s="516" t="s">
        <v>842</v>
      </c>
      <c r="AD706" s="516" t="s">
        <v>843</v>
      </c>
      <c r="AE706" s="534" t="s">
        <v>236</v>
      </c>
      <c r="AF706" s="534" t="s">
        <v>236</v>
      </c>
      <c r="AG706" s="534" t="s">
        <v>865</v>
      </c>
      <c r="AH706" s="516"/>
      <c r="AI706" s="516"/>
      <c r="AJ706" s="569" t="s">
        <v>4111</v>
      </c>
      <c r="AK706" s="516"/>
      <c r="AL706" s="544"/>
      <c r="AM706" s="544"/>
    </row>
    <row r="707" spans="3:39" ht="18" customHeight="1">
      <c r="C707" s="516">
        <v>687</v>
      </c>
      <c r="D707" s="516" t="s">
        <v>4112</v>
      </c>
      <c r="E707" s="516">
        <f t="shared" si="6"/>
        <v>639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628</v>
      </c>
      <c r="W707" s="541" t="s">
        <v>4113</v>
      </c>
      <c r="X707" s="516" t="s">
        <v>876</v>
      </c>
      <c r="Y707" s="542">
        <v>23295</v>
      </c>
      <c r="Z707" s="543">
        <f t="shared" ca="1" si="7"/>
        <v>62</v>
      </c>
      <c r="AA707" s="534" t="s">
        <v>4114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1846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4116</v>
      </c>
      <c r="E708" s="516">
        <f t="shared" si="6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645</v>
      </c>
      <c r="W708" s="541" t="s">
        <v>4117</v>
      </c>
      <c r="X708" s="516" t="s">
        <v>876</v>
      </c>
      <c r="Y708" s="542">
        <v>23392</v>
      </c>
      <c r="Z708" s="543">
        <f t="shared" ca="1" si="7"/>
        <v>62</v>
      </c>
      <c r="AA708" s="534" t="s">
        <v>4118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743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4120</v>
      </c>
      <c r="E709" s="516">
        <f t="shared" si="6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664</v>
      </c>
      <c r="W709" s="541" t="s">
        <v>4121</v>
      </c>
      <c r="X709" s="516" t="s">
        <v>876</v>
      </c>
      <c r="Y709" s="542">
        <v>23701</v>
      </c>
      <c r="Z709" s="543">
        <f t="shared" ca="1" si="7"/>
        <v>61</v>
      </c>
      <c r="AA709" s="534" t="s">
        <v>4122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4124</v>
      </c>
      <c r="E710" s="516">
        <f t="shared" si="6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59" t="s">
        <v>4106</v>
      </c>
      <c r="Q710" s="539" t="s">
        <v>308</v>
      </c>
      <c r="R710" s="516"/>
      <c r="S710" s="516"/>
      <c r="T710" s="516"/>
      <c r="U710" s="516" t="s">
        <v>874</v>
      </c>
      <c r="V710" s="559" t="s">
        <v>680</v>
      </c>
      <c r="W710" s="541" t="s">
        <v>4125</v>
      </c>
      <c r="X710" s="516" t="s">
        <v>876</v>
      </c>
      <c r="Y710" s="542">
        <v>24508</v>
      </c>
      <c r="Z710" s="543">
        <f t="shared" ca="1" si="7"/>
        <v>58</v>
      </c>
      <c r="AA710" s="534" t="s">
        <v>4126</v>
      </c>
      <c r="AB710" s="516"/>
      <c r="AC710" s="516" t="s">
        <v>842</v>
      </c>
      <c r="AD710" s="516" t="s">
        <v>843</v>
      </c>
      <c r="AE710" s="534" t="s">
        <v>942</v>
      </c>
      <c r="AF710" s="534" t="s">
        <v>942</v>
      </c>
      <c r="AG710" s="534" t="s">
        <v>4127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06"/>
      <c r="D711" s="506"/>
      <c r="E711" s="506"/>
      <c r="F711" s="515"/>
      <c r="G711" s="515"/>
      <c r="H711" s="641"/>
      <c r="I711" s="641"/>
      <c r="J711" s="641"/>
      <c r="K711" s="641"/>
      <c r="L711" s="641"/>
      <c r="M711" s="642"/>
      <c r="N711" s="642"/>
      <c r="O711" s="642"/>
      <c r="P711" s="515"/>
      <c r="Q711" s="506"/>
      <c r="R711" s="506"/>
      <c r="S711" s="506"/>
      <c r="T711" s="506"/>
      <c r="U711" s="506"/>
      <c r="V711" s="515"/>
      <c r="W711" s="643"/>
      <c r="X711" s="506"/>
      <c r="Y711" s="644"/>
      <c r="Z711" s="645"/>
      <c r="AA711" s="515"/>
      <c r="AB711" s="506"/>
      <c r="AC711" s="506"/>
      <c r="AD711" s="506"/>
      <c r="AE711" s="515"/>
      <c r="AF711" s="515"/>
      <c r="AG711" s="515"/>
      <c r="AH711" s="506"/>
      <c r="AI711" s="506"/>
      <c r="AJ711" s="752"/>
      <c r="AK711" s="506"/>
      <c r="AL711" s="647"/>
      <c r="AM711" s="647"/>
    </row>
    <row r="712" spans="3:39" ht="18" customHeight="1">
      <c r="C712" s="506"/>
      <c r="D712" s="506"/>
      <c r="E712" s="506"/>
      <c r="F712" s="515"/>
      <c r="G712" s="515"/>
      <c r="H712" s="641"/>
      <c r="I712" s="641"/>
      <c r="J712" s="641"/>
      <c r="K712" s="641"/>
      <c r="L712" s="641"/>
      <c r="M712" s="642"/>
      <c r="N712" s="642"/>
      <c r="O712" s="642"/>
      <c r="P712" s="515"/>
      <c r="Q712" s="506"/>
      <c r="R712" s="506"/>
      <c r="S712" s="506"/>
      <c r="T712" s="506"/>
      <c r="U712" s="506"/>
      <c r="V712" s="515"/>
      <c r="W712" s="643"/>
      <c r="X712" s="506"/>
      <c r="Y712" s="644"/>
      <c r="Z712" s="645"/>
      <c r="AA712" s="515"/>
      <c r="AB712" s="506"/>
      <c r="AC712" s="506"/>
      <c r="AD712" s="506"/>
      <c r="AE712" s="515"/>
      <c r="AF712" s="515"/>
      <c r="AG712" s="515"/>
      <c r="AH712" s="506"/>
      <c r="AI712" s="506"/>
      <c r="AJ712" s="752"/>
      <c r="AK712" s="506"/>
      <c r="AL712" s="647"/>
      <c r="AM712" s="647"/>
    </row>
    <row r="713" spans="3:39" ht="18" customHeight="1">
      <c r="C713" s="506"/>
      <c r="D713" s="506"/>
      <c r="E713" s="506"/>
      <c r="F713" s="515"/>
      <c r="G713" s="515"/>
      <c r="H713" s="641"/>
      <c r="I713" s="641"/>
      <c r="J713" s="641"/>
      <c r="K713" s="641"/>
      <c r="L713" s="641"/>
      <c r="M713" s="642"/>
      <c r="N713" s="642"/>
      <c r="O713" s="642"/>
      <c r="P713" s="515"/>
      <c r="Q713" s="506"/>
      <c r="R713" s="506"/>
      <c r="S713" s="506"/>
      <c r="T713" s="506"/>
      <c r="U713" s="506"/>
      <c r="V713" s="515"/>
      <c r="W713" s="643"/>
      <c r="X713" s="506"/>
      <c r="Y713" s="644"/>
      <c r="Z713" s="645"/>
      <c r="AA713" s="515"/>
      <c r="AB713" s="506"/>
      <c r="AC713" s="506"/>
      <c r="AD713" s="506"/>
      <c r="AE713" s="515"/>
      <c r="AF713" s="515"/>
      <c r="AG713" s="515"/>
      <c r="AH713" s="506"/>
      <c r="AI713" s="506"/>
      <c r="AJ713" s="752"/>
      <c r="AK713" s="506"/>
      <c r="AL713" s="647"/>
      <c r="AM713" s="647"/>
    </row>
    <row r="714" spans="3:39" ht="18" customHeight="1">
      <c r="C714" s="506"/>
      <c r="D714" s="506"/>
      <c r="E714" s="506"/>
      <c r="F714" s="515"/>
      <c r="G714" s="515"/>
      <c r="H714" s="641"/>
      <c r="I714" s="641"/>
      <c r="J714" s="641"/>
      <c r="K714" s="641"/>
      <c r="L714" s="641"/>
      <c r="M714" s="642"/>
      <c r="N714" s="642"/>
      <c r="O714" s="642"/>
      <c r="P714" s="515"/>
      <c r="Q714" s="506"/>
      <c r="R714" s="506"/>
      <c r="S714" s="506"/>
      <c r="T714" s="506"/>
      <c r="U714" s="506"/>
      <c r="V714" s="515"/>
      <c r="W714" s="643"/>
      <c r="X714" s="506"/>
      <c r="Y714" s="644"/>
      <c r="Z714" s="645"/>
      <c r="AA714" s="515"/>
      <c r="AB714" s="506"/>
      <c r="AC714" s="506"/>
      <c r="AD714" s="506"/>
      <c r="AE714" s="515"/>
      <c r="AF714" s="515"/>
      <c r="AG714" s="515"/>
      <c r="AH714" s="506"/>
      <c r="AI714" s="506"/>
      <c r="AJ714" s="752"/>
      <c r="AK714" s="506"/>
      <c r="AL714" s="647"/>
      <c r="AM714" s="647"/>
    </row>
    <row r="715" spans="3:39" ht="18" customHeight="1">
      <c r="C715" s="506"/>
      <c r="D715" s="506"/>
      <c r="E715" s="506"/>
      <c r="F715" s="515"/>
      <c r="G715" s="515"/>
      <c r="H715" s="641"/>
      <c r="I715" s="641"/>
      <c r="J715" s="641"/>
      <c r="K715" s="641"/>
      <c r="L715" s="641"/>
      <c r="M715" s="642"/>
      <c r="N715" s="642"/>
      <c r="O715" s="642"/>
      <c r="P715" s="515"/>
      <c r="Q715" s="506"/>
      <c r="R715" s="506"/>
      <c r="S715" s="506"/>
      <c r="T715" s="506"/>
      <c r="U715" s="506"/>
      <c r="V715" s="515"/>
      <c r="W715" s="643"/>
      <c r="X715" s="506"/>
      <c r="Y715" s="644"/>
      <c r="Z715" s="645"/>
      <c r="AA715" s="515"/>
      <c r="AB715" s="506"/>
      <c r="AC715" s="506"/>
      <c r="AD715" s="506"/>
      <c r="AE715" s="515"/>
      <c r="AF715" s="515"/>
      <c r="AG715" s="515"/>
      <c r="AH715" s="506"/>
      <c r="AI715" s="506"/>
      <c r="AJ715" s="752"/>
      <c r="AK715" s="506"/>
      <c r="AL715" s="647"/>
      <c r="AM715" s="647"/>
    </row>
    <row r="716" spans="3:39" ht="18" customHeight="1">
      <c r="C716" s="506"/>
      <c r="D716" s="506"/>
      <c r="E716" s="506"/>
      <c r="F716" s="515"/>
      <c r="G716" s="515"/>
      <c r="H716" s="641"/>
      <c r="I716" s="641"/>
      <c r="J716" s="641"/>
      <c r="K716" s="641"/>
      <c r="L716" s="641"/>
      <c r="M716" s="642"/>
      <c r="N716" s="642"/>
      <c r="O716" s="642"/>
      <c r="P716" s="515"/>
      <c r="Q716" s="506"/>
      <c r="R716" s="506"/>
      <c r="S716" s="506"/>
      <c r="T716" s="506"/>
      <c r="U716" s="506"/>
      <c r="V716" s="515"/>
      <c r="W716" s="643"/>
      <c r="X716" s="506"/>
      <c r="Y716" s="644"/>
      <c r="Z716" s="645"/>
      <c r="AA716" s="515"/>
      <c r="AB716" s="506"/>
      <c r="AC716" s="506"/>
      <c r="AD716" s="506"/>
      <c r="AE716" s="515"/>
      <c r="AF716" s="515"/>
      <c r="AG716" s="515"/>
      <c r="AH716" s="506"/>
      <c r="AI716" s="506"/>
      <c r="AJ716" s="752"/>
      <c r="AK716" s="506"/>
      <c r="AL716" s="647"/>
      <c r="AM716" s="647"/>
    </row>
  </sheetData>
  <autoFilter ref="C20:AM710" xr:uid="{00000000-0009-0000-0000-000008000000}"/>
  <phoneticPr fontId="139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8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643</v>
      </c>
      <c r="D19" s="654" t="s">
        <v>747</v>
      </c>
      <c r="E19" s="516">
        <f>SUBTOTAL(103,$F$21:F711)</f>
        <v>643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4440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 t="s">
        <v>1571</v>
      </c>
      <c r="AI32" s="516" t="s">
        <v>860</v>
      </c>
      <c r="AJ32" s="516"/>
      <c r="AK32" s="516"/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 t="s">
        <v>1571</v>
      </c>
      <c r="AI33" s="516" t="s">
        <v>860</v>
      </c>
      <c r="AJ33" s="516" t="s">
        <v>867</v>
      </c>
      <c r="AK33" s="516"/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922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 t="s">
        <v>49</v>
      </c>
      <c r="S34" s="516" t="s">
        <v>49</v>
      </c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/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922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922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922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922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 t="s">
        <v>1571</v>
      </c>
      <c r="AI38" s="516" t="s">
        <v>860</v>
      </c>
      <c r="AJ38" s="516"/>
      <c r="AK38" s="516"/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/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 t="s">
        <v>1571</v>
      </c>
      <c r="AI44" s="516" t="s">
        <v>860</v>
      </c>
      <c r="AJ44" s="516"/>
      <c r="AK44" s="516"/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 t="s">
        <v>1571</v>
      </c>
      <c r="AI45" s="516" t="s">
        <v>860</v>
      </c>
      <c r="AJ45" s="516"/>
      <c r="AK45" s="516"/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 t="s">
        <v>1571</v>
      </c>
      <c r="AI56" s="516"/>
      <c r="AJ56" s="516" t="s">
        <v>976</v>
      </c>
      <c r="AK56" s="516"/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 t="s">
        <v>1571</v>
      </c>
      <c r="AI57" s="516" t="s">
        <v>4441</v>
      </c>
      <c r="AJ57" s="516" t="s">
        <v>867</v>
      </c>
      <c r="AK57" s="516"/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 t="s">
        <v>1571</v>
      </c>
      <c r="AI58" s="516"/>
      <c r="AJ58" s="516" t="s">
        <v>903</v>
      </c>
      <c r="AK58" s="516"/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871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 t="s">
        <v>1571</v>
      </c>
      <c r="AI69" s="516" t="s">
        <v>860</v>
      </c>
      <c r="AJ69" s="516"/>
      <c r="AK69" s="516"/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4442</v>
      </c>
      <c r="AJ76" s="516"/>
      <c r="AK76" s="516"/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/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/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/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4443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843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 t="s">
        <v>1571</v>
      </c>
      <c r="AI98" s="516" t="s">
        <v>4444</v>
      </c>
      <c r="AJ98" s="516"/>
      <c r="AK98" s="516"/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 t="s">
        <v>1571</v>
      </c>
      <c r="AI99" s="516" t="s">
        <v>860</v>
      </c>
      <c r="AJ99" s="516"/>
      <c r="AK99" s="516"/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 t="s">
        <v>1571</v>
      </c>
      <c r="AI100" s="516" t="s">
        <v>860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163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/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/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/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/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/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/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842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 t="s">
        <v>1571</v>
      </c>
      <c r="AI133" s="516" t="s">
        <v>860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843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 t="s">
        <v>4445</v>
      </c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843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 t="s">
        <v>1571</v>
      </c>
      <c r="AI151" s="516" t="s">
        <v>860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 t="s">
        <v>1571</v>
      </c>
      <c r="AI152" s="516" t="s">
        <v>4446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 t="s">
        <v>1571</v>
      </c>
      <c r="AI153" s="516" t="s">
        <v>860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/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/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 t="s">
        <v>1571</v>
      </c>
      <c r="AI170" s="516" t="s">
        <v>4447</v>
      </c>
      <c r="AJ170" s="516" t="s">
        <v>1497</v>
      </c>
      <c r="AK170" s="516"/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49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/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/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73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843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 t="s">
        <v>1571</v>
      </c>
      <c r="AI190" s="516" t="s">
        <v>4448</v>
      </c>
      <c r="AJ190" s="516" t="s">
        <v>844</v>
      </c>
      <c r="AK190" s="516" t="s">
        <v>4449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 t="s">
        <v>1571</v>
      </c>
      <c r="AI191" s="516" t="s">
        <v>4450</v>
      </c>
      <c r="AJ191" s="516" t="s">
        <v>844</v>
      </c>
      <c r="AK191" s="516" t="s">
        <v>4449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2318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 t="s">
        <v>1571</v>
      </c>
      <c r="AI193" s="516"/>
      <c r="AJ193" s="516" t="s">
        <v>1535</v>
      </c>
      <c r="AK193" s="516" t="s">
        <v>4449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4451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/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842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/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467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 t="s">
        <v>1571</v>
      </c>
      <c r="AI225" s="516" t="s">
        <v>4452</v>
      </c>
      <c r="AJ225" s="516" t="s">
        <v>971</v>
      </c>
      <c r="AK225" s="516"/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 t="s">
        <v>1571</v>
      </c>
      <c r="AI228" s="516" t="s">
        <v>860</v>
      </c>
      <c r="AJ228" s="516" t="s">
        <v>844</v>
      </c>
      <c r="AK228" s="516" t="s">
        <v>1083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 t="s">
        <v>1571</v>
      </c>
      <c r="AI229" s="516" t="s">
        <v>4453</v>
      </c>
      <c r="AJ229" s="516" t="s">
        <v>971</v>
      </c>
      <c r="AK229" s="516" t="s">
        <v>1083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 t="s">
        <v>1571</v>
      </c>
      <c r="AI230" s="516" t="s">
        <v>4453</v>
      </c>
      <c r="AJ230" s="516" t="s">
        <v>971</v>
      </c>
      <c r="AK230" s="516" t="s">
        <v>1083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 t="s">
        <v>1571</v>
      </c>
      <c r="AI231" s="516" t="s">
        <v>4454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 t="s">
        <v>1571</v>
      </c>
      <c r="AI232" s="516" t="s">
        <v>4446</v>
      </c>
      <c r="AJ232" s="516" t="s">
        <v>903</v>
      </c>
      <c r="AK232" s="516" t="s">
        <v>1083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 t="s">
        <v>1571</v>
      </c>
      <c r="AI233" s="516" t="s">
        <v>860</v>
      </c>
      <c r="AJ233" s="516" t="s">
        <v>1535</v>
      </c>
      <c r="AK233" s="572" t="s">
        <v>1284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843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843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 t="s">
        <v>1571</v>
      </c>
      <c r="AI253" s="516" t="s">
        <v>4455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 t="s">
        <v>1571</v>
      </c>
      <c r="AI254" s="516" t="s">
        <v>4456</v>
      </c>
      <c r="AJ254" s="516" t="s">
        <v>903</v>
      </c>
      <c r="AK254" s="516" t="s">
        <v>1083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/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/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530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163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4457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860</v>
      </c>
      <c r="AJ292" s="516" t="s">
        <v>832</v>
      </c>
      <c r="AK292" s="516" t="s">
        <v>4458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 t="s">
        <v>1571</v>
      </c>
      <c r="AI293" s="516" t="s">
        <v>860</v>
      </c>
      <c r="AJ293" s="516" t="s">
        <v>832</v>
      </c>
      <c r="AK293" s="516" t="s">
        <v>4458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 t="s">
        <v>1571</v>
      </c>
      <c r="AI299" s="516" t="s">
        <v>4459</v>
      </c>
      <c r="AJ299" s="516" t="s">
        <v>1852</v>
      </c>
      <c r="AK299" s="516" t="s">
        <v>1083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 t="s">
        <v>1571</v>
      </c>
      <c r="AI306" s="516" t="s">
        <v>4460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 t="s">
        <v>1571</v>
      </c>
      <c r="AI313" s="516" t="s">
        <v>860</v>
      </c>
      <c r="AJ313" s="516" t="s">
        <v>1535</v>
      </c>
      <c r="AK313" s="516" t="s">
        <v>1083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 t="s">
        <v>62</v>
      </c>
      <c r="S315" s="516" t="s">
        <v>548</v>
      </c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 t="s">
        <v>1571</v>
      </c>
      <c r="AI318" s="516" t="s">
        <v>4461</v>
      </c>
      <c r="AJ318" s="516" t="s">
        <v>1852</v>
      </c>
      <c r="AK318" s="516" t="s">
        <v>1083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/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73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73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73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309</v>
      </c>
      <c r="D329" s="516" t="s">
        <v>4218</v>
      </c>
      <c r="E329" s="516">
        <f t="shared" si="2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535" t="s">
        <v>786</v>
      </c>
      <c r="M329" s="536"/>
      <c r="N329" s="537"/>
      <c r="O329" s="537"/>
      <c r="P329" s="559" t="s">
        <v>787</v>
      </c>
      <c r="Q329" s="539" t="s">
        <v>308</v>
      </c>
      <c r="R329" s="516"/>
      <c r="S329" s="516"/>
      <c r="T329" s="516"/>
      <c r="U329" s="516" t="s">
        <v>898</v>
      </c>
      <c r="V329" s="559" t="s">
        <v>303</v>
      </c>
      <c r="W329" s="541" t="s">
        <v>4220</v>
      </c>
      <c r="X329" s="516" t="s">
        <v>790</v>
      </c>
      <c r="Y329" s="542">
        <v>15810</v>
      </c>
      <c r="Z329" s="543">
        <f t="shared" ca="1" si="3"/>
        <v>82</v>
      </c>
      <c r="AA329" s="534" t="s">
        <v>4462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2641</v>
      </c>
      <c r="AH329" s="516"/>
      <c r="AI329" s="516"/>
      <c r="AJ329" s="593" t="s">
        <v>1604</v>
      </c>
      <c r="AK329" s="516"/>
      <c r="AL329" s="544"/>
      <c r="AM329" s="544"/>
    </row>
    <row r="330" spans="3:39" ht="18" customHeight="1">
      <c r="C330" s="516">
        <v>310</v>
      </c>
      <c r="D330" s="516" t="s">
        <v>2319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3"/>
        <v>54</v>
      </c>
      <c r="AA330" s="534" t="s">
        <v>2323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3:39" ht="18" customHeight="1">
      <c r="C331" s="516">
        <v>311</v>
      </c>
      <c r="D331" s="516" t="s">
        <v>2320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3"/>
        <v>50</v>
      </c>
      <c r="AA331" s="534" t="s">
        <v>2327</v>
      </c>
      <c r="AB331" s="516"/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3:39" ht="18" customHeight="1">
      <c r="C332" s="516">
        <v>312</v>
      </c>
      <c r="D332" s="516" t="s">
        <v>2329</v>
      </c>
      <c r="E332" s="516">
        <f t="shared" si="2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3"/>
        <v>52</v>
      </c>
      <c r="AA332" s="534" t="s">
        <v>2331</v>
      </c>
      <c r="AB332" s="516"/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3:39" ht="18" customHeight="1">
      <c r="C333" s="516">
        <v>313</v>
      </c>
      <c r="D333" s="516" t="s">
        <v>2334</v>
      </c>
      <c r="E333" s="516">
        <f t="shared" si="2"/>
        <v>293</v>
      </c>
      <c r="F333" s="534" t="s">
        <v>811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3"/>
        <v>61</v>
      </c>
      <c r="AA333" s="534" t="s">
        <v>864</v>
      </c>
      <c r="AB333" s="516"/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314</v>
      </c>
      <c r="D334" s="516" t="s">
        <v>2338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3"/>
        <v>38</v>
      </c>
      <c r="AA334" s="534" t="s">
        <v>2341</v>
      </c>
      <c r="AB334" s="516"/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315</v>
      </c>
      <c r="D335" s="516" t="s">
        <v>2344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3"/>
        <v>50</v>
      </c>
      <c r="AA335" s="534" t="s">
        <v>2347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316</v>
      </c>
      <c r="D336" s="516" t="s">
        <v>2350</v>
      </c>
      <c r="E336" s="516">
        <f t="shared" si="2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3"/>
        <v>43</v>
      </c>
      <c r="AA336" s="534" t="s">
        <v>2353</v>
      </c>
      <c r="AB336" s="516"/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3:39" ht="18" customHeight="1">
      <c r="C337" s="516">
        <v>317</v>
      </c>
      <c r="D337" s="516" t="s">
        <v>2355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3"/>
        <v>41</v>
      </c>
      <c r="AA337" s="534" t="s">
        <v>2358</v>
      </c>
      <c r="AB337" s="516"/>
      <c r="AC337" s="516" t="s">
        <v>842</v>
      </c>
      <c r="AD337" s="573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3:39" ht="18" customHeight="1">
      <c r="C338" s="516">
        <v>318</v>
      </c>
      <c r="D338" s="516" t="s">
        <v>2360</v>
      </c>
      <c r="E338" s="516">
        <f t="shared" si="2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3"/>
        <v>37</v>
      </c>
      <c r="AA338" s="534" t="s">
        <v>2362</v>
      </c>
      <c r="AB338" s="516"/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3:39" ht="18" customHeight="1">
      <c r="C339" s="516">
        <v>319</v>
      </c>
      <c r="D339" s="516" t="s">
        <v>2368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3"/>
        <v>55</v>
      </c>
      <c r="AA339" s="534" t="s">
        <v>2374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3:39" ht="18" customHeight="1">
      <c r="C340" s="516">
        <v>320</v>
      </c>
      <c r="D340" s="516" t="s">
        <v>2379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/>
      <c r="S340" s="516"/>
      <c r="T340" s="516"/>
      <c r="U340" s="516" t="s">
        <v>874</v>
      </c>
      <c r="V340" s="538" t="s">
        <v>217</v>
      </c>
      <c r="W340" s="541" t="s">
        <v>2380</v>
      </c>
      <c r="X340" s="516" t="s">
        <v>876</v>
      </c>
      <c r="Y340" s="542">
        <v>23437</v>
      </c>
      <c r="Z340" s="543">
        <f t="shared" ca="1" si="3"/>
        <v>61</v>
      </c>
      <c r="AA340" s="534" t="s">
        <v>2381</v>
      </c>
      <c r="AB340" s="516"/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2383</v>
      </c>
      <c r="AH340" s="516"/>
      <c r="AI340" s="516"/>
      <c r="AJ340" s="516"/>
      <c r="AK340" s="516"/>
      <c r="AL340" s="544"/>
      <c r="AM340" s="544"/>
    </row>
    <row r="341" spans="3:39" ht="18" customHeight="1">
      <c r="C341" s="516">
        <v>321</v>
      </c>
      <c r="D341" s="516" t="s">
        <v>2384</v>
      </c>
      <c r="E341" s="516">
        <f t="shared" si="2"/>
        <v>301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 t="s">
        <v>49</v>
      </c>
      <c r="S341" s="516" t="s">
        <v>168</v>
      </c>
      <c r="T341" s="516"/>
      <c r="U341" s="516" t="s">
        <v>874</v>
      </c>
      <c r="V341" s="538" t="s">
        <v>197</v>
      </c>
      <c r="W341" s="541" t="s">
        <v>2385</v>
      </c>
      <c r="X341" s="516" t="s">
        <v>876</v>
      </c>
      <c r="Y341" s="542">
        <v>28739</v>
      </c>
      <c r="Z341" s="543">
        <f t="shared" ca="1" si="3"/>
        <v>47</v>
      </c>
      <c r="AA341" s="534"/>
      <c r="AB341" s="516"/>
      <c r="AC341" s="516" t="s">
        <v>802</v>
      </c>
      <c r="AD341" s="516" t="s">
        <v>794</v>
      </c>
      <c r="AE341" s="534" t="s">
        <v>1735</v>
      </c>
      <c r="AF341" s="534" t="s">
        <v>1735</v>
      </c>
      <c r="AG341" s="534" t="s">
        <v>2388</v>
      </c>
      <c r="AH341" s="516"/>
      <c r="AI341" s="516"/>
      <c r="AJ341" s="516" t="s">
        <v>844</v>
      </c>
      <c r="AK341" s="516"/>
      <c r="AL341" s="544"/>
      <c r="AM341" s="544"/>
    </row>
    <row r="342" spans="3:39" ht="18" customHeight="1">
      <c r="C342" s="516">
        <v>322</v>
      </c>
      <c r="D342" s="516" t="s">
        <v>2389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237</v>
      </c>
      <c r="W342" s="541" t="s">
        <v>2390</v>
      </c>
      <c r="X342" s="516" t="s">
        <v>876</v>
      </c>
      <c r="Y342" s="542">
        <v>15634</v>
      </c>
      <c r="Z342" s="543">
        <f t="shared" ca="1" si="3"/>
        <v>83</v>
      </c>
      <c r="AA342" s="534" t="s">
        <v>2391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3:39" ht="18" customHeight="1">
      <c r="C343" s="516">
        <v>323</v>
      </c>
      <c r="D343" s="516" t="s">
        <v>2392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255</v>
      </c>
      <c r="W343" s="541" t="s">
        <v>2393</v>
      </c>
      <c r="X343" s="516" t="s">
        <v>876</v>
      </c>
      <c r="Y343" s="542">
        <v>18124</v>
      </c>
      <c r="Z343" s="543">
        <f t="shared" ca="1" si="3"/>
        <v>76</v>
      </c>
      <c r="AA343" s="534" t="s">
        <v>2394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3:39" ht="18" customHeight="1">
      <c r="C344" s="516">
        <v>324</v>
      </c>
      <c r="D344" s="516" t="s">
        <v>2396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874</v>
      </c>
      <c r="V344" s="538" t="s">
        <v>272</v>
      </c>
      <c r="W344" s="541" t="s">
        <v>2397</v>
      </c>
      <c r="X344" s="516" t="s">
        <v>876</v>
      </c>
      <c r="Y344" s="542">
        <v>25188</v>
      </c>
      <c r="Z344" s="543">
        <f t="shared" ca="1" si="3"/>
        <v>57</v>
      </c>
      <c r="AA344" s="534" t="s">
        <v>2398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3:39" ht="18" customHeight="1">
      <c r="C345" s="516">
        <v>325</v>
      </c>
      <c r="D345" s="516" t="s">
        <v>2371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 t="s">
        <v>62</v>
      </c>
      <c r="S345" s="516" t="s">
        <v>548</v>
      </c>
      <c r="T345" s="516"/>
      <c r="U345" s="516" t="s">
        <v>874</v>
      </c>
      <c r="V345" s="538" t="s">
        <v>283</v>
      </c>
      <c r="W345" s="541" t="s">
        <v>2376</v>
      </c>
      <c r="X345" s="516" t="s">
        <v>876</v>
      </c>
      <c r="Y345" s="542">
        <v>26792</v>
      </c>
      <c r="Z345" s="543">
        <f t="shared" ca="1" si="3"/>
        <v>52</v>
      </c>
      <c r="AA345" s="534" t="s">
        <v>2377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3:39" ht="18" customHeight="1">
      <c r="C346" s="516">
        <v>326</v>
      </c>
      <c r="D346" s="516" t="s">
        <v>2399</v>
      </c>
      <c r="E346" s="516">
        <f t="shared" si="2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36"/>
      <c r="N346" s="537"/>
      <c r="O346" s="537"/>
      <c r="P346" s="559" t="s">
        <v>2372</v>
      </c>
      <c r="Q346" s="539"/>
      <c r="R346" s="516"/>
      <c r="S346" s="516"/>
      <c r="T346" s="516"/>
      <c r="U346" s="516" t="s">
        <v>874</v>
      </c>
      <c r="V346" s="559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3"/>
        <v>65</v>
      </c>
      <c r="AA346" s="534" t="s">
        <v>2401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3:39" ht="18" customHeight="1">
      <c r="C347" s="516">
        <v>327</v>
      </c>
      <c r="D347" s="516" t="s">
        <v>2368</v>
      </c>
      <c r="E347" s="516">
        <f t="shared" si="2"/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3:39" ht="18" customHeight="1">
      <c r="C348" s="516">
        <v>328</v>
      </c>
      <c r="D348" s="516" t="s">
        <v>2424</v>
      </c>
      <c r="E348" s="516">
        <f t="shared" si="2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3:39" ht="18" customHeight="1">
      <c r="C349" s="516">
        <v>329</v>
      </c>
      <c r="D349" s="516" t="s">
        <v>2430</v>
      </c>
      <c r="E349" s="516">
        <f t="shared" si="2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3:39" ht="18" customHeight="1">
      <c r="C350" s="516">
        <v>330</v>
      </c>
      <c r="D350" s="516" t="s">
        <v>2434</v>
      </c>
      <c r="E350" s="516">
        <f t="shared" si="2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3:39" ht="18" customHeight="1">
      <c r="C351" s="516">
        <v>331</v>
      </c>
      <c r="D351" s="516" t="s">
        <v>2439</v>
      </c>
      <c r="E351" s="516">
        <f t="shared" si="2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 t="s">
        <v>1571</v>
      </c>
      <c r="AI351" s="516" t="s">
        <v>4463</v>
      </c>
      <c r="AJ351" s="516" t="s">
        <v>844</v>
      </c>
      <c r="AK351" s="516"/>
      <c r="AL351" s="544"/>
      <c r="AM351" s="544"/>
    </row>
    <row r="352" spans="3:39" ht="18" customHeight="1">
      <c r="C352" s="516">
        <v>332</v>
      </c>
      <c r="D352" s="516" t="s">
        <v>2444</v>
      </c>
      <c r="E352" s="516">
        <f t="shared" si="2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 t="s">
        <v>1571</v>
      </c>
      <c r="AI352" s="516" t="s">
        <v>4463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2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2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2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2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842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2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2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/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2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843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2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843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2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843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2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2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2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843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2"/>
        <v>323</v>
      </c>
      <c r="F365" s="534"/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48" t="s">
        <v>938</v>
      </c>
      <c r="Q365" s="539"/>
      <c r="R365" s="516" t="s">
        <v>49</v>
      </c>
      <c r="S365" s="516" t="s">
        <v>168</v>
      </c>
      <c r="T365" s="516"/>
      <c r="U365" s="516"/>
      <c r="V365" s="54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/>
      <c r="AC365" s="516" t="s">
        <v>802</v>
      </c>
      <c r="AD365" s="516" t="s">
        <v>794</v>
      </c>
      <c r="AE365" s="534" t="s">
        <v>815</v>
      </c>
      <c r="AF365" s="534" t="s">
        <v>815</v>
      </c>
      <c r="AG365" s="534" t="s">
        <v>2525</v>
      </c>
      <c r="AH365" s="516" t="s">
        <v>872</v>
      </c>
      <c r="AI365" s="516"/>
      <c r="AJ365" s="516"/>
      <c r="AK365" s="516"/>
      <c r="AL365" s="544"/>
      <c r="AM365" s="544"/>
    </row>
    <row r="366" spans="3:39" ht="18" customHeight="1">
      <c r="C366" s="516">
        <v>346</v>
      </c>
      <c r="D366" s="516" t="s">
        <v>2520</v>
      </c>
      <c r="E366" s="516">
        <f t="shared" si="2"/>
        <v>324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/>
      <c r="R366" s="516" t="s">
        <v>49</v>
      </c>
      <c r="S366" s="516" t="s">
        <v>168</v>
      </c>
      <c r="T366" s="516"/>
      <c r="U366" s="516" t="s">
        <v>874</v>
      </c>
      <c r="V366" s="538" t="s">
        <v>180</v>
      </c>
      <c r="W366" s="541" t="s">
        <v>2522</v>
      </c>
      <c r="X366" s="516" t="s">
        <v>876</v>
      </c>
      <c r="Y366" s="542">
        <v>25699</v>
      </c>
      <c r="Z366" s="543">
        <f t="shared" ca="1" si="3"/>
        <v>55</v>
      </c>
      <c r="AA366" s="534" t="s">
        <v>2523</v>
      </c>
      <c r="AB366" s="516"/>
      <c r="AC366" s="516" t="s">
        <v>802</v>
      </c>
      <c r="AD366" s="516" t="s">
        <v>794</v>
      </c>
      <c r="AE366" s="534" t="s">
        <v>815</v>
      </c>
      <c r="AF366" s="606" t="s">
        <v>815</v>
      </c>
      <c r="AG366" s="534" t="s">
        <v>2525</v>
      </c>
      <c r="AH366" s="516"/>
      <c r="AI366" s="516"/>
      <c r="AJ366" s="516" t="s">
        <v>903</v>
      </c>
      <c r="AK366" s="516"/>
      <c r="AL366" s="544"/>
      <c r="AM366" s="544"/>
    </row>
    <row r="367" spans="3:39" ht="18" customHeight="1">
      <c r="C367" s="516">
        <v>347</v>
      </c>
      <c r="D367" s="516" t="s">
        <v>2531</v>
      </c>
      <c r="E367" s="516">
        <f t="shared" si="2"/>
        <v>325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 t="s">
        <v>62</v>
      </c>
      <c r="S367" s="516" t="s">
        <v>548</v>
      </c>
      <c r="T367" s="516"/>
      <c r="U367" s="516" t="s">
        <v>898</v>
      </c>
      <c r="V367" s="538" t="s">
        <v>200</v>
      </c>
      <c r="W367" s="541" t="s">
        <v>2532</v>
      </c>
      <c r="X367" s="516" t="s">
        <v>876</v>
      </c>
      <c r="Y367" s="542">
        <v>19481</v>
      </c>
      <c r="Z367" s="543">
        <f t="shared" ca="1" si="3"/>
        <v>72</v>
      </c>
      <c r="AA367" s="534" t="s">
        <v>2533</v>
      </c>
      <c r="AB367" s="516"/>
      <c r="AC367" s="516" t="s">
        <v>842</v>
      </c>
      <c r="AD367" s="516" t="s">
        <v>843</v>
      </c>
      <c r="AE367" s="534" t="s">
        <v>942</v>
      </c>
      <c r="AF367" s="534" t="s">
        <v>2535</v>
      </c>
      <c r="AG367" s="534" t="s">
        <v>2536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2537</v>
      </c>
      <c r="E368" s="516">
        <f t="shared" si="2"/>
        <v>326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/>
      <c r="S368" s="516"/>
      <c r="T368" s="516"/>
      <c r="U368" s="516" t="s">
        <v>898</v>
      </c>
      <c r="V368" s="538" t="s">
        <v>221</v>
      </c>
      <c r="W368" s="541" t="s">
        <v>2538</v>
      </c>
      <c r="X368" s="516" t="s">
        <v>876</v>
      </c>
      <c r="Y368" s="542">
        <v>19809</v>
      </c>
      <c r="Z368" s="543">
        <f t="shared" ca="1" si="3"/>
        <v>71</v>
      </c>
      <c r="AA368" s="534" t="s">
        <v>2539</v>
      </c>
      <c r="AB368" s="516"/>
      <c r="AC368" s="516" t="s">
        <v>842</v>
      </c>
      <c r="AD368" s="516" t="s">
        <v>843</v>
      </c>
      <c r="AE368" s="534" t="s">
        <v>815</v>
      </c>
      <c r="AF368" s="606" t="s">
        <v>815</v>
      </c>
      <c r="AG368" s="534" t="s">
        <v>2496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2521</v>
      </c>
      <c r="E369" s="516">
        <f t="shared" si="2"/>
        <v>327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38" t="s">
        <v>938</v>
      </c>
      <c r="Q369" s="539" t="s">
        <v>308</v>
      </c>
      <c r="R369" s="516" t="s">
        <v>62</v>
      </c>
      <c r="S369" s="516" t="s">
        <v>548</v>
      </c>
      <c r="T369" s="516"/>
      <c r="U369" s="516" t="s">
        <v>874</v>
      </c>
      <c r="V369" s="538" t="s">
        <v>241</v>
      </c>
      <c r="W369" s="541" t="s">
        <v>4433</v>
      </c>
      <c r="X369" s="516" t="s">
        <v>876</v>
      </c>
      <c r="Y369" s="542">
        <v>23880</v>
      </c>
      <c r="Z369" s="543">
        <f t="shared" ca="1" si="3"/>
        <v>60</v>
      </c>
      <c r="AA369" s="534" t="s">
        <v>2527</v>
      </c>
      <c r="AB369" s="516"/>
      <c r="AC369" s="516" t="s">
        <v>842</v>
      </c>
      <c r="AD369" s="516" t="s">
        <v>843</v>
      </c>
      <c r="AE369" s="534" t="s">
        <v>815</v>
      </c>
      <c r="AF369" s="534" t="s">
        <v>2529</v>
      </c>
      <c r="AG369" s="534" t="s">
        <v>2530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2541</v>
      </c>
      <c r="E370" s="516">
        <f t="shared" si="2"/>
        <v>328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36"/>
      <c r="N370" s="537"/>
      <c r="O370" s="537"/>
      <c r="P370" s="559" t="s">
        <v>938</v>
      </c>
      <c r="Q370" s="539" t="s">
        <v>308</v>
      </c>
      <c r="R370" s="516"/>
      <c r="S370" s="516"/>
      <c r="T370" s="516"/>
      <c r="U370" s="516" t="s">
        <v>874</v>
      </c>
      <c r="V370" s="559" t="s">
        <v>258</v>
      </c>
      <c r="W370" s="541" t="s">
        <v>2542</v>
      </c>
      <c r="X370" s="516" t="s">
        <v>876</v>
      </c>
      <c r="Y370" s="542">
        <v>26431</v>
      </c>
      <c r="Z370" s="543">
        <f t="shared" ca="1" si="3"/>
        <v>53</v>
      </c>
      <c r="AA370" s="534" t="s">
        <v>2543</v>
      </c>
      <c r="AB370" s="516"/>
      <c r="AC370" s="516" t="s">
        <v>842</v>
      </c>
      <c r="AD370" s="516" t="s">
        <v>843</v>
      </c>
      <c r="AE370" s="534" t="s">
        <v>815</v>
      </c>
      <c r="AF370" s="606" t="s">
        <v>815</v>
      </c>
      <c r="AG370" s="534" t="s">
        <v>2297</v>
      </c>
      <c r="AH370" s="516"/>
      <c r="AI370" s="516"/>
      <c r="AJ370" s="516" t="s">
        <v>1497</v>
      </c>
      <c r="AK370" s="516"/>
      <c r="AL370" s="544"/>
      <c r="AM370" s="544"/>
    </row>
    <row r="371" spans="3:39" ht="18" customHeight="1">
      <c r="C371" s="516">
        <v>351</v>
      </c>
      <c r="D371" s="516" t="s">
        <v>1258</v>
      </c>
      <c r="E371" s="516">
        <f t="shared" si="2"/>
        <v>328</v>
      </c>
      <c r="F371" s="534"/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48" t="s">
        <v>978</v>
      </c>
      <c r="Q371" s="539"/>
      <c r="R371" s="516" t="s">
        <v>49</v>
      </c>
      <c r="S371" s="516" t="s">
        <v>49</v>
      </c>
      <c r="T371" s="516"/>
      <c r="U371" s="516"/>
      <c r="V371" s="548" t="s">
        <v>166</v>
      </c>
      <c r="W371" s="541" t="s">
        <v>1261</v>
      </c>
      <c r="X371" s="516" t="s">
        <v>876</v>
      </c>
      <c r="Y371" s="542">
        <v>21384</v>
      </c>
      <c r="Z371" s="543">
        <f t="shared" ca="1" si="3"/>
        <v>67</v>
      </c>
      <c r="AA371" s="534" t="s">
        <v>1262</v>
      </c>
      <c r="AB371" s="516"/>
      <c r="AC371" s="516" t="s">
        <v>842</v>
      </c>
      <c r="AD371" s="516" t="s">
        <v>794</v>
      </c>
      <c r="AE371" s="534" t="s">
        <v>713</v>
      </c>
      <c r="AF371" s="534" t="s">
        <v>1163</v>
      </c>
      <c r="AG371" s="534" t="s">
        <v>1172</v>
      </c>
      <c r="AH371" s="516" t="s">
        <v>872</v>
      </c>
      <c r="AI371" s="516"/>
      <c r="AJ371" s="516"/>
      <c r="AK371" s="516"/>
      <c r="AL371" s="544"/>
      <c r="AM371" s="544"/>
    </row>
    <row r="372" spans="3:39" ht="18" customHeight="1">
      <c r="C372" s="516">
        <v>352</v>
      </c>
      <c r="D372" s="516" t="s">
        <v>2553</v>
      </c>
      <c r="E372" s="516">
        <f t="shared" si="2"/>
        <v>329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201</v>
      </c>
      <c r="W372" s="541" t="s">
        <v>2554</v>
      </c>
      <c r="X372" s="516" t="s">
        <v>876</v>
      </c>
      <c r="Y372" s="542">
        <v>21961</v>
      </c>
      <c r="Z372" s="543">
        <f t="shared" ca="1" si="3"/>
        <v>65</v>
      </c>
      <c r="AA372" s="534" t="s">
        <v>1591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1352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2556</v>
      </c>
      <c r="E373" s="516">
        <f t="shared" si="2"/>
        <v>330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/>
      <c r="S373" s="516"/>
      <c r="T373" s="516"/>
      <c r="U373" s="516" t="s">
        <v>874</v>
      </c>
      <c r="V373" s="538" t="s">
        <v>222</v>
      </c>
      <c r="W373" s="541" t="s">
        <v>2557</v>
      </c>
      <c r="X373" s="516" t="s">
        <v>876</v>
      </c>
      <c r="Y373" s="542">
        <v>22297</v>
      </c>
      <c r="Z373" s="543">
        <f t="shared" ca="1" si="3"/>
        <v>65</v>
      </c>
      <c r="AA373" s="534" t="s">
        <v>2558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2560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2545</v>
      </c>
      <c r="E374" s="516">
        <f t="shared" si="2"/>
        <v>331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 t="s">
        <v>62</v>
      </c>
      <c r="S374" s="516" t="s">
        <v>548</v>
      </c>
      <c r="T374" s="516"/>
      <c r="U374" s="516" t="s">
        <v>874</v>
      </c>
      <c r="V374" s="538" t="s">
        <v>242</v>
      </c>
      <c r="W374" s="541" t="s">
        <v>2547</v>
      </c>
      <c r="X374" s="516" t="s">
        <v>876</v>
      </c>
      <c r="Y374" s="542">
        <v>25424</v>
      </c>
      <c r="Z374" s="543">
        <f t="shared" ca="1" si="3"/>
        <v>56</v>
      </c>
      <c r="AA374" s="534" t="s">
        <v>2548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1352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2561</v>
      </c>
      <c r="E375" s="516">
        <f t="shared" si="2"/>
        <v>332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259</v>
      </c>
      <c r="W375" s="541" t="s">
        <v>2562</v>
      </c>
      <c r="X375" s="516" t="s">
        <v>876</v>
      </c>
      <c r="Y375" s="542">
        <v>25568</v>
      </c>
      <c r="Z375" s="543">
        <f t="shared" ca="1" si="3"/>
        <v>56</v>
      </c>
      <c r="AA375" s="534" t="s">
        <v>2563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2565</v>
      </c>
      <c r="E376" s="516">
        <f t="shared" si="2"/>
        <v>333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274</v>
      </c>
      <c r="W376" s="541" t="s">
        <v>2566</v>
      </c>
      <c r="X376" s="516" t="s">
        <v>876</v>
      </c>
      <c r="Y376" s="542">
        <v>25925</v>
      </c>
      <c r="Z376" s="543">
        <f t="shared" ca="1" si="3"/>
        <v>55</v>
      </c>
      <c r="AA376" s="534" t="s">
        <v>2567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2306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2546</v>
      </c>
      <c r="E377" s="516">
        <f t="shared" si="2"/>
        <v>334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 t="s">
        <v>62</v>
      </c>
      <c r="S377" s="516" t="s">
        <v>548</v>
      </c>
      <c r="T377" s="516"/>
      <c r="U377" s="516" t="s">
        <v>874</v>
      </c>
      <c r="V377" s="538" t="s">
        <v>285</v>
      </c>
      <c r="W377" s="541" t="s">
        <v>2550</v>
      </c>
      <c r="X377" s="516" t="s">
        <v>876</v>
      </c>
      <c r="Y377" s="542">
        <v>25965</v>
      </c>
      <c r="Z377" s="543">
        <f t="shared" ca="1" si="3"/>
        <v>54</v>
      </c>
      <c r="AA377" s="534" t="s">
        <v>2551</v>
      </c>
      <c r="AB377" s="516"/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2004</v>
      </c>
      <c r="AH377" s="516"/>
      <c r="AI377" s="516"/>
      <c r="AJ377" s="565" t="s">
        <v>1087</v>
      </c>
      <c r="AK377" s="516"/>
      <c r="AL377" s="544"/>
      <c r="AM377" s="544"/>
    </row>
    <row r="378" spans="3:39" ht="18" customHeight="1">
      <c r="C378" s="516">
        <v>358</v>
      </c>
      <c r="D378" s="516" t="s">
        <v>2569</v>
      </c>
      <c r="E378" s="516">
        <f t="shared" si="2"/>
        <v>335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2570</v>
      </c>
      <c r="W378" s="541" t="s">
        <v>2571</v>
      </c>
      <c r="X378" s="516" t="s">
        <v>876</v>
      </c>
      <c r="Y378" s="542">
        <v>26507</v>
      </c>
      <c r="Z378" s="543">
        <f t="shared" ca="1" si="3"/>
        <v>53</v>
      </c>
      <c r="AA378" s="534" t="s">
        <v>2572</v>
      </c>
      <c r="AB378" s="516"/>
      <c r="AC378" s="516" t="s">
        <v>842</v>
      </c>
      <c r="AD378" s="516" t="s">
        <v>843</v>
      </c>
      <c r="AE378" s="534" t="s">
        <v>1289</v>
      </c>
      <c r="AF378" s="534" t="s">
        <v>1289</v>
      </c>
      <c r="AG378" s="534" t="s">
        <v>2573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2574</v>
      </c>
      <c r="E379" s="516">
        <f t="shared" si="2"/>
        <v>336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298</v>
      </c>
      <c r="W379" s="541" t="s">
        <v>2575</v>
      </c>
      <c r="X379" s="516" t="s">
        <v>876</v>
      </c>
      <c r="Y379" s="542">
        <v>29212</v>
      </c>
      <c r="Z379" s="543">
        <f t="shared" ca="1" si="3"/>
        <v>46</v>
      </c>
      <c r="AA379" s="534" t="s">
        <v>2576</v>
      </c>
      <c r="AB379" s="516"/>
      <c r="AC379" s="516" t="s">
        <v>842</v>
      </c>
      <c r="AD379" s="516" t="s">
        <v>843</v>
      </c>
      <c r="AE379" s="534" t="s">
        <v>815</v>
      </c>
      <c r="AF379" s="534" t="s">
        <v>2578</v>
      </c>
      <c r="AG379" s="534" t="s">
        <v>2579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360</v>
      </c>
      <c r="D380" s="516" t="s">
        <v>2580</v>
      </c>
      <c r="E380" s="516">
        <f t="shared" si="2"/>
        <v>337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535" t="s">
        <v>786</v>
      </c>
      <c r="M380" s="536"/>
      <c r="N380" s="537"/>
      <c r="O380" s="537"/>
      <c r="P380" s="559" t="s">
        <v>978</v>
      </c>
      <c r="Q380" s="539" t="s">
        <v>308</v>
      </c>
      <c r="R380" s="516"/>
      <c r="S380" s="516"/>
      <c r="T380" s="516"/>
      <c r="U380" s="516" t="s">
        <v>874</v>
      </c>
      <c r="V380" s="559" t="s">
        <v>302</v>
      </c>
      <c r="W380" s="541" t="s">
        <v>2581</v>
      </c>
      <c r="X380" s="516" t="s">
        <v>876</v>
      </c>
      <c r="Y380" s="542">
        <v>31483</v>
      </c>
      <c r="Z380" s="543">
        <f t="shared" ca="1" si="3"/>
        <v>39</v>
      </c>
      <c r="AA380" s="534" t="s">
        <v>2582</v>
      </c>
      <c r="AB380" s="516"/>
      <c r="AC380" s="516" t="s">
        <v>842</v>
      </c>
      <c r="AD380" s="516" t="s">
        <v>851</v>
      </c>
      <c r="AE380" s="534" t="s">
        <v>815</v>
      </c>
      <c r="AF380" s="606" t="s">
        <v>815</v>
      </c>
      <c r="AG380" s="534" t="s">
        <v>2301</v>
      </c>
      <c r="AH380" s="516"/>
      <c r="AI380" s="516"/>
      <c r="AJ380" s="565" t="s">
        <v>1087</v>
      </c>
      <c r="AK380" s="516"/>
      <c r="AL380" s="544"/>
      <c r="AM380" s="544"/>
    </row>
    <row r="381" spans="3:39" ht="18" customHeight="1">
      <c r="C381" s="516">
        <v>361</v>
      </c>
      <c r="D381" s="516" t="s">
        <v>2403</v>
      </c>
      <c r="E381" s="516">
        <f t="shared" si="2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48" t="s">
        <v>787</v>
      </c>
      <c r="Q381" s="539"/>
      <c r="R381" s="516" t="s">
        <v>49</v>
      </c>
      <c r="S381" s="516" t="s">
        <v>49</v>
      </c>
      <c r="T381" s="516"/>
      <c r="U381" s="516" t="s">
        <v>788</v>
      </c>
      <c r="V381" s="548" t="s">
        <v>297</v>
      </c>
      <c r="W381" s="541" t="s">
        <v>2404</v>
      </c>
      <c r="X381" s="516" t="s">
        <v>876</v>
      </c>
      <c r="Y381" s="542">
        <v>34440</v>
      </c>
      <c r="Z381" s="543">
        <f t="shared" ca="1" si="3"/>
        <v>31</v>
      </c>
      <c r="AA381" s="534" t="s">
        <v>2405</v>
      </c>
      <c r="AB381" s="516"/>
      <c r="AC381" s="516" t="s">
        <v>793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/>
      <c r="AJ381" s="516"/>
      <c r="AK381" s="516"/>
      <c r="AL381" s="544"/>
      <c r="AM381" s="544"/>
    </row>
    <row r="382" spans="3:39" ht="18" customHeight="1">
      <c r="C382" s="516">
        <v>362</v>
      </c>
      <c r="D382" s="516" t="s">
        <v>2869</v>
      </c>
      <c r="E382" s="516">
        <f t="shared" si="2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788</v>
      </c>
      <c r="V382" s="538" t="s">
        <v>408</v>
      </c>
      <c r="W382" s="541" t="s">
        <v>2870</v>
      </c>
      <c r="X382" s="516" t="s">
        <v>876</v>
      </c>
      <c r="Y382" s="542">
        <v>36875</v>
      </c>
      <c r="Z382" s="543">
        <f t="shared" ca="1" si="3"/>
        <v>25</v>
      </c>
      <c r="AA382" s="534" t="s">
        <v>2591</v>
      </c>
      <c r="AB382" s="516"/>
      <c r="AC382" s="516" t="s">
        <v>842</v>
      </c>
      <c r="AD382" s="516" t="s">
        <v>794</v>
      </c>
      <c r="AE382" s="534" t="s">
        <v>815</v>
      </c>
      <c r="AF382" s="534" t="s">
        <v>2872</v>
      </c>
      <c r="AG382" s="534" t="s">
        <v>2873</v>
      </c>
      <c r="AH382" s="516"/>
      <c r="AI382" s="516"/>
      <c r="AJ382" s="516"/>
      <c r="AK382" s="516"/>
      <c r="AL382" s="544"/>
      <c r="AM382" s="544"/>
    </row>
    <row r="383" spans="3:39" ht="18" customHeight="1">
      <c r="C383" s="516">
        <v>363</v>
      </c>
      <c r="D383" s="516" t="s">
        <v>2874</v>
      </c>
      <c r="E383" s="516">
        <f t="shared" si="2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38" t="s">
        <v>787</v>
      </c>
      <c r="Q383" s="539"/>
      <c r="R383" s="516"/>
      <c r="S383" s="516"/>
      <c r="T383" s="516"/>
      <c r="U383" s="516" t="s">
        <v>788</v>
      </c>
      <c r="V383" s="538" t="s">
        <v>2875</v>
      </c>
      <c r="W383" s="541" t="s">
        <v>2876</v>
      </c>
      <c r="X383" s="516" t="s">
        <v>876</v>
      </c>
      <c r="Y383" s="542">
        <v>35773</v>
      </c>
      <c r="Z383" s="543">
        <f t="shared" ca="1" si="3"/>
        <v>28</v>
      </c>
      <c r="AA383" s="534"/>
      <c r="AB383" s="516"/>
      <c r="AC383" s="516" t="s">
        <v>842</v>
      </c>
      <c r="AD383" s="516" t="s">
        <v>851</v>
      </c>
      <c r="AE383" s="534" t="s">
        <v>815</v>
      </c>
      <c r="AF383" s="534" t="s">
        <v>815</v>
      </c>
      <c r="AG383" s="534" t="s">
        <v>2878</v>
      </c>
      <c r="AH383" s="516"/>
      <c r="AI383" s="516"/>
      <c r="AJ383" s="516" t="s">
        <v>1535</v>
      </c>
      <c r="AK383" s="516"/>
      <c r="AL383" s="544"/>
      <c r="AM383" s="544"/>
    </row>
    <row r="384" spans="3:39" ht="18" customHeight="1">
      <c r="C384" s="516">
        <v>364</v>
      </c>
      <c r="D384" s="516" t="s">
        <v>2702</v>
      </c>
      <c r="E384" s="516">
        <f t="shared" si="2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2703</v>
      </c>
      <c r="W384" s="541" t="s">
        <v>2704</v>
      </c>
      <c r="X384" s="516" t="s">
        <v>876</v>
      </c>
      <c r="Y384" s="542">
        <v>36932</v>
      </c>
      <c r="Z384" s="543">
        <f t="shared" ca="1" si="3"/>
        <v>24</v>
      </c>
      <c r="AA384" s="534"/>
      <c r="AB384" s="516"/>
      <c r="AC384" s="516" t="s">
        <v>842</v>
      </c>
      <c r="AD384" s="516" t="s">
        <v>851</v>
      </c>
      <c r="AE384" s="534" t="s">
        <v>815</v>
      </c>
      <c r="AF384" s="534" t="s">
        <v>2706</v>
      </c>
      <c r="AG384" s="534" t="s">
        <v>2707</v>
      </c>
      <c r="AH384" s="516"/>
      <c r="AI384" s="516"/>
      <c r="AJ384" s="516" t="s">
        <v>832</v>
      </c>
      <c r="AK384" s="516"/>
      <c r="AL384" s="544"/>
      <c r="AM384" s="544"/>
    </row>
    <row r="385" spans="3:39" ht="18" customHeight="1">
      <c r="C385" s="516">
        <v>365</v>
      </c>
      <c r="D385" s="516" t="s">
        <v>2708</v>
      </c>
      <c r="E385" s="516">
        <f t="shared" si="2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2709</v>
      </c>
      <c r="W385" s="541" t="s">
        <v>2710</v>
      </c>
      <c r="X385" s="516" t="s">
        <v>876</v>
      </c>
      <c r="Y385" s="542">
        <v>36693</v>
      </c>
      <c r="Z385" s="543">
        <f t="shared" ca="1" si="3"/>
        <v>25</v>
      </c>
      <c r="AA385" s="534" t="s">
        <v>2711</v>
      </c>
      <c r="AB385" s="516"/>
      <c r="AC385" s="516" t="s">
        <v>842</v>
      </c>
      <c r="AD385" s="516" t="s">
        <v>843</v>
      </c>
      <c r="AE385" s="534" t="s">
        <v>815</v>
      </c>
      <c r="AF385" s="534" t="s">
        <v>1400</v>
      </c>
      <c r="AG385" s="534" t="s">
        <v>2713</v>
      </c>
      <c r="AH385" s="516"/>
      <c r="AI385" s="516"/>
      <c r="AJ385" s="516" t="s">
        <v>903</v>
      </c>
      <c r="AK385" s="516"/>
      <c r="AL385" s="544"/>
      <c r="AM385" s="544"/>
    </row>
    <row r="386" spans="3:39" ht="18" customHeight="1">
      <c r="C386" s="516">
        <v>366</v>
      </c>
      <c r="D386" s="516" t="s">
        <v>2585</v>
      </c>
      <c r="E386" s="516">
        <f t="shared" si="2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788</v>
      </c>
      <c r="V386" s="538" t="s">
        <v>2586</v>
      </c>
      <c r="W386" s="541" t="s">
        <v>2587</v>
      </c>
      <c r="X386" s="516" t="s">
        <v>876</v>
      </c>
      <c r="Y386" s="542">
        <v>35049</v>
      </c>
      <c r="Z386" s="543">
        <f t="shared" ca="1" si="3"/>
        <v>30</v>
      </c>
      <c r="AA386" s="534"/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2317</v>
      </c>
      <c r="AH386" s="516" t="s">
        <v>1571</v>
      </c>
      <c r="AI386" s="516" t="s">
        <v>4463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2588</v>
      </c>
      <c r="E387" s="516">
        <f t="shared" si="2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38" t="s">
        <v>787</v>
      </c>
      <c r="Q387" s="539"/>
      <c r="R387" s="516"/>
      <c r="S387" s="516"/>
      <c r="T387" s="516"/>
      <c r="U387" s="516" t="s">
        <v>874</v>
      </c>
      <c r="V387" s="538" t="s">
        <v>2589</v>
      </c>
      <c r="W387" s="541" t="s">
        <v>2590</v>
      </c>
      <c r="X387" s="516" t="s">
        <v>876</v>
      </c>
      <c r="Y387" s="542">
        <v>29815</v>
      </c>
      <c r="Z387" s="543">
        <f t="shared" ca="1" si="3"/>
        <v>44</v>
      </c>
      <c r="AA387" s="534"/>
      <c r="AB387" s="516"/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2592</v>
      </c>
      <c r="AH387" s="516" t="s">
        <v>1571</v>
      </c>
      <c r="AI387" s="516" t="s">
        <v>860</v>
      </c>
      <c r="AJ387" s="516"/>
      <c r="AK387" s="516"/>
      <c r="AL387" s="544"/>
      <c r="AM387" s="544"/>
    </row>
    <row r="388" spans="3:39" ht="18" customHeight="1">
      <c r="C388" s="516">
        <v>368</v>
      </c>
      <c r="D388" s="516" t="s">
        <v>2313</v>
      </c>
      <c r="E388" s="516">
        <f t="shared" si="2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2403</v>
      </c>
      <c r="L388" s="535" t="s">
        <v>786</v>
      </c>
      <c r="M388" s="536"/>
      <c r="N388" s="537"/>
      <c r="O388" s="537"/>
      <c r="P388" s="538" t="s">
        <v>787</v>
      </c>
      <c r="Q388" s="539"/>
      <c r="R388" s="516"/>
      <c r="S388" s="516"/>
      <c r="T388" s="516"/>
      <c r="U388" s="516" t="s">
        <v>788</v>
      </c>
      <c r="V388" s="538" t="s">
        <v>2314</v>
      </c>
      <c r="W388" s="541" t="s">
        <v>2315</v>
      </c>
      <c r="X388" s="516" t="s">
        <v>790</v>
      </c>
      <c r="Y388" s="542">
        <v>35416</v>
      </c>
      <c r="Z388" s="543">
        <f t="shared" ca="1" si="3"/>
        <v>29</v>
      </c>
      <c r="AA388" s="534"/>
      <c r="AB388" s="516"/>
      <c r="AC388" s="516" t="s">
        <v>842</v>
      </c>
      <c r="AD388" s="516" t="s">
        <v>851</v>
      </c>
      <c r="AE388" s="534" t="s">
        <v>815</v>
      </c>
      <c r="AF388" s="534" t="s">
        <v>815</v>
      </c>
      <c r="AG388" s="534" t="s">
        <v>2317</v>
      </c>
      <c r="AH388" s="516" t="s">
        <v>1571</v>
      </c>
      <c r="AI388" s="516" t="s">
        <v>2318</v>
      </c>
      <c r="AJ388" s="516"/>
      <c r="AK388" s="516"/>
      <c r="AL388" s="544"/>
      <c r="AM388" s="544"/>
    </row>
    <row r="389" spans="3:39" ht="18" customHeight="1">
      <c r="C389" s="516">
        <v>369</v>
      </c>
      <c r="D389" s="516" t="s">
        <v>2594</v>
      </c>
      <c r="E389" s="516">
        <f t="shared" si="2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2403</v>
      </c>
      <c r="L389" s="535" t="s">
        <v>786</v>
      </c>
      <c r="M389" s="536"/>
      <c r="N389" s="537"/>
      <c r="O389" s="537"/>
      <c r="P389" s="559" t="s">
        <v>787</v>
      </c>
      <c r="Q389" s="539"/>
      <c r="R389" s="516"/>
      <c r="S389" s="516"/>
      <c r="T389" s="516"/>
      <c r="U389" s="516" t="s">
        <v>788</v>
      </c>
      <c r="V389" s="559" t="s">
        <v>2595</v>
      </c>
      <c r="W389" s="541" t="s">
        <v>2596</v>
      </c>
      <c r="X389" s="516" t="s">
        <v>876</v>
      </c>
      <c r="Y389" s="542">
        <v>38225</v>
      </c>
      <c r="Z389" s="543">
        <f t="shared" ca="1" si="3"/>
        <v>21</v>
      </c>
      <c r="AA389" s="534" t="s">
        <v>2597</v>
      </c>
      <c r="AB389" s="516"/>
      <c r="AC389" s="516" t="s">
        <v>842</v>
      </c>
      <c r="AD389" s="516" t="s">
        <v>843</v>
      </c>
      <c r="AE389" s="534" t="s">
        <v>815</v>
      </c>
      <c r="AF389" s="534" t="s">
        <v>815</v>
      </c>
      <c r="AG389" s="534" t="s">
        <v>2598</v>
      </c>
      <c r="AH389" s="516" t="s">
        <v>1571</v>
      </c>
      <c r="AI389" s="516" t="s">
        <v>4463</v>
      </c>
      <c r="AJ389" s="516" t="s">
        <v>903</v>
      </c>
      <c r="AK389" s="516"/>
      <c r="AL389" s="544"/>
      <c r="AM389" s="544"/>
    </row>
    <row r="390" spans="3:39" ht="18" customHeight="1">
      <c r="C390" s="516">
        <v>370</v>
      </c>
      <c r="D390" s="516" t="s">
        <v>2599</v>
      </c>
      <c r="E390" s="516">
        <f t="shared" si="2"/>
        <v>347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48" t="s">
        <v>828</v>
      </c>
      <c r="Q390" s="539"/>
      <c r="R390" s="516" t="s">
        <v>49</v>
      </c>
      <c r="S390" s="516" t="s">
        <v>168</v>
      </c>
      <c r="T390" s="516"/>
      <c r="U390" s="516" t="s">
        <v>788</v>
      </c>
      <c r="V390" s="548" t="s">
        <v>327</v>
      </c>
      <c r="W390" s="541" t="s">
        <v>2602</v>
      </c>
      <c r="X390" s="516" t="s">
        <v>790</v>
      </c>
      <c r="Y390" s="542">
        <v>37769</v>
      </c>
      <c r="Z390" s="543">
        <f t="shared" ca="1" si="3"/>
        <v>22</v>
      </c>
      <c r="AA390" s="534" t="s">
        <v>2603</v>
      </c>
      <c r="AB390" s="516"/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1352</v>
      </c>
      <c r="AH390" s="516"/>
      <c r="AI390" s="516"/>
      <c r="AJ390" s="516" t="s">
        <v>844</v>
      </c>
      <c r="AK390" s="516"/>
      <c r="AL390" s="544"/>
      <c r="AM390" s="544"/>
    </row>
    <row r="391" spans="3:39" ht="18" customHeight="1">
      <c r="C391" s="516">
        <v>371</v>
      </c>
      <c r="D391" s="516" t="s">
        <v>2600</v>
      </c>
      <c r="E391" s="516">
        <f t="shared" si="2"/>
        <v>348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 t="s">
        <v>62</v>
      </c>
      <c r="S391" s="516" t="s">
        <v>548</v>
      </c>
      <c r="T391" s="516"/>
      <c r="U391" s="516" t="s">
        <v>788</v>
      </c>
      <c r="V391" s="538" t="s">
        <v>341</v>
      </c>
      <c r="W391" s="541" t="s">
        <v>2605</v>
      </c>
      <c r="X391" s="516" t="s">
        <v>876</v>
      </c>
      <c r="Y391" s="542">
        <v>37727</v>
      </c>
      <c r="Z391" s="543">
        <f t="shared" ca="1" si="3"/>
        <v>22</v>
      </c>
      <c r="AA391" s="534" t="s">
        <v>2606</v>
      </c>
      <c r="AB391" s="516"/>
      <c r="AC391" s="516" t="s">
        <v>793</v>
      </c>
      <c r="AD391" s="516" t="s">
        <v>794</v>
      </c>
      <c r="AE391" s="534" t="s">
        <v>815</v>
      </c>
      <c r="AF391" s="534" t="s">
        <v>815</v>
      </c>
      <c r="AG391" s="534" t="s">
        <v>2004</v>
      </c>
      <c r="AH391" s="516"/>
      <c r="AI391" s="516"/>
      <c r="AJ391" s="516" t="s">
        <v>867</v>
      </c>
      <c r="AK391" s="516"/>
      <c r="AL391" s="544"/>
      <c r="AM391" s="544"/>
    </row>
    <row r="392" spans="3:39" ht="18" customHeight="1">
      <c r="C392" s="516">
        <v>372</v>
      </c>
      <c r="D392" s="516" t="s">
        <v>2601</v>
      </c>
      <c r="E392" s="516">
        <f t="shared" si="2"/>
        <v>349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 t="s">
        <v>62</v>
      </c>
      <c r="S392" s="516" t="s">
        <v>548</v>
      </c>
      <c r="T392" s="516"/>
      <c r="U392" s="516" t="s">
        <v>788</v>
      </c>
      <c r="V392" s="538" t="s">
        <v>2608</v>
      </c>
      <c r="W392" s="541" t="s">
        <v>2609</v>
      </c>
      <c r="X392" s="516" t="s">
        <v>790</v>
      </c>
      <c r="Y392" s="542">
        <v>38733</v>
      </c>
      <c r="Z392" s="543">
        <f t="shared" ca="1" si="3"/>
        <v>20</v>
      </c>
      <c r="AA392" s="534" t="s">
        <v>2610</v>
      </c>
      <c r="AB392" s="516"/>
      <c r="AC392" s="516" t="s">
        <v>842</v>
      </c>
      <c r="AD392" s="516" t="s">
        <v>794</v>
      </c>
      <c r="AE392" s="534" t="s">
        <v>815</v>
      </c>
      <c r="AF392" s="534" t="s">
        <v>1400</v>
      </c>
      <c r="AG392" s="534"/>
      <c r="AH392" s="516"/>
      <c r="AI392" s="516"/>
      <c r="AJ392" s="516" t="s">
        <v>903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2"/>
        <v>350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3"/>
        <v>23</v>
      </c>
      <c r="AA393" s="534" t="s">
        <v>2622</v>
      </c>
      <c r="AB393" s="516"/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2"/>
        <v>351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3"/>
        <v>22</v>
      </c>
      <c r="AA394" s="534" t="s">
        <v>2628</v>
      </c>
      <c r="AB394" s="516"/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2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3"/>
        <v>18</v>
      </c>
      <c r="AA395" s="534" t="s">
        <v>2634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2"/>
        <v>353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3"/>
        <v>22</v>
      </c>
      <c r="AA396" s="534" t="s">
        <v>2639</v>
      </c>
      <c r="AB396" s="516"/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2"/>
        <v>354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3"/>
        <v>23</v>
      </c>
      <c r="AA397" s="534" t="s">
        <v>2644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2"/>
        <v>355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3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2"/>
        <v>356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3"/>
        <v>19</v>
      </c>
      <c r="AA399" s="534" t="s">
        <v>2651</v>
      </c>
      <c r="AB399" s="516"/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2"/>
        <v>357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3"/>
        <v>15</v>
      </c>
      <c r="AA400" s="534" t="s">
        <v>2655</v>
      </c>
      <c r="AB400" s="516"/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2"/>
        <v>358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3"/>
        <v>26</v>
      </c>
      <c r="AA401" s="534" t="s">
        <v>2659</v>
      </c>
      <c r="AB401" s="516"/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2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3"/>
        <v>39</v>
      </c>
      <c r="AA402" s="534" t="s">
        <v>2665</v>
      </c>
      <c r="AB402" s="5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 t="s">
        <v>1571</v>
      </c>
      <c r="AI402" s="516" t="s">
        <v>860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2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3"/>
        <v>24</v>
      </c>
      <c r="AA403" s="534" t="s">
        <v>2670</v>
      </c>
      <c r="AB403" s="516"/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 t="s">
        <v>1571</v>
      </c>
      <c r="AI403" s="516" t="s">
        <v>860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2"/>
        <v>361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3"/>
        <v>23</v>
      </c>
      <c r="AA404" s="534" t="s">
        <v>2676</v>
      </c>
      <c r="AB404" s="516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 t="s">
        <v>1571</v>
      </c>
      <c r="AI404" s="516" t="s">
        <v>4463</v>
      </c>
      <c r="AJ404" s="516" t="s">
        <v>867</v>
      </c>
      <c r="AK404" s="516" t="s">
        <v>1083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2"/>
        <v>362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3"/>
        <v>23</v>
      </c>
      <c r="AA405" s="534" t="s">
        <v>2681</v>
      </c>
      <c r="AB405" s="516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 t="s">
        <v>1571</v>
      </c>
      <c r="AI405" s="516" t="s">
        <v>4463</v>
      </c>
      <c r="AJ405" s="516" t="s">
        <v>867</v>
      </c>
      <c r="AK405" s="516" t="s">
        <v>1083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2"/>
        <v>363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3"/>
        <v>22</v>
      </c>
      <c r="AA406" s="534" t="s">
        <v>2685</v>
      </c>
      <c r="AB406" s="516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 t="s">
        <v>1571</v>
      </c>
      <c r="AI406" s="516" t="s">
        <v>4463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2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3"/>
        <v>22</v>
      </c>
      <c r="AA407" s="534" t="s">
        <v>2691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2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3"/>
        <v>17</v>
      </c>
      <c r="AA408" s="534" t="s">
        <v>2696</v>
      </c>
      <c r="AB408" s="516"/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2"/>
        <v>366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3"/>
        <v>22</v>
      </c>
      <c r="AA409" s="534" t="s">
        <v>2700</v>
      </c>
      <c r="AB409" s="516"/>
      <c r="AC409" s="516" t="s">
        <v>842</v>
      </c>
      <c r="AD409" s="516" t="s">
        <v>843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2744</v>
      </c>
      <c r="E410" s="516">
        <f t="shared" si="2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2745</v>
      </c>
      <c r="W410" s="541" t="s">
        <v>2746</v>
      </c>
      <c r="X410" s="516" t="s">
        <v>876</v>
      </c>
      <c r="Y410" s="542">
        <v>37308</v>
      </c>
      <c r="Z410" s="543">
        <f t="shared" ca="1" si="3"/>
        <v>23</v>
      </c>
      <c r="AA410" s="534" t="s">
        <v>2747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1552</v>
      </c>
      <c r="AG410" s="534" t="s">
        <v>2749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391</v>
      </c>
      <c r="D411" s="516" t="s">
        <v>2714</v>
      </c>
      <c r="E411" s="516">
        <f t="shared" si="2"/>
        <v>368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3"/>
        <v>23</v>
      </c>
      <c r="AA411" s="534" t="s">
        <v>2717</v>
      </c>
      <c r="AB411" s="516"/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2719</v>
      </c>
      <c r="E412" s="516">
        <f t="shared" si="2"/>
        <v>369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3"/>
        <v>23</v>
      </c>
      <c r="AA412" s="534" t="s">
        <v>2722</v>
      </c>
      <c r="AB412" s="516"/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2724</v>
      </c>
      <c r="E413" s="516">
        <f t="shared" si="2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3"/>
        <v>20</v>
      </c>
      <c r="AA413" s="534" t="s">
        <v>2727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2729</v>
      </c>
      <c r="E414" s="516">
        <f t="shared" si="2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3"/>
        <v>23</v>
      </c>
      <c r="AA414" s="534" t="s">
        <v>2732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2735</v>
      </c>
      <c r="E415" s="516">
        <f t="shared" si="2"/>
        <v>372</v>
      </c>
      <c r="F415" s="534" t="s">
        <v>811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3"/>
        <v>24</v>
      </c>
      <c r="AA415" s="534" t="s">
        <v>2737</v>
      </c>
      <c r="AB415" s="516"/>
      <c r="AC415" s="516" t="s">
        <v>842</v>
      </c>
      <c r="AD415" s="516" t="s">
        <v>843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396</v>
      </c>
      <c r="D416" s="516" t="s">
        <v>2739</v>
      </c>
      <c r="E416" s="516">
        <f t="shared" si="2"/>
        <v>373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3"/>
        <v>17</v>
      </c>
      <c r="AA416" s="534" t="s">
        <v>2741</v>
      </c>
      <c r="AB416" s="516"/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2751</v>
      </c>
      <c r="E417" s="516">
        <f t="shared" si="2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2752</v>
      </c>
      <c r="W417" s="541" t="s">
        <v>2753</v>
      </c>
      <c r="X417" s="516" t="s">
        <v>876</v>
      </c>
      <c r="Y417" s="542">
        <v>37265</v>
      </c>
      <c r="Z417" s="543">
        <f t="shared" ca="1" si="3"/>
        <v>24</v>
      </c>
      <c r="AA417" s="534" t="s">
        <v>2754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2756</v>
      </c>
      <c r="AG417" s="534" t="s">
        <v>2756</v>
      </c>
      <c r="AH417" s="516" t="s">
        <v>1571</v>
      </c>
      <c r="AI417" s="516" t="s">
        <v>4463</v>
      </c>
      <c r="AJ417" s="516" t="s">
        <v>903</v>
      </c>
      <c r="AK417" s="516"/>
      <c r="AL417" s="544"/>
      <c r="AM417" s="544"/>
    </row>
    <row r="418" spans="3:39" ht="18" customHeight="1">
      <c r="C418" s="516">
        <v>398</v>
      </c>
      <c r="D418" s="516" t="s">
        <v>2757</v>
      </c>
      <c r="E418" s="516">
        <f t="shared" si="2"/>
        <v>375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2758</v>
      </c>
      <c r="W418" s="541" t="s">
        <v>2759</v>
      </c>
      <c r="X418" s="516" t="s">
        <v>876</v>
      </c>
      <c r="Y418" s="542">
        <v>38907</v>
      </c>
      <c r="Z418" s="543">
        <f t="shared" ca="1" si="3"/>
        <v>19</v>
      </c>
      <c r="AA418" s="534" t="s">
        <v>2760</v>
      </c>
      <c r="AB418" s="516"/>
      <c r="AC418" s="516" t="s">
        <v>842</v>
      </c>
      <c r="AD418" s="516" t="s">
        <v>843</v>
      </c>
      <c r="AE418" s="534" t="s">
        <v>815</v>
      </c>
      <c r="AF418" s="534" t="s">
        <v>815</v>
      </c>
      <c r="AG418" s="534" t="s">
        <v>2762</v>
      </c>
      <c r="AH418" s="516" t="s">
        <v>1571</v>
      </c>
      <c r="AI418" s="516" t="s">
        <v>4456</v>
      </c>
      <c r="AJ418" s="516" t="s">
        <v>903</v>
      </c>
      <c r="AK418" s="516"/>
      <c r="AL418" s="544"/>
      <c r="AM418" s="544"/>
    </row>
    <row r="419" spans="3:39" ht="18" customHeight="1">
      <c r="C419" s="516">
        <v>399</v>
      </c>
      <c r="D419" s="516" t="s">
        <v>2763</v>
      </c>
      <c r="E419" s="516">
        <f t="shared" si="2"/>
        <v>376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437</v>
      </c>
      <c r="W419" s="541" t="s">
        <v>2764</v>
      </c>
      <c r="X419" s="516" t="s">
        <v>876</v>
      </c>
      <c r="Y419" s="542" t="s">
        <v>2765</v>
      </c>
      <c r="Z419" s="543">
        <f t="shared" ca="1" si="3"/>
        <v>24</v>
      </c>
      <c r="AA419" s="534" t="s">
        <v>2766</v>
      </c>
      <c r="AB419" s="516"/>
      <c r="AC419" s="516" t="s">
        <v>842</v>
      </c>
      <c r="AD419" s="516" t="s">
        <v>843</v>
      </c>
      <c r="AE419" s="534" t="s">
        <v>1256</v>
      </c>
      <c r="AF419" s="534" t="s">
        <v>1256</v>
      </c>
      <c r="AG419" s="534" t="s">
        <v>2768</v>
      </c>
      <c r="AH419" s="516" t="s">
        <v>1571</v>
      </c>
      <c r="AI419" s="516" t="s">
        <v>860</v>
      </c>
      <c r="AJ419" s="516" t="s">
        <v>976</v>
      </c>
      <c r="AK419" s="516"/>
      <c r="AL419" s="544"/>
      <c r="AM419" s="544"/>
    </row>
    <row r="420" spans="3:39" ht="18" customHeight="1">
      <c r="C420" s="516">
        <v>400</v>
      </c>
      <c r="D420" s="516" t="s">
        <v>2769</v>
      </c>
      <c r="E420" s="516">
        <f t="shared" si="2"/>
        <v>377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59" t="s">
        <v>938</v>
      </c>
      <c r="Q420" s="539"/>
      <c r="R420" s="516"/>
      <c r="S420" s="516"/>
      <c r="T420" s="516"/>
      <c r="U420" s="516" t="s">
        <v>874</v>
      </c>
      <c r="V420" s="559" t="s">
        <v>2770</v>
      </c>
      <c r="W420" s="541" t="s">
        <v>2771</v>
      </c>
      <c r="X420" s="516" t="s">
        <v>876</v>
      </c>
      <c r="Y420" s="542">
        <v>37308</v>
      </c>
      <c r="Z420" s="543">
        <f t="shared" ca="1" si="3"/>
        <v>23</v>
      </c>
      <c r="AA420" s="534" t="s">
        <v>2747</v>
      </c>
      <c r="AB420" s="516"/>
      <c r="AC420" s="516" t="s">
        <v>842</v>
      </c>
      <c r="AD420" s="516" t="s">
        <v>843</v>
      </c>
      <c r="AE420" s="534" t="s">
        <v>815</v>
      </c>
      <c r="AF420" s="534" t="s">
        <v>1552</v>
      </c>
      <c r="AG420" s="534" t="s">
        <v>2749</v>
      </c>
      <c r="AH420" s="516" t="s">
        <v>1571</v>
      </c>
      <c r="AI420" s="516" t="s">
        <v>860</v>
      </c>
      <c r="AJ420" s="516" t="s">
        <v>903</v>
      </c>
      <c r="AK420" s="572" t="s">
        <v>1284</v>
      </c>
      <c r="AL420" s="544"/>
      <c r="AM420" s="544"/>
    </row>
    <row r="421" spans="3:39" ht="18" customHeight="1">
      <c r="C421" s="516">
        <v>401</v>
      </c>
      <c r="D421" s="516" t="s">
        <v>2772</v>
      </c>
      <c r="E421" s="516">
        <f t="shared" si="2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48" t="s">
        <v>978</v>
      </c>
      <c r="Q421" s="539"/>
      <c r="R421" s="516" t="s">
        <v>163</v>
      </c>
      <c r="S421" s="516" t="s">
        <v>500</v>
      </c>
      <c r="T421" s="516"/>
      <c r="U421" s="516" t="s">
        <v>874</v>
      </c>
      <c r="V421" s="548" t="s">
        <v>328</v>
      </c>
      <c r="W421" s="541" t="s">
        <v>2774</v>
      </c>
      <c r="X421" s="516" t="s">
        <v>876</v>
      </c>
      <c r="Y421" s="542">
        <v>36536</v>
      </c>
      <c r="Z421" s="543">
        <f t="shared" ca="1" si="3"/>
        <v>26</v>
      </c>
      <c r="AA421" s="534" t="s">
        <v>2775</v>
      </c>
      <c r="AB421" s="516"/>
      <c r="AC421" s="516" t="s">
        <v>842</v>
      </c>
      <c r="AD421" s="516" t="s">
        <v>843</v>
      </c>
      <c r="AE421" s="534" t="s">
        <v>815</v>
      </c>
      <c r="AF421" s="534" t="s">
        <v>1267</v>
      </c>
      <c r="AG421" s="534" t="s">
        <v>1268</v>
      </c>
      <c r="AH421" s="516"/>
      <c r="AI421" s="516"/>
      <c r="AJ421" s="516" t="s">
        <v>832</v>
      </c>
      <c r="AK421" s="516"/>
      <c r="AL421" s="544"/>
      <c r="AM421" s="544"/>
    </row>
    <row r="422" spans="3:39" ht="18" customHeight="1">
      <c r="C422" s="516">
        <v>402</v>
      </c>
      <c r="D422" s="516" t="s">
        <v>2773</v>
      </c>
      <c r="E422" s="516">
        <f t="shared" si="2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 t="s">
        <v>62</v>
      </c>
      <c r="S422" s="516" t="s">
        <v>548</v>
      </c>
      <c r="T422" s="516"/>
      <c r="U422" s="516" t="s">
        <v>874</v>
      </c>
      <c r="V422" s="538" t="s">
        <v>342</v>
      </c>
      <c r="W422" s="541" t="s">
        <v>2777</v>
      </c>
      <c r="X422" s="516" t="s">
        <v>876</v>
      </c>
      <c r="Y422" s="542">
        <v>35989</v>
      </c>
      <c r="Z422" s="543">
        <f t="shared" ca="1" si="3"/>
        <v>27</v>
      </c>
      <c r="AA422" s="534" t="s">
        <v>2778</v>
      </c>
      <c r="AB422" s="516"/>
      <c r="AC422" s="516" t="s">
        <v>842</v>
      </c>
      <c r="AD422" s="516" t="s">
        <v>843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403</v>
      </c>
      <c r="D423" s="516" t="s">
        <v>2780</v>
      </c>
      <c r="E423" s="516">
        <f t="shared" si="2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874</v>
      </c>
      <c r="V423" s="538" t="s">
        <v>2781</v>
      </c>
      <c r="W423" s="541" t="s">
        <v>2782</v>
      </c>
      <c r="X423" s="516" t="s">
        <v>876</v>
      </c>
      <c r="Y423" s="542">
        <v>31694</v>
      </c>
      <c r="Z423" s="543">
        <f t="shared" ca="1" si="3"/>
        <v>39</v>
      </c>
      <c r="AA423" s="534" t="s">
        <v>2783</v>
      </c>
      <c r="AB423" s="516"/>
      <c r="AC423" s="516" t="s">
        <v>842</v>
      </c>
      <c r="AD423" s="516" t="s">
        <v>843</v>
      </c>
      <c r="AE423" s="534" t="s">
        <v>815</v>
      </c>
      <c r="AF423" s="534" t="s">
        <v>2785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404</v>
      </c>
      <c r="D424" s="516" t="s">
        <v>2786</v>
      </c>
      <c r="E424" s="516">
        <f t="shared" si="2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369</v>
      </c>
      <c r="W424" s="541" t="s">
        <v>2787</v>
      </c>
      <c r="X424" s="516" t="s">
        <v>876</v>
      </c>
      <c r="Y424" s="542">
        <v>33359</v>
      </c>
      <c r="Z424" s="543">
        <f t="shared" ca="1" si="3"/>
        <v>34</v>
      </c>
      <c r="AA424" s="534" t="s">
        <v>2788</v>
      </c>
      <c r="AB424" s="516"/>
      <c r="AC424" s="516" t="s">
        <v>842</v>
      </c>
      <c r="AD424" s="516" t="s">
        <v>843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2789</v>
      </c>
      <c r="E425" s="516">
        <f t="shared" si="2"/>
        <v>382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382</v>
      </c>
      <c r="W425" s="541" t="s">
        <v>2790</v>
      </c>
      <c r="X425" s="516" t="s">
        <v>876</v>
      </c>
      <c r="Y425" s="542">
        <v>34616</v>
      </c>
      <c r="Z425" s="543">
        <f t="shared" ca="1" si="3"/>
        <v>31</v>
      </c>
      <c r="AA425" s="534" t="s">
        <v>2791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2793</v>
      </c>
      <c r="E426" s="516">
        <f t="shared" si="2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788</v>
      </c>
      <c r="V426" s="538" t="s">
        <v>394</v>
      </c>
      <c r="W426" s="541" t="s">
        <v>2794</v>
      </c>
      <c r="X426" s="516" t="s">
        <v>876</v>
      </c>
      <c r="Y426" s="542">
        <v>35621</v>
      </c>
      <c r="Z426" s="543">
        <f t="shared" ca="1" si="3"/>
        <v>28</v>
      </c>
      <c r="AA426" s="534" t="s">
        <v>2795</v>
      </c>
      <c r="AB426" s="516"/>
      <c r="AC426" s="516" t="s">
        <v>842</v>
      </c>
      <c r="AD426" s="516" t="s">
        <v>843</v>
      </c>
      <c r="AE426" s="534" t="s">
        <v>815</v>
      </c>
      <c r="AF426" s="534" t="s">
        <v>2797</v>
      </c>
      <c r="AG426" s="534"/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2798</v>
      </c>
      <c r="E427" s="516">
        <f t="shared" si="2"/>
        <v>384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406</v>
      </c>
      <c r="W427" s="541" t="s">
        <v>2799</v>
      </c>
      <c r="X427" s="516" t="s">
        <v>876</v>
      </c>
      <c r="Y427" s="542" t="s">
        <v>2800</v>
      </c>
      <c r="Z427" s="543">
        <f t="shared" ca="1" si="3"/>
        <v>24</v>
      </c>
      <c r="AA427" s="534" t="s">
        <v>2801</v>
      </c>
      <c r="AB427" s="516"/>
      <c r="AC427" s="516" t="s">
        <v>842</v>
      </c>
      <c r="AD427" s="516" t="s">
        <v>843</v>
      </c>
      <c r="AE427" s="534" t="s">
        <v>815</v>
      </c>
      <c r="AF427" s="606" t="s">
        <v>815</v>
      </c>
      <c r="AG427" s="534" t="s">
        <v>2803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2804</v>
      </c>
      <c r="E428" s="516">
        <f t="shared" si="2"/>
        <v>385</v>
      </c>
      <c r="F428" s="534" t="s">
        <v>1310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414</v>
      </c>
      <c r="W428" s="541" t="s">
        <v>2805</v>
      </c>
      <c r="X428" s="516" t="s">
        <v>876</v>
      </c>
      <c r="Y428" s="542" t="s">
        <v>2806</v>
      </c>
      <c r="Z428" s="543">
        <f t="shared" ca="1" si="3"/>
        <v>19</v>
      </c>
      <c r="AA428" s="534" t="s">
        <v>2807</v>
      </c>
      <c r="AB428" s="516"/>
      <c r="AC428" s="516" t="s">
        <v>842</v>
      </c>
      <c r="AD428" s="516" t="s">
        <v>843</v>
      </c>
      <c r="AE428" s="534" t="s">
        <v>815</v>
      </c>
      <c r="AF428" s="534" t="s">
        <v>815</v>
      </c>
      <c r="AG428" s="534" t="s">
        <v>2809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2810</v>
      </c>
      <c r="E429" s="516">
        <f t="shared" si="2"/>
        <v>386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59" t="s">
        <v>978</v>
      </c>
      <c r="Q429" s="539" t="s">
        <v>308</v>
      </c>
      <c r="R429" s="516"/>
      <c r="S429" s="516"/>
      <c r="T429" s="516"/>
      <c r="U429" s="516" t="s">
        <v>874</v>
      </c>
      <c r="V429" s="540" t="s">
        <v>2811</v>
      </c>
      <c r="W429" s="541" t="s">
        <v>2812</v>
      </c>
      <c r="X429" s="516" t="s">
        <v>876</v>
      </c>
      <c r="Y429" s="542">
        <v>35825</v>
      </c>
      <c r="Z429" s="543">
        <f t="shared" ca="1" si="3"/>
        <v>27</v>
      </c>
      <c r="AA429" s="534" t="s">
        <v>2813</v>
      </c>
      <c r="AB429" s="516"/>
      <c r="AC429" s="516" t="s">
        <v>842</v>
      </c>
      <c r="AD429" s="516" t="s">
        <v>843</v>
      </c>
      <c r="AE429" s="534" t="s">
        <v>815</v>
      </c>
      <c r="AF429" s="606" t="s">
        <v>815</v>
      </c>
      <c r="AG429" s="534" t="s">
        <v>1352</v>
      </c>
      <c r="AH429" s="516"/>
      <c r="AI429" s="516"/>
      <c r="AJ429" s="516" t="s">
        <v>971</v>
      </c>
      <c r="AK429" s="516"/>
      <c r="AL429" s="544"/>
      <c r="AM429" s="544"/>
    </row>
    <row r="430" spans="3:39" ht="18" customHeight="1">
      <c r="C430" s="516">
        <v>410</v>
      </c>
      <c r="D430" s="516" t="s">
        <v>2814</v>
      </c>
      <c r="E430" s="516">
        <f t="shared" si="2"/>
        <v>387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48" t="s">
        <v>2817</v>
      </c>
      <c r="Q430" s="539"/>
      <c r="R430" s="516" t="s">
        <v>49</v>
      </c>
      <c r="S430" s="516" t="s">
        <v>168</v>
      </c>
      <c r="T430" s="516"/>
      <c r="U430" s="562" t="s">
        <v>788</v>
      </c>
      <c r="V430" s="548" t="s">
        <v>330</v>
      </c>
      <c r="W430" s="560" t="s">
        <v>2818</v>
      </c>
      <c r="X430" s="516" t="s">
        <v>876</v>
      </c>
      <c r="Y430" s="542">
        <v>32520</v>
      </c>
      <c r="Z430" s="543">
        <f t="shared" ca="1" si="3"/>
        <v>37</v>
      </c>
      <c r="AA430" s="534"/>
      <c r="AB430" s="516"/>
      <c r="AC430" s="516" t="s">
        <v>793</v>
      </c>
      <c r="AD430" s="516" t="s">
        <v>794</v>
      </c>
      <c r="AE430" s="534" t="s">
        <v>815</v>
      </c>
      <c r="AF430" s="534" t="s">
        <v>2785</v>
      </c>
      <c r="AG430" s="534" t="s">
        <v>2821</v>
      </c>
      <c r="AH430" s="516"/>
      <c r="AI430" s="516"/>
      <c r="AJ430" s="516" t="s">
        <v>1535</v>
      </c>
      <c r="AK430" s="516"/>
      <c r="AL430" s="544"/>
      <c r="AM430" s="544"/>
    </row>
    <row r="431" spans="3:39" ht="18" customHeight="1">
      <c r="C431" s="516">
        <v>411</v>
      </c>
      <c r="D431" s="516" t="s">
        <v>2815</v>
      </c>
      <c r="E431" s="516">
        <f t="shared" si="2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 t="s">
        <v>62</v>
      </c>
      <c r="S431" s="516" t="s">
        <v>548</v>
      </c>
      <c r="T431" s="516"/>
      <c r="U431" s="562" t="s">
        <v>874</v>
      </c>
      <c r="V431" s="538" t="s">
        <v>343</v>
      </c>
      <c r="W431" s="560" t="s">
        <v>2822</v>
      </c>
      <c r="X431" s="516" t="s">
        <v>876</v>
      </c>
      <c r="Y431" s="542">
        <v>35366</v>
      </c>
      <c r="Z431" s="543">
        <f t="shared" ca="1" si="3"/>
        <v>29</v>
      </c>
      <c r="AA431" s="534" t="s">
        <v>2823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2825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412</v>
      </c>
      <c r="D432" s="516" t="s">
        <v>2816</v>
      </c>
      <c r="E432" s="516">
        <f t="shared" si="2"/>
        <v>389</v>
      </c>
      <c r="F432" s="534" t="s">
        <v>1310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788</v>
      </c>
      <c r="V432" s="549" t="s">
        <v>423</v>
      </c>
      <c r="W432" s="560" t="s">
        <v>2826</v>
      </c>
      <c r="X432" s="516" t="s">
        <v>876</v>
      </c>
      <c r="Y432" s="542">
        <v>38451</v>
      </c>
      <c r="Z432" s="543">
        <f t="shared" ca="1" si="3"/>
        <v>20</v>
      </c>
      <c r="AA432" s="534" t="s">
        <v>2827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1400</v>
      </c>
      <c r="AG432" s="534" t="s">
        <v>2829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413</v>
      </c>
      <c r="D433" s="516" t="s">
        <v>2830</v>
      </c>
      <c r="E433" s="516">
        <f t="shared" si="2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50" t="s">
        <v>357</v>
      </c>
      <c r="W433" s="560" t="s">
        <v>2831</v>
      </c>
      <c r="X433" s="516" t="s">
        <v>876</v>
      </c>
      <c r="Y433" s="542">
        <v>33267</v>
      </c>
      <c r="Z433" s="543">
        <f t="shared" ca="1" si="3"/>
        <v>34</v>
      </c>
      <c r="AA433" s="534" t="s">
        <v>2832</v>
      </c>
      <c r="AB433" s="516"/>
      <c r="AC433" s="516" t="s">
        <v>842</v>
      </c>
      <c r="AD433" s="516" t="s">
        <v>843</v>
      </c>
      <c r="AE433" s="534" t="s">
        <v>815</v>
      </c>
      <c r="AF433" s="606" t="s">
        <v>815</v>
      </c>
      <c r="AG433" s="534" t="s">
        <v>2834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2835</v>
      </c>
      <c r="E434" s="516">
        <f t="shared" si="2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370</v>
      </c>
      <c r="W434" s="560" t="s">
        <v>2836</v>
      </c>
      <c r="X434" s="516" t="s">
        <v>876</v>
      </c>
      <c r="Y434" s="542">
        <v>33415</v>
      </c>
      <c r="Z434" s="543">
        <f t="shared" ca="1" si="3"/>
        <v>34</v>
      </c>
      <c r="AA434" s="534" t="s">
        <v>2837</v>
      </c>
      <c r="AB434" s="516"/>
      <c r="AC434" s="516" t="s">
        <v>842</v>
      </c>
      <c r="AD434" s="516" t="s">
        <v>843</v>
      </c>
      <c r="AE434" s="534" t="s">
        <v>815</v>
      </c>
      <c r="AF434" s="606" t="s">
        <v>815</v>
      </c>
      <c r="AG434" s="534" t="s">
        <v>2839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2841</v>
      </c>
      <c r="E435" s="516">
        <f t="shared" si="2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383</v>
      </c>
      <c r="W435" s="560" t="s">
        <v>2842</v>
      </c>
      <c r="X435" s="516" t="s">
        <v>876</v>
      </c>
      <c r="Y435" s="542">
        <v>35523</v>
      </c>
      <c r="Z435" s="543">
        <f t="shared" ca="1" si="3"/>
        <v>28</v>
      </c>
      <c r="AA435" s="534" t="s">
        <v>2843</v>
      </c>
      <c r="AB435" s="516"/>
      <c r="AC435" s="516" t="s">
        <v>842</v>
      </c>
      <c r="AD435" s="516" t="s">
        <v>843</v>
      </c>
      <c r="AE435" s="534" t="s">
        <v>815</v>
      </c>
      <c r="AF435" s="534" t="s">
        <v>2845</v>
      </c>
      <c r="AG435" s="534" t="s">
        <v>2846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2847</v>
      </c>
      <c r="E436" s="516">
        <f t="shared" si="2"/>
        <v>393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536"/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395</v>
      </c>
      <c r="W436" s="560" t="s">
        <v>2848</v>
      </c>
      <c r="X436" s="516" t="s">
        <v>876</v>
      </c>
      <c r="Y436" s="542">
        <v>35944</v>
      </c>
      <c r="Z436" s="543">
        <f t="shared" ca="1" si="3"/>
        <v>27</v>
      </c>
      <c r="AA436" s="534" t="s">
        <v>2849</v>
      </c>
      <c r="AB436" s="516"/>
      <c r="AC436" s="516" t="s">
        <v>842</v>
      </c>
      <c r="AD436" s="516" t="s">
        <v>843</v>
      </c>
      <c r="AE436" s="534" t="s">
        <v>815</v>
      </c>
      <c r="AF436" s="534" t="s">
        <v>1400</v>
      </c>
      <c r="AG436" s="534" t="s">
        <v>2851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2852</v>
      </c>
      <c r="E437" s="516">
        <f t="shared" si="2"/>
        <v>394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536"/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407</v>
      </c>
      <c r="W437" s="560" t="s">
        <v>2854</v>
      </c>
      <c r="X437" s="516" t="s">
        <v>876</v>
      </c>
      <c r="Y437" s="542">
        <v>36800</v>
      </c>
      <c r="Z437" s="543">
        <f t="shared" ca="1" si="3"/>
        <v>25</v>
      </c>
      <c r="AA437" s="534" t="s">
        <v>2855</v>
      </c>
      <c r="AB437" s="516"/>
      <c r="AC437" s="516" t="s">
        <v>842</v>
      </c>
      <c r="AD437" s="516" t="s">
        <v>843</v>
      </c>
      <c r="AE437" s="534" t="s">
        <v>815</v>
      </c>
      <c r="AF437" s="534" t="s">
        <v>1552</v>
      </c>
      <c r="AG437" s="534" t="s">
        <v>2857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2858</v>
      </c>
      <c r="E438" s="516">
        <f t="shared" si="2"/>
        <v>395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536"/>
      <c r="N438" s="537"/>
      <c r="O438" s="537"/>
      <c r="P438" s="538" t="s">
        <v>2817</v>
      </c>
      <c r="Q438" s="539"/>
      <c r="R438" s="516"/>
      <c r="S438" s="516"/>
      <c r="T438" s="516"/>
      <c r="U438" s="562" t="s">
        <v>788</v>
      </c>
      <c r="V438" s="559" t="s">
        <v>415</v>
      </c>
      <c r="W438" s="560" t="s">
        <v>2859</v>
      </c>
      <c r="X438" s="516" t="s">
        <v>876</v>
      </c>
      <c r="Y438" s="542">
        <v>37404</v>
      </c>
      <c r="Z438" s="543">
        <f t="shared" ca="1" si="3"/>
        <v>23</v>
      </c>
      <c r="AA438" s="534" t="s">
        <v>2860</v>
      </c>
      <c r="AB438" s="516"/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2862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2814</v>
      </c>
      <c r="E439" s="516">
        <f t="shared" si="2"/>
        <v>395</v>
      </c>
      <c r="F439" s="534"/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48" t="s">
        <v>2864</v>
      </c>
      <c r="Q439" s="539"/>
      <c r="R439" s="516" t="s">
        <v>49</v>
      </c>
      <c r="S439" s="516" t="s">
        <v>168</v>
      </c>
      <c r="T439" s="516"/>
      <c r="U439" s="516"/>
      <c r="V439" s="550" t="s">
        <v>330</v>
      </c>
      <c r="W439" s="541" t="s">
        <v>2818</v>
      </c>
      <c r="X439" s="516" t="s">
        <v>876</v>
      </c>
      <c r="Y439" s="542">
        <v>32520</v>
      </c>
      <c r="Z439" s="543">
        <f t="shared" ca="1" si="3"/>
        <v>37</v>
      </c>
      <c r="AA439" s="534"/>
      <c r="AB439" s="516"/>
      <c r="AC439" s="516" t="s">
        <v>793</v>
      </c>
      <c r="AD439" s="516" t="s">
        <v>794</v>
      </c>
      <c r="AE439" s="534" t="s">
        <v>815</v>
      </c>
      <c r="AF439" s="534" t="s">
        <v>2785</v>
      </c>
      <c r="AG439" s="534" t="s">
        <v>2821</v>
      </c>
      <c r="AH439" s="516" t="s">
        <v>872</v>
      </c>
      <c r="AI439" s="516"/>
      <c r="AJ439" s="516"/>
      <c r="AK439" s="516"/>
      <c r="AL439" s="544"/>
      <c r="AM439" s="544"/>
    </row>
    <row r="440" spans="3:39" ht="18" customHeight="1">
      <c r="C440" s="516">
        <v>420</v>
      </c>
      <c r="D440" s="516" t="s">
        <v>2863</v>
      </c>
      <c r="E440" s="516">
        <f t="shared" si="2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 t="s">
        <v>62</v>
      </c>
      <c r="S440" s="516" t="s">
        <v>548</v>
      </c>
      <c r="T440" s="516"/>
      <c r="U440" s="516" t="s">
        <v>874</v>
      </c>
      <c r="V440" s="538" t="s">
        <v>344</v>
      </c>
      <c r="W440" s="541" t="s">
        <v>2865</v>
      </c>
      <c r="X440" s="516" t="s">
        <v>876</v>
      </c>
      <c r="Y440" s="542">
        <v>33996</v>
      </c>
      <c r="Z440" s="543">
        <f t="shared" ca="1" si="3"/>
        <v>33</v>
      </c>
      <c r="AA440" s="534" t="s">
        <v>2866</v>
      </c>
      <c r="AB440" s="516"/>
      <c r="AC440" s="516" t="s">
        <v>842</v>
      </c>
      <c r="AD440" s="516" t="s">
        <v>843</v>
      </c>
      <c r="AE440" s="534" t="s">
        <v>815</v>
      </c>
      <c r="AF440" s="606" t="s">
        <v>815</v>
      </c>
      <c r="AG440" s="534" t="s">
        <v>2868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2879</v>
      </c>
      <c r="E441" s="516">
        <f t="shared" si="2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358</v>
      </c>
      <c r="W441" s="541" t="s">
        <v>2880</v>
      </c>
      <c r="X441" s="516" t="s">
        <v>876</v>
      </c>
      <c r="Y441" s="542">
        <v>35880</v>
      </c>
      <c r="Z441" s="543">
        <f t="shared" ca="1" si="3"/>
        <v>27</v>
      </c>
      <c r="AA441" s="534" t="s">
        <v>2881</v>
      </c>
      <c r="AB441" s="516"/>
      <c r="AC441" s="516" t="s">
        <v>842</v>
      </c>
      <c r="AD441" s="516" t="s">
        <v>843</v>
      </c>
      <c r="AE441" s="534" t="s">
        <v>809</v>
      </c>
      <c r="AF441" s="534" t="s">
        <v>1400</v>
      </c>
      <c r="AG441" s="534" t="s">
        <v>2883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2884</v>
      </c>
      <c r="E442" s="516">
        <f t="shared" si="2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371</v>
      </c>
      <c r="W442" s="541" t="s">
        <v>2885</v>
      </c>
      <c r="X442" s="516" t="s">
        <v>876</v>
      </c>
      <c r="Y442" s="542">
        <v>36847</v>
      </c>
      <c r="Z442" s="543">
        <f t="shared" ca="1" si="3"/>
        <v>25</v>
      </c>
      <c r="AA442" s="534" t="s">
        <v>2886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1400</v>
      </c>
      <c r="AG442" s="534" t="s">
        <v>2888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2889</v>
      </c>
      <c r="E443" s="516">
        <f t="shared" si="2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 t="s">
        <v>308</v>
      </c>
      <c r="R443" s="516"/>
      <c r="S443" s="516"/>
      <c r="T443" s="516"/>
      <c r="U443" s="516" t="s">
        <v>788</v>
      </c>
      <c r="V443" s="538" t="s">
        <v>384</v>
      </c>
      <c r="W443" s="541" t="s">
        <v>2890</v>
      </c>
      <c r="X443" s="516" t="s">
        <v>876</v>
      </c>
      <c r="Y443" s="542">
        <v>36970</v>
      </c>
      <c r="Z443" s="543">
        <f t="shared" ca="1" si="3"/>
        <v>24</v>
      </c>
      <c r="AA443" s="534" t="s">
        <v>2891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1273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2893</v>
      </c>
      <c r="E444" s="516">
        <f t="shared" si="2"/>
        <v>400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59" t="s">
        <v>2864</v>
      </c>
      <c r="Q444" s="539" t="s">
        <v>308</v>
      </c>
      <c r="R444" s="516"/>
      <c r="S444" s="516"/>
      <c r="T444" s="516"/>
      <c r="U444" s="516" t="s">
        <v>788</v>
      </c>
      <c r="V444" s="559" t="s">
        <v>396</v>
      </c>
      <c r="W444" s="541" t="s">
        <v>2894</v>
      </c>
      <c r="X444" s="516" t="s">
        <v>876</v>
      </c>
      <c r="Y444" s="542">
        <v>37663</v>
      </c>
      <c r="Z444" s="543">
        <f t="shared" ca="1" si="3"/>
        <v>22</v>
      </c>
      <c r="AA444" s="534" t="s">
        <v>2895</v>
      </c>
      <c r="AB444" s="516"/>
      <c r="AC444" s="516" t="s">
        <v>842</v>
      </c>
      <c r="AD444" s="516" t="s">
        <v>843</v>
      </c>
      <c r="AE444" s="534" t="s">
        <v>815</v>
      </c>
      <c r="AF444" s="534" t="s">
        <v>815</v>
      </c>
      <c r="AG444" s="534" t="s">
        <v>2897</v>
      </c>
      <c r="AH444" s="516"/>
      <c r="AI444" s="516"/>
      <c r="AJ444" s="569" t="s">
        <v>1224</v>
      </c>
      <c r="AK444" s="516"/>
      <c r="AL444" s="544"/>
      <c r="AM444" s="544"/>
    </row>
    <row r="445" spans="3:39" ht="18" customHeight="1">
      <c r="C445" s="516">
        <v>425</v>
      </c>
      <c r="D445" s="516" t="s">
        <v>2898</v>
      </c>
      <c r="E445" s="516">
        <f t="shared" si="2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48" t="s">
        <v>787</v>
      </c>
      <c r="Q445" s="539"/>
      <c r="R445" s="516" t="s">
        <v>163</v>
      </c>
      <c r="S445" s="516" t="s">
        <v>163</v>
      </c>
      <c r="T445" s="516"/>
      <c r="U445" s="516" t="s">
        <v>874</v>
      </c>
      <c r="V445" s="548" t="s">
        <v>456</v>
      </c>
      <c r="W445" s="541" t="s">
        <v>2899</v>
      </c>
      <c r="X445" s="516" t="s">
        <v>876</v>
      </c>
      <c r="Y445" s="542">
        <v>25002</v>
      </c>
      <c r="Z445" s="543">
        <f t="shared" ca="1" si="3"/>
        <v>57</v>
      </c>
      <c r="AA445" s="534" t="s">
        <v>2900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2902</v>
      </c>
      <c r="E446" s="516">
        <f t="shared" si="2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463</v>
      </c>
      <c r="W446" s="541" t="s">
        <v>2903</v>
      </c>
      <c r="X446" s="516" t="s">
        <v>876</v>
      </c>
      <c r="Y446" s="542">
        <v>19031</v>
      </c>
      <c r="Z446" s="543">
        <f t="shared" ca="1" si="3"/>
        <v>73</v>
      </c>
      <c r="AA446" s="534" t="s">
        <v>2904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2906</v>
      </c>
      <c r="E447" s="516">
        <f t="shared" si="2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168</v>
      </c>
      <c r="T447" s="516"/>
      <c r="U447" s="516" t="s">
        <v>898</v>
      </c>
      <c r="V447" s="538" t="s">
        <v>470</v>
      </c>
      <c r="W447" s="541" t="s">
        <v>2907</v>
      </c>
      <c r="X447" s="516" t="s">
        <v>876</v>
      </c>
      <c r="Y447" s="542">
        <v>18523</v>
      </c>
      <c r="Z447" s="543">
        <f t="shared" ca="1" si="3"/>
        <v>75</v>
      </c>
      <c r="AA447" s="534" t="s">
        <v>2908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2910</v>
      </c>
      <c r="E448" s="516">
        <f t="shared" si="2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49</v>
      </c>
      <c r="T448" s="516"/>
      <c r="U448" s="516" t="s">
        <v>874</v>
      </c>
      <c r="V448" s="538" t="s">
        <v>473</v>
      </c>
      <c r="W448" s="541" t="s">
        <v>2911</v>
      </c>
      <c r="X448" s="516" t="s">
        <v>876</v>
      </c>
      <c r="Y448" s="542">
        <v>22938</v>
      </c>
      <c r="Z448" s="543">
        <f t="shared" ca="1" si="3"/>
        <v>63</v>
      </c>
      <c r="AA448" s="534" t="s">
        <v>2912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2914</v>
      </c>
      <c r="E449" s="516">
        <f t="shared" si="2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874</v>
      </c>
      <c r="V449" s="538" t="s">
        <v>478</v>
      </c>
      <c r="W449" s="541" t="s">
        <v>2915</v>
      </c>
      <c r="X449" s="516" t="s">
        <v>876</v>
      </c>
      <c r="Y449" s="542">
        <v>23418</v>
      </c>
      <c r="Z449" s="543">
        <f t="shared" ca="1" si="3"/>
        <v>61</v>
      </c>
      <c r="AA449" s="534" t="s">
        <v>2916</v>
      </c>
      <c r="AB449" s="516"/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2918</v>
      </c>
      <c r="E450" s="516">
        <f t="shared" si="2"/>
        <v>406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59" t="s">
        <v>787</v>
      </c>
      <c r="Q450" s="539"/>
      <c r="R450" s="516" t="s">
        <v>163</v>
      </c>
      <c r="S450" s="516" t="s">
        <v>500</v>
      </c>
      <c r="T450" s="516"/>
      <c r="U450" s="516" t="s">
        <v>874</v>
      </c>
      <c r="V450" s="559" t="s">
        <v>498</v>
      </c>
      <c r="W450" s="541" t="s">
        <v>2919</v>
      </c>
      <c r="X450" s="516" t="s">
        <v>876</v>
      </c>
      <c r="Y450" s="542">
        <v>22147</v>
      </c>
      <c r="Z450" s="543">
        <f t="shared" ca="1" si="3"/>
        <v>65</v>
      </c>
      <c r="AA450" s="534" t="s">
        <v>2920</v>
      </c>
      <c r="AB450" s="516"/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987</v>
      </c>
      <c r="E451" s="516">
        <f t="shared" si="2"/>
        <v>406</v>
      </c>
      <c r="F451" s="534"/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48" t="s">
        <v>828</v>
      </c>
      <c r="Q451" s="539"/>
      <c r="R451" s="516" t="s">
        <v>49</v>
      </c>
      <c r="S451" s="516" t="s">
        <v>49</v>
      </c>
      <c r="T451" s="516"/>
      <c r="U451" s="516"/>
      <c r="V451" s="548" t="s">
        <v>75</v>
      </c>
      <c r="W451" s="541" t="s">
        <v>988</v>
      </c>
      <c r="X451" s="516" t="s">
        <v>790</v>
      </c>
      <c r="Y451" s="542">
        <v>19202</v>
      </c>
      <c r="Z451" s="543">
        <f t="shared" ca="1" si="3"/>
        <v>73</v>
      </c>
      <c r="AA451" s="534" t="s">
        <v>989</v>
      </c>
      <c r="AB451" s="516"/>
      <c r="AC451" s="516" t="s">
        <v>802</v>
      </c>
      <c r="AD451" s="516" t="s">
        <v>794</v>
      </c>
      <c r="AE451" s="534" t="s">
        <v>809</v>
      </c>
      <c r="AF451" s="534" t="s">
        <v>795</v>
      </c>
      <c r="AG451" s="534" t="s">
        <v>804</v>
      </c>
      <c r="AH451" s="516" t="s">
        <v>872</v>
      </c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2922</v>
      </c>
      <c r="E452" s="516">
        <f t="shared" si="2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464</v>
      </c>
      <c r="W452" s="541" t="s">
        <v>2925</v>
      </c>
      <c r="X452" s="516" t="s">
        <v>790</v>
      </c>
      <c r="Y452" s="542">
        <v>19613</v>
      </c>
      <c r="Z452" s="543">
        <f t="shared" ca="1" si="3"/>
        <v>72</v>
      </c>
      <c r="AA452" s="534" t="s">
        <v>2926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2923</v>
      </c>
      <c r="E453" s="516">
        <f t="shared" si="2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 t="s">
        <v>62</v>
      </c>
      <c r="S453" s="516" t="s">
        <v>62</v>
      </c>
      <c r="T453" s="516"/>
      <c r="U453" s="516" t="s">
        <v>898</v>
      </c>
      <c r="V453" s="538" t="s">
        <v>2928</v>
      </c>
      <c r="W453" s="541" t="s">
        <v>2929</v>
      </c>
      <c r="X453" s="516" t="s">
        <v>790</v>
      </c>
      <c r="Y453" s="542">
        <v>19281</v>
      </c>
      <c r="Z453" s="543">
        <f t="shared" ca="1" si="3"/>
        <v>73</v>
      </c>
      <c r="AA453" s="534" t="s">
        <v>2930</v>
      </c>
      <c r="AB453" s="516"/>
      <c r="AC453" s="516" t="s">
        <v>842</v>
      </c>
      <c r="AD453" s="516" t="s">
        <v>794</v>
      </c>
      <c r="AE453" s="534" t="s">
        <v>236</v>
      </c>
      <c r="AF453" s="534" t="s">
        <v>236</v>
      </c>
      <c r="AG453" s="574" t="s">
        <v>743</v>
      </c>
      <c r="AH453" s="516"/>
      <c r="AI453" s="516"/>
      <c r="AJ453" s="516" t="s">
        <v>844</v>
      </c>
      <c r="AK453" s="516"/>
      <c r="AL453" s="544"/>
      <c r="AM453" s="544"/>
    </row>
    <row r="454" spans="3:39" ht="18" customHeight="1">
      <c r="C454" s="516">
        <v>434</v>
      </c>
      <c r="D454" s="516" t="s">
        <v>2932</v>
      </c>
      <c r="E454" s="516">
        <f t="shared" si="2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474</v>
      </c>
      <c r="W454" s="541" t="s">
        <v>2933</v>
      </c>
      <c r="X454" s="516" t="s">
        <v>790</v>
      </c>
      <c r="Y454" s="542">
        <v>30981</v>
      </c>
      <c r="Z454" s="543">
        <f t="shared" ca="1" si="3"/>
        <v>41</v>
      </c>
      <c r="AA454" s="594" t="s">
        <v>2934</v>
      </c>
      <c r="AB454" s="516"/>
      <c r="AC454" s="516" t="s">
        <v>2936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2937</v>
      </c>
      <c r="E455" s="516">
        <f t="shared" si="2"/>
        <v>410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2938</v>
      </c>
      <c r="W455" s="541" t="s">
        <v>2939</v>
      </c>
      <c r="X455" s="516" t="s">
        <v>790</v>
      </c>
      <c r="Y455" s="542">
        <v>26339</v>
      </c>
      <c r="Z455" s="543">
        <f t="shared" ca="1" si="3"/>
        <v>53</v>
      </c>
      <c r="AA455" s="534" t="s">
        <v>2940</v>
      </c>
      <c r="AB455" s="516"/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 t="s">
        <v>832</v>
      </c>
      <c r="AK455" s="516"/>
      <c r="AL455" s="544"/>
      <c r="AM455" s="544"/>
    </row>
    <row r="456" spans="3:39" ht="18" customHeight="1">
      <c r="C456" s="516">
        <v>436</v>
      </c>
      <c r="D456" s="516" t="s">
        <v>2942</v>
      </c>
      <c r="E456" s="516">
        <f t="shared" si="2"/>
        <v>411</v>
      </c>
      <c r="F456" s="534" t="s">
        <v>1822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2943</v>
      </c>
      <c r="W456" s="541" t="s">
        <v>2944</v>
      </c>
      <c r="X456" s="516" t="s">
        <v>790</v>
      </c>
      <c r="Y456" s="542">
        <v>22088</v>
      </c>
      <c r="Z456" s="543">
        <f t="shared" ca="1" si="3"/>
        <v>65</v>
      </c>
      <c r="AA456" s="534" t="s">
        <v>2945</v>
      </c>
      <c r="AB456" s="516"/>
      <c r="AC456" s="516" t="s">
        <v>842</v>
      </c>
      <c r="AD456" s="516" t="s">
        <v>851</v>
      </c>
      <c r="AE456" s="534" t="s">
        <v>809</v>
      </c>
      <c r="AF456" s="534" t="s">
        <v>809</v>
      </c>
      <c r="AG456" s="534" t="s">
        <v>2085</v>
      </c>
      <c r="AH456" s="516"/>
      <c r="AI456" s="516"/>
      <c r="AJ456" s="516" t="s">
        <v>844</v>
      </c>
      <c r="AK456" s="516" t="s">
        <v>1863</v>
      </c>
      <c r="AL456" s="544"/>
      <c r="AM456" s="544"/>
    </row>
    <row r="457" spans="3:39" ht="18" customHeight="1">
      <c r="C457" s="516">
        <v>437</v>
      </c>
      <c r="D457" s="516" t="s">
        <v>2947</v>
      </c>
      <c r="E457" s="516">
        <f t="shared" si="2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2948</v>
      </c>
      <c r="W457" s="541" t="s">
        <v>2949</v>
      </c>
      <c r="X457" s="516" t="s">
        <v>790</v>
      </c>
      <c r="Y457" s="542">
        <v>31482</v>
      </c>
      <c r="Z457" s="543">
        <f t="shared" ca="1" si="3"/>
        <v>39</v>
      </c>
      <c r="AA457" s="594" t="s">
        <v>2950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236</v>
      </c>
      <c r="AG457" s="534" t="s">
        <v>865</v>
      </c>
      <c r="AH457" s="516" t="s">
        <v>1571</v>
      </c>
      <c r="AI457" s="516" t="s">
        <v>860</v>
      </c>
      <c r="AJ457" s="516"/>
      <c r="AK457" s="516"/>
      <c r="AL457" s="544"/>
      <c r="AM457" s="544"/>
    </row>
    <row r="458" spans="3:39" ht="18" customHeight="1">
      <c r="C458" s="516">
        <v>438</v>
      </c>
      <c r="D458" s="516" t="s">
        <v>2952</v>
      </c>
      <c r="E458" s="516">
        <f t="shared" si="2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2953</v>
      </c>
      <c r="W458" s="541" t="s">
        <v>2954</v>
      </c>
      <c r="X458" s="516" t="s">
        <v>790</v>
      </c>
      <c r="Y458" s="542">
        <v>32188</v>
      </c>
      <c r="Z458" s="543">
        <f t="shared" ca="1" si="3"/>
        <v>37</v>
      </c>
      <c r="AA458" s="534" t="s">
        <v>2955</v>
      </c>
      <c r="AB458" s="516"/>
      <c r="AC458" s="516" t="s">
        <v>842</v>
      </c>
      <c r="AD458" s="516" t="s">
        <v>843</v>
      </c>
      <c r="AE458" s="534" t="s">
        <v>236</v>
      </c>
      <c r="AF458" s="534" t="s">
        <v>2529</v>
      </c>
      <c r="AG458" s="534" t="s">
        <v>1289</v>
      </c>
      <c r="AH458" s="516" t="s">
        <v>1571</v>
      </c>
      <c r="AI458" s="516" t="s">
        <v>860</v>
      </c>
      <c r="AJ458" s="516" t="s">
        <v>844</v>
      </c>
      <c r="AK458" s="516"/>
      <c r="AL458" s="544"/>
      <c r="AM458" s="544"/>
    </row>
    <row r="459" spans="3:39" ht="18" customHeight="1">
      <c r="C459" s="516">
        <v>439</v>
      </c>
      <c r="D459" s="516" t="s">
        <v>2956</v>
      </c>
      <c r="E459" s="516">
        <f t="shared" si="2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2957</v>
      </c>
      <c r="W459" s="541" t="s">
        <v>2958</v>
      </c>
      <c r="X459" s="516" t="s">
        <v>790</v>
      </c>
      <c r="Y459" s="542">
        <v>26922</v>
      </c>
      <c r="Z459" s="543">
        <f t="shared" ca="1" si="3"/>
        <v>52</v>
      </c>
      <c r="AA459" s="534" t="s">
        <v>2959</v>
      </c>
      <c r="AB459" s="516"/>
      <c r="AC459" s="516" t="s">
        <v>842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 t="s">
        <v>1571</v>
      </c>
      <c r="AI459" s="516"/>
      <c r="AJ459" s="516"/>
      <c r="AK459" s="516"/>
      <c r="AL459" s="544"/>
      <c r="AM459" s="544"/>
    </row>
    <row r="460" spans="3:39" ht="18" customHeight="1">
      <c r="C460" s="516">
        <v>440</v>
      </c>
      <c r="D460" s="516" t="s">
        <v>2961</v>
      </c>
      <c r="E460" s="516">
        <f t="shared" si="2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59" t="s">
        <v>828</v>
      </c>
      <c r="Q460" s="539"/>
      <c r="R460" s="516"/>
      <c r="S460" s="516"/>
      <c r="T460" s="516"/>
      <c r="U460" s="516" t="s">
        <v>799</v>
      </c>
      <c r="V460" s="559" t="s">
        <v>2962</v>
      </c>
      <c r="W460" s="541" t="s">
        <v>2963</v>
      </c>
      <c r="X460" s="516" t="s">
        <v>790</v>
      </c>
      <c r="Y460" s="542">
        <v>27828</v>
      </c>
      <c r="Z460" s="543">
        <f t="shared" ca="1" si="3"/>
        <v>49</v>
      </c>
      <c r="AA460" s="534" t="s">
        <v>2964</v>
      </c>
      <c r="AB460" s="516"/>
      <c r="AC460" s="516" t="s">
        <v>842</v>
      </c>
      <c r="AD460" s="516" t="s">
        <v>851</v>
      </c>
      <c r="AE460" s="534" t="s">
        <v>236</v>
      </c>
      <c r="AF460" s="534" t="s">
        <v>236</v>
      </c>
      <c r="AG460" s="534" t="s">
        <v>865</v>
      </c>
      <c r="AH460" s="516" t="s">
        <v>1571</v>
      </c>
      <c r="AI460" s="516" t="s">
        <v>860</v>
      </c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2965</v>
      </c>
      <c r="E461" s="516">
        <f t="shared" si="2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48" t="s">
        <v>938</v>
      </c>
      <c r="Q461" s="539"/>
      <c r="R461" s="516" t="s">
        <v>49</v>
      </c>
      <c r="S461" s="516" t="s">
        <v>49</v>
      </c>
      <c r="T461" s="516"/>
      <c r="U461" s="516" t="s">
        <v>898</v>
      </c>
      <c r="V461" s="548" t="s">
        <v>457</v>
      </c>
      <c r="W461" s="541" t="s">
        <v>2968</v>
      </c>
      <c r="X461" s="516" t="s">
        <v>876</v>
      </c>
      <c r="Y461" s="542">
        <v>17838</v>
      </c>
      <c r="Z461" s="543">
        <f t="shared" ca="1" si="3"/>
        <v>77</v>
      </c>
      <c r="AA461" s="534" t="s">
        <v>2969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2966</v>
      </c>
      <c r="E462" s="516">
        <f t="shared" si="2"/>
        <v>417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 t="s">
        <v>898</v>
      </c>
      <c r="V462" s="538" t="s">
        <v>465</v>
      </c>
      <c r="W462" s="541" t="s">
        <v>2971</v>
      </c>
      <c r="X462" s="516" t="s">
        <v>876</v>
      </c>
      <c r="Y462" s="542">
        <v>19108</v>
      </c>
      <c r="Z462" s="543">
        <f t="shared" ca="1" si="3"/>
        <v>73</v>
      </c>
      <c r="AA462" s="534" t="s">
        <v>2972</v>
      </c>
      <c r="AB462" s="516"/>
      <c r="AC462" s="516" t="s">
        <v>802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990</v>
      </c>
      <c r="E463" s="516">
        <f t="shared" si="2"/>
        <v>417</v>
      </c>
      <c r="F463" s="534"/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/>
      <c r="V463" s="538" t="s">
        <v>87</v>
      </c>
      <c r="W463" s="541" t="s">
        <v>991</v>
      </c>
      <c r="X463" s="516" t="s">
        <v>876</v>
      </c>
      <c r="Y463" s="542">
        <v>19466</v>
      </c>
      <c r="Z463" s="543">
        <f t="shared" ca="1" si="3"/>
        <v>72</v>
      </c>
      <c r="AA463" s="534" t="s">
        <v>992</v>
      </c>
      <c r="AB463" s="516"/>
      <c r="AC463" s="516" t="s">
        <v>802</v>
      </c>
      <c r="AD463" s="516" t="s">
        <v>794</v>
      </c>
      <c r="AE463" s="534" t="s">
        <v>809</v>
      </c>
      <c r="AF463" s="534" t="s">
        <v>795</v>
      </c>
      <c r="AG463" s="534" t="s">
        <v>804</v>
      </c>
      <c r="AH463" s="516" t="s">
        <v>872</v>
      </c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2967</v>
      </c>
      <c r="E464" s="516">
        <f t="shared" si="2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 t="s">
        <v>62</v>
      </c>
      <c r="S464" s="516" t="s">
        <v>62</v>
      </c>
      <c r="T464" s="516"/>
      <c r="U464" s="516" t="s">
        <v>874</v>
      </c>
      <c r="V464" s="538" t="s">
        <v>475</v>
      </c>
      <c r="W464" s="541" t="s">
        <v>2974</v>
      </c>
      <c r="X464" s="516" t="s">
        <v>876</v>
      </c>
      <c r="Y464" s="542">
        <v>22921</v>
      </c>
      <c r="Z464" s="543">
        <f t="shared" ca="1" si="3"/>
        <v>63</v>
      </c>
      <c r="AA464" s="534" t="s">
        <v>2975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2977</v>
      </c>
      <c r="E465" s="516">
        <f t="shared" si="2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479</v>
      </c>
      <c r="W465" s="541" t="s">
        <v>2978</v>
      </c>
      <c r="X465" s="516" t="s">
        <v>876</v>
      </c>
      <c r="Y465" s="542">
        <v>18123</v>
      </c>
      <c r="Z465" s="543">
        <f t="shared" ca="1" si="3"/>
        <v>76</v>
      </c>
      <c r="AA465" s="534" t="s">
        <v>2979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2981</v>
      </c>
      <c r="E466" s="516">
        <f t="shared" si="2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898</v>
      </c>
      <c r="V466" s="538" t="s">
        <v>485</v>
      </c>
      <c r="W466" s="541" t="s">
        <v>2982</v>
      </c>
      <c r="X466" s="516" t="s">
        <v>876</v>
      </c>
      <c r="Y466" s="542">
        <v>20191</v>
      </c>
      <c r="Z466" s="543">
        <f t="shared" ca="1" si="3"/>
        <v>70</v>
      </c>
      <c r="AA466" s="534">
        <v>77774810054</v>
      </c>
      <c r="AB466" s="516"/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2984</v>
      </c>
      <c r="E467" s="516">
        <f t="shared" si="2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486</v>
      </c>
      <c r="W467" s="541" t="s">
        <v>2985</v>
      </c>
      <c r="X467" s="516" t="s">
        <v>876</v>
      </c>
      <c r="Y467" s="542">
        <v>20487</v>
      </c>
      <c r="Z467" s="543">
        <f t="shared" ca="1" si="3"/>
        <v>69</v>
      </c>
      <c r="AA467" s="534" t="s">
        <v>2986</v>
      </c>
      <c r="AB467" s="516"/>
      <c r="AC467" s="516" t="s">
        <v>842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2989</v>
      </c>
      <c r="E468" s="516">
        <f t="shared" ref="E468:E711" si="4">SUBTOTAL(103,$U$21:U468)</f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2990</v>
      </c>
      <c r="W468" s="541" t="s">
        <v>2991</v>
      </c>
      <c r="X468" s="516" t="s">
        <v>876</v>
      </c>
      <c r="Y468" s="542">
        <v>26857</v>
      </c>
      <c r="Z468" s="543">
        <f t="shared" ca="1" si="3"/>
        <v>52</v>
      </c>
      <c r="AA468" s="534" t="s">
        <v>2992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 t="s">
        <v>1571</v>
      </c>
      <c r="AI468" s="516" t="s">
        <v>860</v>
      </c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2993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874</v>
      </c>
      <c r="V469" s="538" t="s">
        <v>2994</v>
      </c>
      <c r="W469" s="541" t="s">
        <v>2995</v>
      </c>
      <c r="X469" s="516" t="s">
        <v>876</v>
      </c>
      <c r="Y469" s="542">
        <v>27734</v>
      </c>
      <c r="Z469" s="543">
        <f t="shared" ca="1" si="3"/>
        <v>50</v>
      </c>
      <c r="AA469" s="534" t="s">
        <v>2996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 t="s">
        <v>1571</v>
      </c>
      <c r="AI469" s="516" t="s">
        <v>4231</v>
      </c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2998</v>
      </c>
      <c r="E470" s="516">
        <f t="shared" si="4"/>
        <v>424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59" t="s">
        <v>938</v>
      </c>
      <c r="Q470" s="539"/>
      <c r="R470" s="516"/>
      <c r="S470" s="516"/>
      <c r="T470" s="516"/>
      <c r="U470" s="516" t="s">
        <v>788</v>
      </c>
      <c r="V470" s="559" t="s">
        <v>2999</v>
      </c>
      <c r="W470" s="541" t="s">
        <v>3000</v>
      </c>
      <c r="X470" s="516" t="s">
        <v>876</v>
      </c>
      <c r="Y470" s="542">
        <v>36934</v>
      </c>
      <c r="Z470" s="543">
        <f t="shared" ca="1" si="3"/>
        <v>24</v>
      </c>
      <c r="AA470" s="534" t="s">
        <v>3001</v>
      </c>
      <c r="AB470" s="516"/>
      <c r="AC470" s="516" t="s">
        <v>842</v>
      </c>
      <c r="AD470" s="516" t="s">
        <v>851</v>
      </c>
      <c r="AE470" s="534" t="s">
        <v>236</v>
      </c>
      <c r="AF470" s="534" t="s">
        <v>236</v>
      </c>
      <c r="AG470" s="534" t="s">
        <v>865</v>
      </c>
      <c r="AH470" s="516" t="s">
        <v>1571</v>
      </c>
      <c r="AI470" s="516" t="s">
        <v>4464</v>
      </c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2902</v>
      </c>
      <c r="E471" s="516">
        <f t="shared" si="4"/>
        <v>424</v>
      </c>
      <c r="F471" s="534"/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48" t="s">
        <v>978</v>
      </c>
      <c r="Q471" s="539"/>
      <c r="R471" s="516" t="s">
        <v>49</v>
      </c>
      <c r="S471" s="516" t="s">
        <v>168</v>
      </c>
      <c r="T471" s="516"/>
      <c r="U471" s="516"/>
      <c r="V471" s="548" t="s">
        <v>463</v>
      </c>
      <c r="W471" s="541" t="s">
        <v>2903</v>
      </c>
      <c r="X471" s="516" t="s">
        <v>876</v>
      </c>
      <c r="Y471" s="542">
        <v>19031</v>
      </c>
      <c r="Z471" s="543">
        <f t="shared" ca="1" si="3"/>
        <v>73</v>
      </c>
      <c r="AA471" s="534" t="s">
        <v>2904</v>
      </c>
      <c r="AB471" s="516"/>
      <c r="AC471" s="516" t="s">
        <v>802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 t="s">
        <v>872</v>
      </c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3002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 t="s">
        <v>62</v>
      </c>
      <c r="S472" s="516" t="s">
        <v>62</v>
      </c>
      <c r="T472" s="516"/>
      <c r="U472" s="516" t="s">
        <v>874</v>
      </c>
      <c r="V472" s="538" t="s">
        <v>3003</v>
      </c>
      <c r="W472" s="541" t="s">
        <v>3004</v>
      </c>
      <c r="X472" s="516" t="s">
        <v>876</v>
      </c>
      <c r="Y472" s="542">
        <v>20886</v>
      </c>
      <c r="Z472" s="543">
        <f t="shared" ca="1" si="3"/>
        <v>68</v>
      </c>
      <c r="AA472" s="594" t="s">
        <v>3005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74" t="s">
        <v>743</v>
      </c>
      <c r="AH472" s="516"/>
      <c r="AI472" s="516"/>
      <c r="AJ472" s="516" t="s">
        <v>1535</v>
      </c>
      <c r="AK472" s="516"/>
      <c r="AL472" s="544"/>
      <c r="AM472" s="544"/>
    </row>
    <row r="473" spans="3:39" ht="18" customHeight="1">
      <c r="C473" s="516">
        <v>453</v>
      </c>
      <c r="D473" s="516" t="s">
        <v>3007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898</v>
      </c>
      <c r="V473" s="538" t="s">
        <v>3008</v>
      </c>
      <c r="W473" s="541" t="s">
        <v>3009</v>
      </c>
      <c r="X473" s="516" t="s">
        <v>876</v>
      </c>
      <c r="Y473" s="542">
        <v>19423</v>
      </c>
      <c r="Z473" s="543">
        <f t="shared" ca="1" si="3"/>
        <v>72</v>
      </c>
      <c r="AA473" s="534" t="s">
        <v>3010</v>
      </c>
      <c r="AB473" s="516"/>
      <c r="AC473" s="516" t="s">
        <v>802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 t="s">
        <v>832</v>
      </c>
      <c r="AK473" s="516"/>
      <c r="AL473" s="544"/>
      <c r="AM473" s="544"/>
    </row>
    <row r="474" spans="3:39" ht="18" customHeight="1">
      <c r="C474" s="516">
        <v>454</v>
      </c>
      <c r="D474" s="516" t="s">
        <v>3012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874</v>
      </c>
      <c r="V474" s="538" t="s">
        <v>476</v>
      </c>
      <c r="W474" s="541" t="s">
        <v>3013</v>
      </c>
      <c r="X474" s="516" t="s">
        <v>876</v>
      </c>
      <c r="Y474" s="542">
        <v>20639</v>
      </c>
      <c r="Z474" s="543">
        <f t="shared" ca="1" si="3"/>
        <v>69</v>
      </c>
      <c r="AA474" s="534" t="s">
        <v>3014</v>
      </c>
      <c r="AB474" s="516"/>
      <c r="AC474" s="516" t="s">
        <v>842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/>
      <c r="AL474" s="544"/>
      <c r="AM474" s="544"/>
    </row>
    <row r="475" spans="3:39" ht="18" customHeight="1">
      <c r="C475" s="516">
        <v>455</v>
      </c>
      <c r="D475" s="516" t="s">
        <v>3016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898</v>
      </c>
      <c r="V475" s="538" t="s">
        <v>3017</v>
      </c>
      <c r="W475" s="541" t="s">
        <v>3018</v>
      </c>
      <c r="X475" s="516" t="s">
        <v>876</v>
      </c>
      <c r="Y475" s="542">
        <v>20280</v>
      </c>
      <c r="Z475" s="543">
        <f t="shared" ca="1" si="3"/>
        <v>70</v>
      </c>
      <c r="AA475" s="534" t="s">
        <v>3019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/>
      <c r="AI475" s="516"/>
      <c r="AJ475" s="516"/>
      <c r="AK475" s="516" t="s">
        <v>1863</v>
      </c>
      <c r="AL475" s="544"/>
      <c r="AM475" s="544"/>
    </row>
    <row r="476" spans="3:39" ht="18" customHeight="1">
      <c r="C476" s="516">
        <v>456</v>
      </c>
      <c r="D476" s="516" t="s">
        <v>3021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3022</v>
      </c>
      <c r="W476" s="541" t="s">
        <v>3023</v>
      </c>
      <c r="X476" s="516" t="s">
        <v>876</v>
      </c>
      <c r="Y476" s="542">
        <v>22315</v>
      </c>
      <c r="Z476" s="543">
        <f t="shared" ca="1" si="3"/>
        <v>64</v>
      </c>
      <c r="AA476" s="534" t="s">
        <v>3024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/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457</v>
      </c>
      <c r="D477" s="516" t="s">
        <v>3026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3027</v>
      </c>
      <c r="W477" s="541" t="s">
        <v>3028</v>
      </c>
      <c r="X477" s="516" t="s">
        <v>876</v>
      </c>
      <c r="Y477" s="542">
        <v>28525</v>
      </c>
      <c r="Z477" s="543">
        <f t="shared" ca="1" si="3"/>
        <v>47</v>
      </c>
      <c r="AA477" s="534" t="s">
        <v>3029</v>
      </c>
      <c r="AB477" s="516"/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3031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3032</v>
      </c>
      <c r="W478" s="541" t="s">
        <v>3033</v>
      </c>
      <c r="X478" s="516" t="s">
        <v>876</v>
      </c>
      <c r="Y478" s="542">
        <v>32231</v>
      </c>
      <c r="Z478" s="543">
        <f t="shared" ca="1" si="3"/>
        <v>37</v>
      </c>
      <c r="AA478" s="534" t="s">
        <v>3034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/>
      <c r="AH478" s="516"/>
      <c r="AI478" s="516"/>
      <c r="AJ478" s="516" t="s">
        <v>844</v>
      </c>
      <c r="AK478" s="516"/>
      <c r="AL478" s="544"/>
      <c r="AM478" s="544"/>
    </row>
    <row r="479" spans="3:39" ht="18" customHeight="1">
      <c r="C479" s="516">
        <v>459</v>
      </c>
      <c r="D479" s="516" t="s">
        <v>3036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489</v>
      </c>
      <c r="W479" s="541" t="s">
        <v>3037</v>
      </c>
      <c r="X479" s="516" t="s">
        <v>876</v>
      </c>
      <c r="Y479" s="542">
        <v>24589</v>
      </c>
      <c r="Z479" s="543">
        <f t="shared" ca="1" si="3"/>
        <v>58</v>
      </c>
      <c r="AA479" s="594" t="s">
        <v>3038</v>
      </c>
      <c r="AB479" s="516"/>
      <c r="AC479" s="516" t="s">
        <v>842</v>
      </c>
      <c r="AD479" s="516" t="s">
        <v>851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 t="s">
        <v>1535</v>
      </c>
      <c r="AK479" s="516"/>
      <c r="AL479" s="544"/>
      <c r="AM479" s="544"/>
    </row>
    <row r="480" spans="3:39" ht="18" customHeight="1">
      <c r="C480" s="516">
        <v>460</v>
      </c>
      <c r="D480" s="516" t="s">
        <v>3039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3040</v>
      </c>
      <c r="W480" s="541" t="s">
        <v>3041</v>
      </c>
      <c r="X480" s="516" t="s">
        <v>876</v>
      </c>
      <c r="Y480" s="542">
        <v>25240</v>
      </c>
      <c r="Z480" s="543">
        <f t="shared" ca="1" si="3"/>
        <v>56</v>
      </c>
      <c r="AA480" s="534" t="s">
        <v>3042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 t="s">
        <v>1571</v>
      </c>
      <c r="AI480" s="516" t="s">
        <v>860</v>
      </c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3044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3045</v>
      </c>
      <c r="W481" s="541" t="s">
        <v>3046</v>
      </c>
      <c r="X481" s="516" t="s">
        <v>876</v>
      </c>
      <c r="Y481" s="542">
        <v>26317</v>
      </c>
      <c r="Z481" s="543">
        <f t="shared" ca="1" si="3"/>
        <v>54</v>
      </c>
      <c r="AA481" s="534" t="s">
        <v>3047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 t="s">
        <v>865</v>
      </c>
      <c r="AH481" s="516" t="s">
        <v>1571</v>
      </c>
      <c r="AI481" s="516" t="s">
        <v>860</v>
      </c>
      <c r="AJ481" s="516" t="s">
        <v>832</v>
      </c>
      <c r="AK481" s="516"/>
      <c r="AL481" s="544"/>
      <c r="AM481" s="544"/>
    </row>
    <row r="482" spans="3:39" ht="18" customHeight="1">
      <c r="C482" s="516">
        <v>462</v>
      </c>
      <c r="D482" s="516" t="s">
        <v>3049</v>
      </c>
      <c r="E482" s="516">
        <f t="shared" si="4"/>
        <v>435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59" t="s">
        <v>978</v>
      </c>
      <c r="Q482" s="539"/>
      <c r="R482" s="516"/>
      <c r="S482" s="516"/>
      <c r="T482" s="516"/>
      <c r="U482" s="516" t="s">
        <v>874</v>
      </c>
      <c r="V482" s="559" t="s">
        <v>3050</v>
      </c>
      <c r="W482" s="541" t="s">
        <v>3051</v>
      </c>
      <c r="X482" s="516" t="s">
        <v>876</v>
      </c>
      <c r="Y482" s="542">
        <v>22333</v>
      </c>
      <c r="Z482" s="543">
        <f t="shared" ca="1" si="3"/>
        <v>64</v>
      </c>
      <c r="AA482" s="534" t="s">
        <v>3052</v>
      </c>
      <c r="AB482" s="516"/>
      <c r="AC482" s="516" t="s">
        <v>842</v>
      </c>
      <c r="AD482" s="516" t="s">
        <v>843</v>
      </c>
      <c r="AE482" s="534" t="s">
        <v>236</v>
      </c>
      <c r="AF482" s="534" t="s">
        <v>236</v>
      </c>
      <c r="AG482" s="534"/>
      <c r="AH482" s="516" t="s">
        <v>1571</v>
      </c>
      <c r="AI482" s="516" t="s">
        <v>860</v>
      </c>
      <c r="AJ482" s="516" t="s">
        <v>844</v>
      </c>
      <c r="AK482" s="572" t="s">
        <v>1284</v>
      </c>
      <c r="AL482" s="544"/>
      <c r="AM482" s="544"/>
    </row>
    <row r="483" spans="3:39" ht="18" customHeight="1">
      <c r="C483" s="516">
        <v>463</v>
      </c>
      <c r="D483" s="516" t="s">
        <v>2906</v>
      </c>
      <c r="E483" s="516">
        <f t="shared" si="4"/>
        <v>435</v>
      </c>
      <c r="F483" s="534"/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48" t="s">
        <v>2372</v>
      </c>
      <c r="Q483" s="539"/>
      <c r="R483" s="516" t="s">
        <v>49</v>
      </c>
      <c r="S483" s="516" t="s">
        <v>168</v>
      </c>
      <c r="T483" s="516"/>
      <c r="U483" s="516"/>
      <c r="V483" s="548" t="s">
        <v>470</v>
      </c>
      <c r="W483" s="541" t="s">
        <v>2907</v>
      </c>
      <c r="X483" s="516" t="s">
        <v>876</v>
      </c>
      <c r="Y483" s="542">
        <v>18523</v>
      </c>
      <c r="Z483" s="543">
        <f t="shared" ca="1" si="3"/>
        <v>75</v>
      </c>
      <c r="AA483" s="534" t="s">
        <v>2908</v>
      </c>
      <c r="AB483" s="516"/>
      <c r="AC483" s="516" t="s">
        <v>802</v>
      </c>
      <c r="AD483" s="516" t="s">
        <v>794</v>
      </c>
      <c r="AE483" s="534" t="s">
        <v>236</v>
      </c>
      <c r="AF483" s="534" t="s">
        <v>236</v>
      </c>
      <c r="AG483" s="534" t="s">
        <v>865</v>
      </c>
      <c r="AH483" s="516" t="s">
        <v>872</v>
      </c>
      <c r="AI483" s="516"/>
      <c r="AJ483" s="516"/>
      <c r="AK483" s="516"/>
      <c r="AL483" s="544"/>
      <c r="AM483" s="544"/>
    </row>
    <row r="484" spans="3:39" ht="18" customHeight="1">
      <c r="C484" s="516">
        <v>464</v>
      </c>
      <c r="D484" s="516" t="s">
        <v>3055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 t="s">
        <v>62</v>
      </c>
      <c r="S484" s="516" t="s">
        <v>548</v>
      </c>
      <c r="T484" s="516"/>
      <c r="U484" s="516" t="s">
        <v>898</v>
      </c>
      <c r="V484" s="538" t="s">
        <v>501</v>
      </c>
      <c r="W484" s="541" t="s">
        <v>3056</v>
      </c>
      <c r="X484" s="516" t="s">
        <v>876</v>
      </c>
      <c r="Y484" s="542">
        <v>19573</v>
      </c>
      <c r="Z484" s="543">
        <f t="shared" ca="1" si="3"/>
        <v>72</v>
      </c>
      <c r="AA484" s="534" t="s">
        <v>3057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3059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3060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509</v>
      </c>
      <c r="W485" s="541" t="s">
        <v>3061</v>
      </c>
      <c r="X485" s="516" t="s">
        <v>876</v>
      </c>
      <c r="Y485" s="542">
        <v>19429</v>
      </c>
      <c r="Z485" s="543">
        <f t="shared" ca="1" si="3"/>
        <v>72</v>
      </c>
      <c r="AA485" s="534" t="s">
        <v>3062</v>
      </c>
      <c r="AB485" s="516"/>
      <c r="AC485" s="516" t="s">
        <v>842</v>
      </c>
      <c r="AD485" s="516" t="s">
        <v>794</v>
      </c>
      <c r="AE485" s="534" t="s">
        <v>236</v>
      </c>
      <c r="AF485" s="534" t="s">
        <v>236</v>
      </c>
      <c r="AG485" s="534" t="s">
        <v>3064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3065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898</v>
      </c>
      <c r="V486" s="538" t="s">
        <v>517</v>
      </c>
      <c r="W486" s="541" t="s">
        <v>3066</v>
      </c>
      <c r="X486" s="516" t="s">
        <v>876</v>
      </c>
      <c r="Y486" s="542">
        <v>19754</v>
      </c>
      <c r="Z486" s="543">
        <f t="shared" ca="1" si="3"/>
        <v>71</v>
      </c>
      <c r="AA486" s="534" t="s">
        <v>3067</v>
      </c>
      <c r="AB486" s="516"/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3069</v>
      </c>
      <c r="AH486" s="516"/>
      <c r="AI486" s="516"/>
      <c r="AJ486" s="516" t="s">
        <v>867</v>
      </c>
      <c r="AK486" s="516"/>
      <c r="AL486" s="544"/>
      <c r="AM486" s="544"/>
    </row>
    <row r="487" spans="3:39" ht="18" customHeight="1">
      <c r="C487" s="516">
        <v>467</v>
      </c>
      <c r="D487" s="516" t="s">
        <v>3070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525</v>
      </c>
      <c r="W487" s="541" t="s">
        <v>3071</v>
      </c>
      <c r="X487" s="516" t="s">
        <v>876</v>
      </c>
      <c r="Y487" s="542">
        <v>27624</v>
      </c>
      <c r="Z487" s="543">
        <f t="shared" ca="1" si="3"/>
        <v>50</v>
      </c>
      <c r="AA487" s="534" t="s">
        <v>3072</v>
      </c>
      <c r="AB487" s="516"/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/>
      <c r="AI487" s="516" t="s">
        <v>4465</v>
      </c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3075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3076</v>
      </c>
      <c r="W488" s="541" t="s">
        <v>3077</v>
      </c>
      <c r="X488" s="516" t="s">
        <v>876</v>
      </c>
      <c r="Y488" s="542">
        <v>31364</v>
      </c>
      <c r="Z488" s="543">
        <f t="shared" ca="1" si="3"/>
        <v>40</v>
      </c>
      <c r="AA488" s="534" t="s">
        <v>3078</v>
      </c>
      <c r="AB488" s="516"/>
      <c r="AC488" s="516" t="s">
        <v>842</v>
      </c>
      <c r="AD488" s="516" t="s">
        <v>843</v>
      </c>
      <c r="AE488" s="534" t="s">
        <v>236</v>
      </c>
      <c r="AF488" s="534" t="s">
        <v>2529</v>
      </c>
      <c r="AG488" s="534" t="s">
        <v>1289</v>
      </c>
      <c r="AH488" s="516"/>
      <c r="AI488" s="516"/>
      <c r="AJ488" s="516" t="s">
        <v>844</v>
      </c>
      <c r="AK488" s="516"/>
      <c r="AL488" s="544"/>
      <c r="AM488" s="544"/>
    </row>
    <row r="489" spans="3:39" ht="18" customHeight="1">
      <c r="C489" s="516">
        <v>469</v>
      </c>
      <c r="D489" s="516" t="s">
        <v>3080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3081</v>
      </c>
      <c r="W489" s="541" t="s">
        <v>3082</v>
      </c>
      <c r="X489" s="516" t="s">
        <v>876</v>
      </c>
      <c r="Y489" s="542">
        <v>21555</v>
      </c>
      <c r="Z489" s="543">
        <f t="shared" ca="1" si="3"/>
        <v>67</v>
      </c>
      <c r="AA489" s="534" t="s">
        <v>3083</v>
      </c>
      <c r="AB489" s="516"/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3085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544</v>
      </c>
      <c r="W490" s="541" t="s">
        <v>3086</v>
      </c>
      <c r="X490" s="516" t="s">
        <v>876</v>
      </c>
      <c r="Y490" s="542">
        <v>21988</v>
      </c>
      <c r="Z490" s="543">
        <f t="shared" ca="1" si="3"/>
        <v>65</v>
      </c>
      <c r="AA490" s="534" t="s">
        <v>3087</v>
      </c>
      <c r="AB490" s="516"/>
      <c r="AC490" s="516" t="s">
        <v>842</v>
      </c>
      <c r="AD490" s="516" t="s">
        <v>843</v>
      </c>
      <c r="AE490" s="534" t="s">
        <v>236</v>
      </c>
      <c r="AF490" s="534" t="s">
        <v>236</v>
      </c>
      <c r="AG490" s="534" t="s">
        <v>865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3089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3090</v>
      </c>
      <c r="W491" s="541" t="s">
        <v>3091</v>
      </c>
      <c r="X491" s="516" t="s">
        <v>876</v>
      </c>
      <c r="Y491" s="542">
        <v>18799</v>
      </c>
      <c r="Z491" s="543">
        <f t="shared" ca="1" si="3"/>
        <v>74</v>
      </c>
      <c r="AA491" s="534" t="s">
        <v>3092</v>
      </c>
      <c r="AB491" s="516"/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3064</v>
      </c>
      <c r="AH491" s="516" t="s">
        <v>1571</v>
      </c>
      <c r="AI491" s="516" t="s">
        <v>4466</v>
      </c>
      <c r="AJ491" s="516" t="s">
        <v>867</v>
      </c>
      <c r="AK491" s="516"/>
      <c r="AL491" s="544"/>
      <c r="AM491" s="544"/>
    </row>
    <row r="492" spans="3:39" ht="18" customHeight="1">
      <c r="C492" s="516">
        <v>472</v>
      </c>
      <c r="D492" s="516" t="s">
        <v>3095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898</v>
      </c>
      <c r="V492" s="538" t="s">
        <v>3096</v>
      </c>
      <c r="W492" s="541" t="s">
        <v>3097</v>
      </c>
      <c r="X492" s="516" t="s">
        <v>876</v>
      </c>
      <c r="Y492" s="542">
        <v>19719</v>
      </c>
      <c r="Z492" s="543">
        <f t="shared" ca="1" si="3"/>
        <v>72</v>
      </c>
      <c r="AA492" s="534" t="s">
        <v>3098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3069</v>
      </c>
      <c r="AH492" s="516" t="s">
        <v>1571</v>
      </c>
      <c r="AI492" s="516" t="s">
        <v>4467</v>
      </c>
      <c r="AJ492" s="516" t="s">
        <v>867</v>
      </c>
      <c r="AK492" s="516"/>
      <c r="AL492" s="544"/>
      <c r="AM492" s="544"/>
    </row>
    <row r="493" spans="3:39" ht="18" customHeight="1">
      <c r="C493" s="516">
        <v>473</v>
      </c>
      <c r="D493" s="516" t="s">
        <v>3101</v>
      </c>
      <c r="E493" s="516">
        <f t="shared" si="4"/>
        <v>445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59" t="s">
        <v>2372</v>
      </c>
      <c r="Q493" s="539"/>
      <c r="R493" s="516"/>
      <c r="S493" s="516"/>
      <c r="T493" s="516"/>
      <c r="U493" s="516" t="s">
        <v>874</v>
      </c>
      <c r="V493" s="559" t="s">
        <v>559</v>
      </c>
      <c r="W493" s="541" t="s">
        <v>3102</v>
      </c>
      <c r="X493" s="516" t="s">
        <v>876</v>
      </c>
      <c r="Y493" s="542">
        <v>23913</v>
      </c>
      <c r="Z493" s="543">
        <f t="shared" ca="1" si="3"/>
        <v>60</v>
      </c>
      <c r="AA493" s="534" t="s">
        <v>3103</v>
      </c>
      <c r="AB493" s="516"/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 t="s">
        <v>1571</v>
      </c>
      <c r="AI493" s="516" t="s">
        <v>4466</v>
      </c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2906</v>
      </c>
      <c r="E494" s="516">
        <f t="shared" si="4"/>
        <v>445</v>
      </c>
      <c r="F494" s="534"/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48" t="s">
        <v>2425</v>
      </c>
      <c r="Q494" s="539"/>
      <c r="R494" s="516" t="s">
        <v>49</v>
      </c>
      <c r="S494" s="516" t="s">
        <v>168</v>
      </c>
      <c r="T494" s="516"/>
      <c r="U494" s="516"/>
      <c r="V494" s="548" t="s">
        <v>470</v>
      </c>
      <c r="W494" s="541" t="s">
        <v>2907</v>
      </c>
      <c r="X494" s="516" t="s">
        <v>876</v>
      </c>
      <c r="Y494" s="542">
        <v>18523</v>
      </c>
      <c r="Z494" s="543">
        <f t="shared" ca="1" si="3"/>
        <v>75</v>
      </c>
      <c r="AA494" s="534" t="s">
        <v>2908</v>
      </c>
      <c r="AB494" s="516"/>
      <c r="AC494" s="516" t="s">
        <v>802</v>
      </c>
      <c r="AD494" s="516" t="s">
        <v>794</v>
      </c>
      <c r="AE494" s="534" t="s">
        <v>236</v>
      </c>
      <c r="AF494" s="534" t="s">
        <v>236</v>
      </c>
      <c r="AG494" s="534" t="s">
        <v>865</v>
      </c>
      <c r="AH494" s="516" t="s">
        <v>872</v>
      </c>
      <c r="AI494" s="516"/>
      <c r="AJ494" s="516"/>
      <c r="AK494" s="516"/>
      <c r="AL494" s="544"/>
      <c r="AM494" s="544"/>
    </row>
    <row r="495" spans="3:39" ht="18" customHeight="1">
      <c r="C495" s="516">
        <v>475</v>
      </c>
      <c r="D495" s="516" t="s">
        <v>3106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898</v>
      </c>
      <c r="V495" s="538" t="s">
        <v>502</v>
      </c>
      <c r="W495" s="541" t="s">
        <v>3107</v>
      </c>
      <c r="X495" s="516" t="s">
        <v>876</v>
      </c>
      <c r="Y495" s="542">
        <v>19948</v>
      </c>
      <c r="Z495" s="543">
        <f t="shared" ca="1" si="3"/>
        <v>71</v>
      </c>
      <c r="AA495" s="534" t="s">
        <v>3108</v>
      </c>
      <c r="AB495" s="516"/>
      <c r="AC495" s="516" t="s">
        <v>842</v>
      </c>
      <c r="AD495" s="516" t="s">
        <v>843</v>
      </c>
      <c r="AE495" s="534" t="s">
        <v>236</v>
      </c>
      <c r="AF495" s="552" t="s">
        <v>236</v>
      </c>
      <c r="AG495" s="552" t="s">
        <v>865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3110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510</v>
      </c>
      <c r="W496" s="541" t="s">
        <v>3111</v>
      </c>
      <c r="X496" s="516" t="s">
        <v>876</v>
      </c>
      <c r="Y496" s="542">
        <v>20806</v>
      </c>
      <c r="Z496" s="543">
        <f t="shared" ca="1" si="3"/>
        <v>69</v>
      </c>
      <c r="AA496" s="534" t="s">
        <v>3112</v>
      </c>
      <c r="AB496" s="516"/>
      <c r="AC496" s="516" t="s">
        <v>842</v>
      </c>
      <c r="AD496" s="516" t="s">
        <v>843</v>
      </c>
      <c r="AE496" s="534" t="s">
        <v>713</v>
      </c>
      <c r="AF496" s="534" t="s">
        <v>713</v>
      </c>
      <c r="AG496" s="534" t="s">
        <v>3114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3115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518</v>
      </c>
      <c r="W497" s="541" t="s">
        <v>3116</v>
      </c>
      <c r="X497" s="516" t="s">
        <v>876</v>
      </c>
      <c r="Y497" s="542">
        <v>21342</v>
      </c>
      <c r="Z497" s="543">
        <f t="shared" ca="1" si="3"/>
        <v>67</v>
      </c>
      <c r="AA497" s="534" t="s">
        <v>3117</v>
      </c>
      <c r="AB497" s="516"/>
      <c r="AC497" s="516" t="s">
        <v>842</v>
      </c>
      <c r="AD497" s="516" t="s">
        <v>843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3119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874</v>
      </c>
      <c r="V498" s="538" t="s">
        <v>526</v>
      </c>
      <c r="W498" s="541" t="s">
        <v>3120</v>
      </c>
      <c r="X498" s="516" t="s">
        <v>876</v>
      </c>
      <c r="Y498" s="542">
        <v>22495</v>
      </c>
      <c r="Z498" s="543">
        <f t="shared" ca="1" si="3"/>
        <v>64</v>
      </c>
      <c r="AA498" s="534" t="s">
        <v>3121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3123</v>
      </c>
      <c r="E499" s="516">
        <f t="shared" si="4"/>
        <v>450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59" t="s">
        <v>2425</v>
      </c>
      <c r="Q499" s="539" t="s">
        <v>308</v>
      </c>
      <c r="R499" s="516"/>
      <c r="S499" s="516"/>
      <c r="T499" s="516"/>
      <c r="U499" s="516" t="s">
        <v>874</v>
      </c>
      <c r="V499" s="559" t="s">
        <v>533</v>
      </c>
      <c r="W499" s="541" t="s">
        <v>3124</v>
      </c>
      <c r="X499" s="516" t="s">
        <v>876</v>
      </c>
      <c r="Y499" s="542">
        <v>23608</v>
      </c>
      <c r="Z499" s="543">
        <f t="shared" ca="1" si="3"/>
        <v>61</v>
      </c>
      <c r="AA499" s="534" t="s">
        <v>3125</v>
      </c>
      <c r="AB499" s="516"/>
      <c r="AC499" s="516" t="s">
        <v>842</v>
      </c>
      <c r="AD499" s="516" t="s">
        <v>843</v>
      </c>
      <c r="AE499" s="534" t="s">
        <v>236</v>
      </c>
      <c r="AF499" s="552" t="s">
        <v>236</v>
      </c>
      <c r="AG499" s="534" t="s">
        <v>3127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2914</v>
      </c>
      <c r="E500" s="516">
        <f t="shared" si="4"/>
        <v>450</v>
      </c>
      <c r="F500" s="534"/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48" t="s">
        <v>3129</v>
      </c>
      <c r="Q500" s="539"/>
      <c r="R500" s="516" t="s">
        <v>49</v>
      </c>
      <c r="S500" s="516" t="s">
        <v>168</v>
      </c>
      <c r="T500" s="516"/>
      <c r="U500" s="516"/>
      <c r="V500" s="548" t="s">
        <v>478</v>
      </c>
      <c r="W500" s="541" t="s">
        <v>2915</v>
      </c>
      <c r="X500" s="516" t="s">
        <v>876</v>
      </c>
      <c r="Y500" s="542">
        <v>23418</v>
      </c>
      <c r="Z500" s="543">
        <f t="shared" ca="1" si="3"/>
        <v>61</v>
      </c>
      <c r="AA500" s="534" t="s">
        <v>2916</v>
      </c>
      <c r="AB500" s="516"/>
      <c r="AC500" s="516" t="s">
        <v>842</v>
      </c>
      <c r="AD500" s="516" t="s">
        <v>794</v>
      </c>
      <c r="AE500" s="534" t="s">
        <v>236</v>
      </c>
      <c r="AF500" s="534" t="s">
        <v>236</v>
      </c>
      <c r="AG500" s="534" t="s">
        <v>865</v>
      </c>
      <c r="AH500" s="516" t="s">
        <v>872</v>
      </c>
      <c r="AI500" s="516"/>
      <c r="AJ500" s="516"/>
      <c r="AK500" s="516"/>
      <c r="AL500" s="544"/>
      <c r="AM500" s="544"/>
    </row>
    <row r="501" spans="3:39" ht="18" customHeight="1">
      <c r="C501" s="516">
        <v>481</v>
      </c>
      <c r="D501" s="516" t="s">
        <v>3128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 t="s">
        <v>62</v>
      </c>
      <c r="S501" s="516" t="s">
        <v>548</v>
      </c>
      <c r="T501" s="516"/>
      <c r="U501" s="516" t="s">
        <v>874</v>
      </c>
      <c r="V501" s="538" t="s">
        <v>503</v>
      </c>
      <c r="W501" s="541" t="s">
        <v>3130</v>
      </c>
      <c r="X501" s="516" t="s">
        <v>876</v>
      </c>
      <c r="Y501" s="542">
        <v>29204</v>
      </c>
      <c r="Z501" s="543">
        <f t="shared" ca="1" si="3"/>
        <v>46</v>
      </c>
      <c r="AA501" s="534" t="s">
        <v>3131</v>
      </c>
      <c r="AB501" s="516"/>
      <c r="AC501" s="516" t="s">
        <v>842</v>
      </c>
      <c r="AD501" s="516" t="s">
        <v>851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 t="s">
        <v>867</v>
      </c>
      <c r="AK501" s="516"/>
      <c r="AL501" s="544"/>
      <c r="AM501" s="544"/>
    </row>
    <row r="502" spans="3:39" ht="18" customHeight="1">
      <c r="C502" s="516">
        <v>482</v>
      </c>
      <c r="D502" s="516" t="s">
        <v>3133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511</v>
      </c>
      <c r="W502" s="541" t="s">
        <v>3134</v>
      </c>
      <c r="X502" s="516" t="s">
        <v>876</v>
      </c>
      <c r="Y502" s="542">
        <v>33409</v>
      </c>
      <c r="Z502" s="543">
        <f t="shared" ca="1" si="3"/>
        <v>34</v>
      </c>
      <c r="AA502" s="534" t="s">
        <v>3135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3137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519</v>
      </c>
      <c r="W503" s="541" t="s">
        <v>3138</v>
      </c>
      <c r="X503" s="516" t="s">
        <v>876</v>
      </c>
      <c r="Y503" s="542">
        <v>31186</v>
      </c>
      <c r="Z503" s="543">
        <f t="shared" ca="1" si="3"/>
        <v>40</v>
      </c>
      <c r="AA503" s="534" t="s">
        <v>3139</v>
      </c>
      <c r="AB503" s="516"/>
      <c r="AC503" s="516" t="s">
        <v>802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/>
      <c r="AI503" s="516"/>
      <c r="AJ503" s="516"/>
      <c r="AK503" s="516"/>
      <c r="AL503" s="544"/>
      <c r="AM503" s="544"/>
    </row>
    <row r="504" spans="3:39" ht="18" customHeight="1">
      <c r="C504" s="516">
        <v>484</v>
      </c>
      <c r="D504" s="516" t="s">
        <v>3141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527</v>
      </c>
      <c r="W504" s="541" t="s">
        <v>3142</v>
      </c>
      <c r="X504" s="516" t="s">
        <v>876</v>
      </c>
      <c r="Y504" s="542">
        <v>27491</v>
      </c>
      <c r="Z504" s="543">
        <f t="shared" ca="1" si="3"/>
        <v>50</v>
      </c>
      <c r="AA504" s="534" t="s">
        <v>3143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3145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3146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534</v>
      </c>
      <c r="W505" s="541" t="s">
        <v>3147</v>
      </c>
      <c r="X505" s="516" t="s">
        <v>876</v>
      </c>
      <c r="Y505" s="542">
        <v>28459</v>
      </c>
      <c r="Z505" s="543">
        <f t="shared" ca="1" si="3"/>
        <v>48</v>
      </c>
      <c r="AA505" s="534" t="s">
        <v>3148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3150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3151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540</v>
      </c>
      <c r="W506" s="541" t="s">
        <v>3152</v>
      </c>
      <c r="X506" s="516" t="s">
        <v>876</v>
      </c>
      <c r="Y506" s="542">
        <v>29948</v>
      </c>
      <c r="Z506" s="543">
        <f t="shared" ca="1" si="3"/>
        <v>44</v>
      </c>
      <c r="AA506" s="534" t="s">
        <v>3153</v>
      </c>
      <c r="AB506" s="516"/>
      <c r="AC506" s="516" t="s">
        <v>842</v>
      </c>
      <c r="AD506" s="516" t="s">
        <v>851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3155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545</v>
      </c>
      <c r="W507" s="541" t="s">
        <v>3156</v>
      </c>
      <c r="X507" s="516" t="s">
        <v>876</v>
      </c>
      <c r="Y507" s="542">
        <v>30545</v>
      </c>
      <c r="Z507" s="543">
        <f t="shared" ca="1" si="3"/>
        <v>42</v>
      </c>
      <c r="AA507" s="534" t="s">
        <v>3157</v>
      </c>
      <c r="AB507" s="516"/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3159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3160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551</v>
      </c>
      <c r="W508" s="541" t="s">
        <v>3161</v>
      </c>
      <c r="X508" s="516" t="s">
        <v>876</v>
      </c>
      <c r="Y508" s="542">
        <v>34130</v>
      </c>
      <c r="Z508" s="543">
        <f t="shared" ca="1" si="3"/>
        <v>32</v>
      </c>
      <c r="AA508" s="534" t="s">
        <v>3162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3163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3164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3165</v>
      </c>
      <c r="W509" s="541" t="s">
        <v>3166</v>
      </c>
      <c r="X509" s="516" t="s">
        <v>876</v>
      </c>
      <c r="Y509" s="542">
        <v>29575</v>
      </c>
      <c r="Z509" s="543">
        <f t="shared" ca="1" si="3"/>
        <v>45</v>
      </c>
      <c r="AA509" s="534" t="s">
        <v>3167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 t="s">
        <v>1571</v>
      </c>
      <c r="AI509" s="516" t="s">
        <v>4467</v>
      </c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3168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3169</v>
      </c>
      <c r="W510" s="541" t="s">
        <v>3170</v>
      </c>
      <c r="X510" s="516" t="s">
        <v>876</v>
      </c>
      <c r="Y510" s="542">
        <v>22440</v>
      </c>
      <c r="Z510" s="543">
        <f t="shared" ca="1" si="3"/>
        <v>64</v>
      </c>
      <c r="AA510" s="534" t="s">
        <v>3171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 t="s">
        <v>1571</v>
      </c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3173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3174</v>
      </c>
      <c r="W511" s="541" t="s">
        <v>3175</v>
      </c>
      <c r="X511" s="516" t="s">
        <v>876</v>
      </c>
      <c r="Y511" s="542">
        <v>26500</v>
      </c>
      <c r="Z511" s="543">
        <f t="shared" ca="1" si="3"/>
        <v>53</v>
      </c>
      <c r="AA511" s="534" t="s">
        <v>3176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 t="s">
        <v>1571</v>
      </c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3177</v>
      </c>
      <c r="E512" s="516">
        <f t="shared" si="4"/>
        <v>462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59" t="s">
        <v>3129</v>
      </c>
      <c r="Q512" s="539"/>
      <c r="R512" s="516"/>
      <c r="S512" s="516"/>
      <c r="T512" s="516"/>
      <c r="U512" s="516" t="s">
        <v>874</v>
      </c>
      <c r="V512" s="559" t="s">
        <v>3178</v>
      </c>
      <c r="W512" s="541" t="s">
        <v>3179</v>
      </c>
      <c r="X512" s="516" t="s">
        <v>876</v>
      </c>
      <c r="Y512" s="542">
        <v>33645</v>
      </c>
      <c r="Z512" s="543">
        <f t="shared" ca="1" si="3"/>
        <v>33</v>
      </c>
      <c r="AA512" s="534" t="s">
        <v>3180</v>
      </c>
      <c r="AB512" s="516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 t="s">
        <v>1571</v>
      </c>
      <c r="AI512" s="516" t="s">
        <v>860</v>
      </c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2914</v>
      </c>
      <c r="E513" s="516">
        <f t="shared" si="4"/>
        <v>462</v>
      </c>
      <c r="F513" s="534"/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3182</v>
      </c>
      <c r="M513" s="536"/>
      <c r="N513" s="537"/>
      <c r="O513" s="537"/>
      <c r="P513" s="548" t="s">
        <v>3183</v>
      </c>
      <c r="Q513" s="539"/>
      <c r="R513" s="516" t="s">
        <v>49</v>
      </c>
      <c r="S513" s="516" t="s">
        <v>168</v>
      </c>
      <c r="T513" s="516"/>
      <c r="U513" s="516"/>
      <c r="V513" s="548" t="s">
        <v>478</v>
      </c>
      <c r="W513" s="541" t="s">
        <v>2915</v>
      </c>
      <c r="X513" s="516" t="s">
        <v>876</v>
      </c>
      <c r="Y513" s="542">
        <v>23418</v>
      </c>
      <c r="Z513" s="543">
        <f t="shared" ca="1" si="3"/>
        <v>61</v>
      </c>
      <c r="AA513" s="534" t="s">
        <v>2916</v>
      </c>
      <c r="AB513" s="516"/>
      <c r="AC513" s="516" t="s">
        <v>842</v>
      </c>
      <c r="AD513" s="516" t="s">
        <v>794</v>
      </c>
      <c r="AE513" s="534" t="s">
        <v>236</v>
      </c>
      <c r="AF513" s="534" t="s">
        <v>236</v>
      </c>
      <c r="AG513" s="534" t="s">
        <v>865</v>
      </c>
      <c r="AH513" s="516" t="s">
        <v>872</v>
      </c>
      <c r="AI513" s="516"/>
      <c r="AJ513" s="516"/>
      <c r="AK513" s="516"/>
      <c r="AL513" s="544"/>
      <c r="AM513" s="544"/>
    </row>
    <row r="514" spans="3:39" ht="18" customHeight="1">
      <c r="C514" s="516">
        <v>494</v>
      </c>
      <c r="D514" s="516" t="s">
        <v>3182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3182</v>
      </c>
      <c r="M514" s="536"/>
      <c r="N514" s="537"/>
      <c r="O514" s="537"/>
      <c r="P514" s="538" t="s">
        <v>3183</v>
      </c>
      <c r="Q514" s="539" t="s">
        <v>308</v>
      </c>
      <c r="R514" s="516" t="s">
        <v>62</v>
      </c>
      <c r="S514" s="516" t="s">
        <v>548</v>
      </c>
      <c r="T514" s="516"/>
      <c r="U514" s="516" t="s">
        <v>874</v>
      </c>
      <c r="V514" s="538" t="s">
        <v>504</v>
      </c>
      <c r="W514" s="541" t="s">
        <v>3184</v>
      </c>
      <c r="X514" s="516" t="s">
        <v>876</v>
      </c>
      <c r="Y514" s="542">
        <v>22251</v>
      </c>
      <c r="Z514" s="543">
        <f t="shared" ca="1" si="3"/>
        <v>65</v>
      </c>
      <c r="AA514" s="534" t="s">
        <v>3185</v>
      </c>
      <c r="AB514" s="516"/>
      <c r="AC514" s="516" t="s">
        <v>842</v>
      </c>
      <c r="AD514" s="516" t="s">
        <v>843</v>
      </c>
      <c r="AE514" s="534" t="s">
        <v>942</v>
      </c>
      <c r="AF514" s="534" t="s">
        <v>942</v>
      </c>
      <c r="AG514" s="534" t="s">
        <v>2179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3187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3182</v>
      </c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512</v>
      </c>
      <c r="W515" s="541" t="s">
        <v>3188</v>
      </c>
      <c r="X515" s="516" t="s">
        <v>876</v>
      </c>
      <c r="Y515" s="542">
        <v>23509</v>
      </c>
      <c r="Z515" s="543">
        <f t="shared" ca="1" si="3"/>
        <v>61</v>
      </c>
      <c r="AA515" s="534" t="s">
        <v>3189</v>
      </c>
      <c r="AB515" s="516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1846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3191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520</v>
      </c>
      <c r="W516" s="541" t="s">
        <v>3192</v>
      </c>
      <c r="X516" s="516" t="s">
        <v>876</v>
      </c>
      <c r="Y516" s="542">
        <v>24081</v>
      </c>
      <c r="Z516" s="543">
        <f t="shared" ca="1" si="3"/>
        <v>60</v>
      </c>
      <c r="AA516" s="534" t="s">
        <v>3193</v>
      </c>
      <c r="AB516" s="516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74" t="s">
        <v>744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3195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528</v>
      </c>
      <c r="W517" s="541" t="s">
        <v>3196</v>
      </c>
      <c r="X517" s="516" t="s">
        <v>876</v>
      </c>
      <c r="Y517" s="542">
        <v>25716</v>
      </c>
      <c r="Z517" s="543">
        <f t="shared" ca="1" si="3"/>
        <v>55</v>
      </c>
      <c r="AA517" s="534" t="s">
        <v>3197</v>
      </c>
      <c r="AB517" s="516"/>
      <c r="AC517" s="516" t="s">
        <v>842</v>
      </c>
      <c r="AD517" s="516" t="s">
        <v>843</v>
      </c>
      <c r="AE517" s="534" t="s">
        <v>236</v>
      </c>
      <c r="AF517" s="534" t="s">
        <v>236</v>
      </c>
      <c r="AG517" s="534" t="s">
        <v>3199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3200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 t="s">
        <v>3182</v>
      </c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535</v>
      </c>
      <c r="W518" s="541" t="s">
        <v>3201</v>
      </c>
      <c r="X518" s="516" t="s">
        <v>876</v>
      </c>
      <c r="Y518" s="542">
        <v>26041</v>
      </c>
      <c r="Z518" s="543">
        <f t="shared" ca="1" si="3"/>
        <v>54</v>
      </c>
      <c r="AA518" s="534" t="s">
        <v>3202</v>
      </c>
      <c r="AB518" s="516"/>
      <c r="AC518" s="516" t="s">
        <v>842</v>
      </c>
      <c r="AD518" s="516" t="s">
        <v>843</v>
      </c>
      <c r="AE518" s="534" t="s">
        <v>809</v>
      </c>
      <c r="AF518" s="534" t="s">
        <v>809</v>
      </c>
      <c r="AG518" s="534" t="s">
        <v>2085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3204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 t="s">
        <v>3182</v>
      </c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541</v>
      </c>
      <c r="W519" s="541" t="s">
        <v>3205</v>
      </c>
      <c r="X519" s="516" t="s">
        <v>876</v>
      </c>
      <c r="Y519" s="542">
        <v>26626</v>
      </c>
      <c r="Z519" s="543">
        <f t="shared" ca="1" si="3"/>
        <v>53</v>
      </c>
      <c r="AA519" s="534" t="s">
        <v>3206</v>
      </c>
      <c r="AB519" s="516"/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3207</v>
      </c>
      <c r="AH519" s="516" t="s">
        <v>1571</v>
      </c>
      <c r="AI519" s="516" t="s">
        <v>4468</v>
      </c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3208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 t="s">
        <v>3182</v>
      </c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546</v>
      </c>
      <c r="W520" s="541" t="s">
        <v>3209</v>
      </c>
      <c r="X520" s="516" t="s">
        <v>876</v>
      </c>
      <c r="Y520" s="542">
        <v>27940</v>
      </c>
      <c r="Z520" s="543">
        <f t="shared" ca="1" si="3"/>
        <v>49</v>
      </c>
      <c r="AA520" s="534" t="s">
        <v>3210</v>
      </c>
      <c r="AB520" s="516"/>
      <c r="AC520" s="516" t="s">
        <v>842</v>
      </c>
      <c r="AD520" s="516" t="s">
        <v>843</v>
      </c>
      <c r="AE520" s="534" t="s">
        <v>236</v>
      </c>
      <c r="AF520" s="534" t="s">
        <v>236</v>
      </c>
      <c r="AG520" s="534" t="s">
        <v>3212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3213</v>
      </c>
      <c r="E521" s="516">
        <f t="shared" si="4"/>
        <v>470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 t="s">
        <v>3182</v>
      </c>
      <c r="M521" s="536"/>
      <c r="N521" s="537"/>
      <c r="O521" s="537"/>
      <c r="P521" s="559" t="s">
        <v>3183</v>
      </c>
      <c r="Q521" s="539" t="s">
        <v>308</v>
      </c>
      <c r="R521" s="516"/>
      <c r="S521" s="516"/>
      <c r="T521" s="516"/>
      <c r="U521" s="516" t="s">
        <v>874</v>
      </c>
      <c r="V521" s="559" t="s">
        <v>552</v>
      </c>
      <c r="W521" s="541" t="s">
        <v>3214</v>
      </c>
      <c r="X521" s="516" t="s">
        <v>876</v>
      </c>
      <c r="Y521" s="542">
        <v>31512</v>
      </c>
      <c r="Z521" s="543">
        <f t="shared" ca="1" si="3"/>
        <v>39</v>
      </c>
      <c r="AA521" s="534" t="s">
        <v>3215</v>
      </c>
      <c r="AB521" s="516"/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2918</v>
      </c>
      <c r="E522" s="516">
        <f t="shared" si="4"/>
        <v>470</v>
      </c>
      <c r="F522" s="534"/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48" t="s">
        <v>938</v>
      </c>
      <c r="Q522" s="539"/>
      <c r="R522" s="516" t="s">
        <v>163</v>
      </c>
      <c r="S522" s="516" t="s">
        <v>500</v>
      </c>
      <c r="T522" s="516" t="s">
        <v>49</v>
      </c>
      <c r="U522" s="516"/>
      <c r="V522" s="548" t="s">
        <v>498</v>
      </c>
      <c r="W522" s="541" t="s">
        <v>2919</v>
      </c>
      <c r="X522" s="516" t="s">
        <v>876</v>
      </c>
      <c r="Y522" s="542">
        <v>22147</v>
      </c>
      <c r="Z522" s="543">
        <f t="shared" ca="1" si="3"/>
        <v>65</v>
      </c>
      <c r="AA522" s="534" t="s">
        <v>2920</v>
      </c>
      <c r="AB522" s="516"/>
      <c r="AC522" s="516" t="s">
        <v>842</v>
      </c>
      <c r="AD522" s="516" t="s">
        <v>794</v>
      </c>
      <c r="AE522" s="534" t="s">
        <v>236</v>
      </c>
      <c r="AF522" s="534" t="s">
        <v>236</v>
      </c>
      <c r="AG522" s="534" t="s">
        <v>865</v>
      </c>
      <c r="AH522" s="516" t="s">
        <v>872</v>
      </c>
      <c r="AI522" s="516"/>
      <c r="AJ522" s="516"/>
      <c r="AK522" s="516"/>
      <c r="AL522" s="544"/>
      <c r="AM522" s="544"/>
    </row>
    <row r="523" spans="3:39" ht="18" customHeight="1">
      <c r="C523" s="516">
        <v>503</v>
      </c>
      <c r="D523" s="516" t="s">
        <v>3217</v>
      </c>
      <c r="E523" s="516">
        <f t="shared" si="4"/>
        <v>471</v>
      </c>
      <c r="F523" s="534" t="s">
        <v>1822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 t="s">
        <v>62</v>
      </c>
      <c r="S523" s="516" t="s">
        <v>548</v>
      </c>
      <c r="T523" s="516"/>
      <c r="U523" s="516" t="s">
        <v>874</v>
      </c>
      <c r="V523" s="538" t="s">
        <v>3220</v>
      </c>
      <c r="W523" s="541" t="s">
        <v>3221</v>
      </c>
      <c r="X523" s="516" t="s">
        <v>876</v>
      </c>
      <c r="Y523" s="542">
        <v>22474</v>
      </c>
      <c r="Z523" s="543">
        <f t="shared" ca="1" si="3"/>
        <v>64</v>
      </c>
      <c r="AA523" s="534" t="s">
        <v>3222</v>
      </c>
      <c r="AB523" s="516"/>
      <c r="AC523" s="516" t="s">
        <v>842</v>
      </c>
      <c r="AD523" s="516" t="s">
        <v>851</v>
      </c>
      <c r="AE523" s="534" t="s">
        <v>942</v>
      </c>
      <c r="AF523" s="534" t="s">
        <v>942</v>
      </c>
      <c r="AG523" s="534" t="s">
        <v>2179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3224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898</v>
      </c>
      <c r="V524" s="538" t="s">
        <v>3225</v>
      </c>
      <c r="W524" s="541" t="s">
        <v>3226</v>
      </c>
      <c r="X524" s="516" t="s">
        <v>876</v>
      </c>
      <c r="Y524" s="542">
        <v>18510</v>
      </c>
      <c r="Z524" s="543">
        <f t="shared" ca="1" si="3"/>
        <v>75</v>
      </c>
      <c r="AA524" s="534" t="s">
        <v>3227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3229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3230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3231</v>
      </c>
      <c r="W525" s="541" t="s">
        <v>3232</v>
      </c>
      <c r="X525" s="516" t="s">
        <v>876</v>
      </c>
      <c r="Y525" s="542">
        <v>20474</v>
      </c>
      <c r="Z525" s="543">
        <f t="shared" ca="1" si="3"/>
        <v>70</v>
      </c>
      <c r="AA525" s="534" t="s">
        <v>3233</v>
      </c>
      <c r="AB525" s="516"/>
      <c r="AC525" s="516" t="s">
        <v>842</v>
      </c>
      <c r="AD525" s="516" t="s">
        <v>851</v>
      </c>
      <c r="AE525" s="534" t="s">
        <v>236</v>
      </c>
      <c r="AF525" s="534" t="s">
        <v>236</v>
      </c>
      <c r="AG525" s="534" t="s">
        <v>743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3235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3236</v>
      </c>
      <c r="W526" s="541" t="s">
        <v>3237</v>
      </c>
      <c r="X526" s="516" t="s">
        <v>876</v>
      </c>
      <c r="Y526" s="542">
        <v>22535</v>
      </c>
      <c r="Z526" s="543">
        <f t="shared" ca="1" si="3"/>
        <v>64</v>
      </c>
      <c r="AA526" s="534" t="s">
        <v>3238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34" t="s">
        <v>3240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3241</v>
      </c>
      <c r="E527" s="516">
        <f t="shared" si="4"/>
        <v>475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874</v>
      </c>
      <c r="V527" s="538" t="s">
        <v>3242</v>
      </c>
      <c r="W527" s="541" t="s">
        <v>3243</v>
      </c>
      <c r="X527" s="516" t="s">
        <v>876</v>
      </c>
      <c r="Y527" s="542">
        <v>22940</v>
      </c>
      <c r="Z527" s="543">
        <f t="shared" ca="1" si="3"/>
        <v>63</v>
      </c>
      <c r="AA527" s="534" t="s">
        <v>3244</v>
      </c>
      <c r="AB527" s="516"/>
      <c r="AC527" s="516" t="s">
        <v>842</v>
      </c>
      <c r="AD527" s="516" t="s">
        <v>843</v>
      </c>
      <c r="AE527" s="534" t="s">
        <v>236</v>
      </c>
      <c r="AF527" s="534" t="s">
        <v>236</v>
      </c>
      <c r="AG527" s="574" t="s">
        <v>3246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3218</v>
      </c>
      <c r="E528" s="516">
        <f t="shared" si="4"/>
        <v>476</v>
      </c>
      <c r="F528" s="534" t="s">
        <v>1822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3247</v>
      </c>
      <c r="W528" s="541" t="s">
        <v>3248</v>
      </c>
      <c r="X528" s="516" t="s">
        <v>876</v>
      </c>
      <c r="Y528" s="542">
        <v>20435</v>
      </c>
      <c r="Z528" s="543">
        <f t="shared" ca="1" si="3"/>
        <v>70</v>
      </c>
      <c r="AA528" s="534" t="s">
        <v>3249</v>
      </c>
      <c r="AB528" s="516"/>
      <c r="AC528" s="516" t="s">
        <v>842</v>
      </c>
      <c r="AD528" s="516" t="s">
        <v>851</v>
      </c>
      <c r="AE528" s="534" t="s">
        <v>942</v>
      </c>
      <c r="AF528" s="534" t="s">
        <v>942</v>
      </c>
      <c r="AG528" s="534" t="s">
        <v>2179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3251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898</v>
      </c>
      <c r="V529" s="538" t="s">
        <v>3252</v>
      </c>
      <c r="W529" s="541" t="s">
        <v>3253</v>
      </c>
      <c r="X529" s="516" t="s">
        <v>876</v>
      </c>
      <c r="Y529" s="542">
        <v>18484</v>
      </c>
      <c r="Z529" s="543">
        <f t="shared" ca="1" si="3"/>
        <v>75</v>
      </c>
      <c r="AA529" s="534" t="s">
        <v>3254</v>
      </c>
      <c r="AB529" s="516"/>
      <c r="AC529" s="516" t="s">
        <v>802</v>
      </c>
      <c r="AD529" s="516" t="s">
        <v>794</v>
      </c>
      <c r="AE529" s="534" t="s">
        <v>815</v>
      </c>
      <c r="AF529" s="534" t="s">
        <v>1400</v>
      </c>
      <c r="AG529" s="534" t="s">
        <v>3256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3257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3258</v>
      </c>
      <c r="W530" s="541" t="s">
        <v>3259</v>
      </c>
      <c r="X530" s="516" t="s">
        <v>876</v>
      </c>
      <c r="Y530" s="542">
        <v>22162</v>
      </c>
      <c r="Z530" s="543">
        <f t="shared" ca="1" si="3"/>
        <v>65</v>
      </c>
      <c r="AA530" s="534" t="s">
        <v>3222</v>
      </c>
      <c r="AB530" s="516"/>
      <c r="AC530" s="516" t="s">
        <v>802</v>
      </c>
      <c r="AD530" s="516" t="s">
        <v>794</v>
      </c>
      <c r="AE530" s="534" t="s">
        <v>815</v>
      </c>
      <c r="AF530" s="606" t="s">
        <v>815</v>
      </c>
      <c r="AG530" s="534" t="s">
        <v>2496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3261</v>
      </c>
      <c r="E531" s="516">
        <f t="shared" si="4"/>
        <v>479</v>
      </c>
      <c r="F531" s="534" t="s">
        <v>811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3262</v>
      </c>
      <c r="W531" s="541" t="s">
        <v>3263</v>
      </c>
      <c r="X531" s="516" t="s">
        <v>876</v>
      </c>
      <c r="Y531" s="542">
        <v>23624</v>
      </c>
      <c r="Z531" s="543">
        <f t="shared" ref="Z531:Z711" ca="1" si="5">DATEDIF(Y531,TODAY(),"Y")</f>
        <v>61</v>
      </c>
      <c r="AA531" s="534" t="s">
        <v>3264</v>
      </c>
      <c r="AB531" s="516"/>
      <c r="AC531" s="516" t="s">
        <v>842</v>
      </c>
      <c r="AD531" s="516" t="s">
        <v>843</v>
      </c>
      <c r="AE531" s="534" t="s">
        <v>815</v>
      </c>
      <c r="AF531" s="606" t="s">
        <v>815</v>
      </c>
      <c r="AG531" s="534" t="s">
        <v>2383</v>
      </c>
      <c r="AH531" s="516"/>
      <c r="AI531" s="516"/>
      <c r="AJ531" s="516" t="s">
        <v>903</v>
      </c>
      <c r="AK531" s="516"/>
      <c r="AL531" s="544"/>
      <c r="AM531" s="544"/>
    </row>
    <row r="532" spans="3:39" ht="18" customHeight="1">
      <c r="C532" s="516">
        <v>512</v>
      </c>
      <c r="D532" s="516" t="s">
        <v>3266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38" t="s">
        <v>938</v>
      </c>
      <c r="Q532" s="539" t="s">
        <v>308</v>
      </c>
      <c r="R532" s="516"/>
      <c r="S532" s="516"/>
      <c r="T532" s="516"/>
      <c r="U532" s="516" t="s">
        <v>898</v>
      </c>
      <c r="V532" s="538" t="s">
        <v>3267</v>
      </c>
      <c r="W532" s="541" t="s">
        <v>3268</v>
      </c>
      <c r="X532" s="516" t="s">
        <v>876</v>
      </c>
      <c r="Y532" s="542">
        <v>16115</v>
      </c>
      <c r="Z532" s="543">
        <f t="shared" ca="1" si="5"/>
        <v>81</v>
      </c>
      <c r="AA532" s="534" t="s">
        <v>3269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3271</v>
      </c>
      <c r="E533" s="516">
        <f t="shared" si="4"/>
        <v>481</v>
      </c>
      <c r="F533" s="534" t="s">
        <v>1001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536"/>
      <c r="N533" s="537"/>
      <c r="O533" s="537"/>
      <c r="P533" s="559" t="s">
        <v>938</v>
      </c>
      <c r="Q533" s="539" t="s">
        <v>308</v>
      </c>
      <c r="R533" s="516"/>
      <c r="S533" s="516"/>
      <c r="T533" s="516"/>
      <c r="U533" s="516" t="s">
        <v>874</v>
      </c>
      <c r="V533" s="559" t="s">
        <v>564</v>
      </c>
      <c r="W533" s="541" t="s">
        <v>3272</v>
      </c>
      <c r="X533" s="516" t="s">
        <v>876</v>
      </c>
      <c r="Y533" s="542">
        <v>23037</v>
      </c>
      <c r="Z533" s="543">
        <f t="shared" ca="1" si="5"/>
        <v>63</v>
      </c>
      <c r="AA533" s="534" t="s">
        <v>3273</v>
      </c>
      <c r="AB533" s="516"/>
      <c r="AC533" s="516" t="s">
        <v>842</v>
      </c>
      <c r="AD533" s="516" t="s">
        <v>843</v>
      </c>
      <c r="AE533" s="534" t="s">
        <v>236</v>
      </c>
      <c r="AF533" s="534" t="s">
        <v>236</v>
      </c>
      <c r="AG533" s="534" t="s">
        <v>865</v>
      </c>
      <c r="AH533" s="516"/>
      <c r="AI533" s="516"/>
      <c r="AJ533" s="593" t="s">
        <v>1950</v>
      </c>
      <c r="AK533" s="516"/>
      <c r="AL533" s="544"/>
      <c r="AM533" s="544"/>
    </row>
    <row r="534" spans="3:39" ht="18" customHeight="1">
      <c r="C534" s="516">
        <v>514</v>
      </c>
      <c r="D534" s="516" t="s">
        <v>3291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48" t="s">
        <v>787</v>
      </c>
      <c r="Q534" s="539"/>
      <c r="R534" s="516" t="s">
        <v>163</v>
      </c>
      <c r="S534" s="516" t="s">
        <v>163</v>
      </c>
      <c r="T534" s="516" t="s">
        <v>49</v>
      </c>
      <c r="U534" s="516" t="s">
        <v>874</v>
      </c>
      <c r="V534" s="548" t="s">
        <v>459</v>
      </c>
      <c r="W534" s="541" t="s">
        <v>3294</v>
      </c>
      <c r="X534" s="516" t="s">
        <v>876</v>
      </c>
      <c r="Y534" s="542">
        <v>28590</v>
      </c>
      <c r="Z534" s="543">
        <f t="shared" ca="1" si="5"/>
        <v>47</v>
      </c>
      <c r="AA534" s="594" t="s">
        <v>3295</v>
      </c>
      <c r="AB534" s="516"/>
      <c r="AC534" s="516" t="s">
        <v>802</v>
      </c>
      <c r="AD534" s="516" t="s">
        <v>794</v>
      </c>
      <c r="AE534" s="534" t="s">
        <v>236</v>
      </c>
      <c r="AF534" s="534" t="s">
        <v>236</v>
      </c>
      <c r="AG534" s="534" t="s">
        <v>3297</v>
      </c>
      <c r="AH534" s="516"/>
      <c r="AI534" s="516"/>
      <c r="AJ534" s="516"/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3293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 t="s">
        <v>62</v>
      </c>
      <c r="S535" s="516" t="s">
        <v>548</v>
      </c>
      <c r="T535" s="516"/>
      <c r="U535" s="516" t="s">
        <v>788</v>
      </c>
      <c r="V535" s="538" t="s">
        <v>3298</v>
      </c>
      <c r="W535" s="541" t="s">
        <v>3299</v>
      </c>
      <c r="X535" s="516" t="s">
        <v>876</v>
      </c>
      <c r="Y535" s="542">
        <v>36654</v>
      </c>
      <c r="Z535" s="543">
        <f t="shared" ca="1" si="5"/>
        <v>25</v>
      </c>
      <c r="AA535" s="534" t="s">
        <v>3300</v>
      </c>
      <c r="AB535" s="516"/>
      <c r="AC535" s="516" t="s">
        <v>842</v>
      </c>
      <c r="AD535" s="516" t="s">
        <v>851</v>
      </c>
      <c r="AE535" s="534" t="s">
        <v>236</v>
      </c>
      <c r="AF535" s="534" t="s">
        <v>236</v>
      </c>
      <c r="AG535" s="534" t="s">
        <v>3302</v>
      </c>
      <c r="AH535" s="516"/>
      <c r="AI535" s="516" t="s">
        <v>4469</v>
      </c>
      <c r="AJ535" s="516" t="s">
        <v>903</v>
      </c>
      <c r="AK535" s="516" t="s">
        <v>1863</v>
      </c>
      <c r="AL535" s="544"/>
      <c r="AM535" s="544"/>
    </row>
    <row r="536" spans="3:39" ht="18" customHeight="1">
      <c r="C536" s="516">
        <v>516</v>
      </c>
      <c r="D536" s="516" t="s">
        <v>3305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874</v>
      </c>
      <c r="V536" s="538" t="s">
        <v>3306</v>
      </c>
      <c r="W536" s="541" t="s">
        <v>3307</v>
      </c>
      <c r="X536" s="516" t="s">
        <v>876</v>
      </c>
      <c r="Y536" s="542">
        <v>32251</v>
      </c>
      <c r="Z536" s="543">
        <f t="shared" ca="1" si="5"/>
        <v>37</v>
      </c>
      <c r="AA536" s="534" t="s">
        <v>3308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1797</v>
      </c>
      <c r="AG536" s="534" t="s">
        <v>3310</v>
      </c>
      <c r="AH536" s="516" t="s">
        <v>1571</v>
      </c>
      <c r="AI536" s="516" t="s">
        <v>4446</v>
      </c>
      <c r="AJ536" s="516" t="s">
        <v>903</v>
      </c>
      <c r="AK536" s="516"/>
      <c r="AL536" s="544"/>
      <c r="AM536" s="544"/>
    </row>
    <row r="537" spans="3:39" ht="18" customHeight="1">
      <c r="C537" s="516">
        <v>517</v>
      </c>
      <c r="D537" s="516" t="s">
        <v>3311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38" t="s">
        <v>787</v>
      </c>
      <c r="Q537" s="539"/>
      <c r="R537" s="516"/>
      <c r="S537" s="516"/>
      <c r="T537" s="516"/>
      <c r="U537" s="516" t="s">
        <v>788</v>
      </c>
      <c r="V537" s="538" t="s">
        <v>3312</v>
      </c>
      <c r="W537" s="541" t="s">
        <v>3313</v>
      </c>
      <c r="X537" s="516" t="s">
        <v>876</v>
      </c>
      <c r="Y537" s="542">
        <v>37018</v>
      </c>
      <c r="Z537" s="543">
        <f t="shared" ca="1" si="5"/>
        <v>24</v>
      </c>
      <c r="AA537" s="534" t="s">
        <v>3314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3315</v>
      </c>
      <c r="AH537" s="516" t="s">
        <v>1571</v>
      </c>
      <c r="AI537" s="516" t="s">
        <v>4459</v>
      </c>
      <c r="AJ537" s="516" t="s">
        <v>903</v>
      </c>
      <c r="AK537" s="516"/>
      <c r="AL537" s="544"/>
      <c r="AM537" s="544"/>
    </row>
    <row r="538" spans="3:39" ht="18" customHeight="1">
      <c r="C538" s="516">
        <v>518</v>
      </c>
      <c r="D538" s="516" t="s">
        <v>3317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535" t="s">
        <v>786</v>
      </c>
      <c r="M538" s="536"/>
      <c r="N538" s="537"/>
      <c r="O538" s="537"/>
      <c r="P538" s="559" t="s">
        <v>787</v>
      </c>
      <c r="Q538" s="539"/>
      <c r="R538" s="516"/>
      <c r="S538" s="516"/>
      <c r="T538" s="516"/>
      <c r="U538" s="516" t="s">
        <v>788</v>
      </c>
      <c r="V538" s="559" t="s">
        <v>3318</v>
      </c>
      <c r="W538" s="541" t="s">
        <v>3319</v>
      </c>
      <c r="X538" s="516" t="s">
        <v>876</v>
      </c>
      <c r="Y538" s="542">
        <v>34632</v>
      </c>
      <c r="Z538" s="543">
        <f t="shared" ca="1" si="5"/>
        <v>31</v>
      </c>
      <c r="AA538" s="534" t="s">
        <v>3320</v>
      </c>
      <c r="AB538" s="516"/>
      <c r="AC538" s="516" t="s">
        <v>842</v>
      </c>
      <c r="AD538" s="516" t="s">
        <v>843</v>
      </c>
      <c r="AE538" s="534" t="s">
        <v>236</v>
      </c>
      <c r="AF538" s="534" t="s">
        <v>236</v>
      </c>
      <c r="AG538" s="534" t="s">
        <v>3240</v>
      </c>
      <c r="AH538" s="516" t="s">
        <v>1571</v>
      </c>
      <c r="AI538" s="516" t="s">
        <v>4470</v>
      </c>
      <c r="AJ538" s="516" t="s">
        <v>903</v>
      </c>
      <c r="AK538" s="516"/>
      <c r="AL538" s="544"/>
      <c r="AM538" s="544"/>
    </row>
    <row r="539" spans="3:39" ht="18" customHeight="1">
      <c r="C539" s="516">
        <v>519</v>
      </c>
      <c r="D539" s="516" t="s">
        <v>3341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48" t="s">
        <v>828</v>
      </c>
      <c r="Q539" s="539"/>
      <c r="R539" s="516" t="s">
        <v>49</v>
      </c>
      <c r="S539" s="516" t="s">
        <v>49</v>
      </c>
      <c r="T539" s="516"/>
      <c r="U539" s="516" t="s">
        <v>874</v>
      </c>
      <c r="V539" s="548" t="s">
        <v>460</v>
      </c>
      <c r="W539" s="541" t="s">
        <v>3342</v>
      </c>
      <c r="X539" s="516" t="s">
        <v>876</v>
      </c>
      <c r="Y539" s="542">
        <v>23643</v>
      </c>
      <c r="Z539" s="543">
        <f t="shared" ca="1" si="5"/>
        <v>61</v>
      </c>
      <c r="AA539" s="534" t="s">
        <v>3343</v>
      </c>
      <c r="AB539" s="516"/>
      <c r="AC539" s="516" t="s">
        <v>802</v>
      </c>
      <c r="AD539" s="516" t="s">
        <v>794</v>
      </c>
      <c r="AE539" s="534" t="s">
        <v>236</v>
      </c>
      <c r="AF539" s="534" t="s">
        <v>236</v>
      </c>
      <c r="AG539" s="534" t="s">
        <v>3297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3328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 t="s">
        <v>62</v>
      </c>
      <c r="S540" s="516" t="s">
        <v>62</v>
      </c>
      <c r="T540" s="516"/>
      <c r="U540" s="516" t="s">
        <v>898</v>
      </c>
      <c r="V540" s="538" t="s">
        <v>3329</v>
      </c>
      <c r="W540" s="541" t="s">
        <v>3330</v>
      </c>
      <c r="X540" s="516" t="s">
        <v>876</v>
      </c>
      <c r="Y540" s="542">
        <v>18216</v>
      </c>
      <c r="Z540" s="543">
        <f t="shared" ca="1" si="5"/>
        <v>76</v>
      </c>
      <c r="AA540" s="534" t="s">
        <v>3331</v>
      </c>
      <c r="AB540" s="516"/>
      <c r="AC540" s="516" t="s">
        <v>802</v>
      </c>
      <c r="AD540" s="516" t="s">
        <v>794</v>
      </c>
      <c r="AE540" s="534" t="s">
        <v>809</v>
      </c>
      <c r="AF540" s="534" t="s">
        <v>236</v>
      </c>
      <c r="AG540" s="534" t="s">
        <v>865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3333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471</v>
      </c>
      <c r="W541" s="541" t="s">
        <v>3334</v>
      </c>
      <c r="X541" s="516" t="s">
        <v>876</v>
      </c>
      <c r="Y541" s="542">
        <v>18323</v>
      </c>
      <c r="Z541" s="543">
        <f t="shared" ca="1" si="5"/>
        <v>75</v>
      </c>
      <c r="AA541" s="534" t="s">
        <v>3335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3337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/>
      <c r="S542" s="516"/>
      <c r="T542" s="516"/>
      <c r="U542" s="516" t="s">
        <v>898</v>
      </c>
      <c r="V542" s="538" t="s">
        <v>477</v>
      </c>
      <c r="W542" s="541" t="s">
        <v>3338</v>
      </c>
      <c r="X542" s="516" t="s">
        <v>876</v>
      </c>
      <c r="Y542" s="542">
        <v>18840</v>
      </c>
      <c r="Z542" s="543">
        <f t="shared" ca="1" si="5"/>
        <v>74</v>
      </c>
      <c r="AA542" s="534" t="s">
        <v>3339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3297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3345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38" t="s">
        <v>828</v>
      </c>
      <c r="Q543" s="539"/>
      <c r="R543" s="516" t="s">
        <v>49</v>
      </c>
      <c r="S543" s="516" t="s">
        <v>168</v>
      </c>
      <c r="T543" s="516"/>
      <c r="U543" s="516" t="s">
        <v>874</v>
      </c>
      <c r="V543" s="538" t="s">
        <v>481</v>
      </c>
      <c r="W543" s="541" t="s">
        <v>3346</v>
      </c>
      <c r="X543" s="516" t="s">
        <v>876</v>
      </c>
      <c r="Y543" s="542">
        <v>25024</v>
      </c>
      <c r="Z543" s="543">
        <f t="shared" ca="1" si="5"/>
        <v>57</v>
      </c>
      <c r="AA543" s="534" t="s">
        <v>3347</v>
      </c>
      <c r="AB543" s="516"/>
      <c r="AC543" s="516" t="s">
        <v>802</v>
      </c>
      <c r="AD543" s="516" t="s">
        <v>794</v>
      </c>
      <c r="AE543" s="534" t="s">
        <v>236</v>
      </c>
      <c r="AF543" s="534" t="s">
        <v>236</v>
      </c>
      <c r="AG543" s="534" t="s">
        <v>865</v>
      </c>
      <c r="AH543" s="516"/>
      <c r="AI543" s="516"/>
      <c r="AJ543" s="516"/>
      <c r="AK543" s="516" t="s">
        <v>1863</v>
      </c>
      <c r="AL543" s="544"/>
      <c r="AM543" s="544"/>
    </row>
    <row r="544" spans="3:39" ht="18" customHeight="1">
      <c r="C544" s="516">
        <v>524</v>
      </c>
      <c r="D544" s="516" t="s">
        <v>3349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3328</v>
      </c>
      <c r="M544" s="536"/>
      <c r="N544" s="537"/>
      <c r="O544" s="537"/>
      <c r="P544" s="559" t="s">
        <v>828</v>
      </c>
      <c r="Q544" s="539"/>
      <c r="R544" s="516"/>
      <c r="S544" s="516"/>
      <c r="T544" s="516"/>
      <c r="U544" s="516" t="s">
        <v>874</v>
      </c>
      <c r="V544" s="559" t="s">
        <v>3350</v>
      </c>
      <c r="W544" s="541" t="s">
        <v>3351</v>
      </c>
      <c r="X544" s="516" t="s">
        <v>876</v>
      </c>
      <c r="Y544" s="542">
        <v>29360</v>
      </c>
      <c r="Z544" s="543">
        <f t="shared" ca="1" si="5"/>
        <v>45</v>
      </c>
      <c r="AA544" s="534" t="s">
        <v>3352</v>
      </c>
      <c r="AB544" s="516"/>
      <c r="AC544" s="516" t="s">
        <v>842</v>
      </c>
      <c r="AD544" s="516" t="s">
        <v>843</v>
      </c>
      <c r="AE544" s="534" t="s">
        <v>236</v>
      </c>
      <c r="AF544" s="534" t="s">
        <v>236</v>
      </c>
      <c r="AG544" s="534" t="s">
        <v>865</v>
      </c>
      <c r="AH544" s="516" t="s">
        <v>1571</v>
      </c>
      <c r="AI544" s="516" t="s">
        <v>860</v>
      </c>
      <c r="AJ544" s="516"/>
      <c r="AK544" s="572" t="s">
        <v>1284</v>
      </c>
      <c r="AL544" s="544"/>
      <c r="AM544" s="544"/>
    </row>
    <row r="545" spans="3:39" ht="18" customHeight="1">
      <c r="C545" s="516">
        <v>525</v>
      </c>
      <c r="D545" s="516" t="s">
        <v>3354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48" t="s">
        <v>938</v>
      </c>
      <c r="Q545" s="539"/>
      <c r="R545" s="516" t="s">
        <v>49</v>
      </c>
      <c r="S545" s="516" t="s">
        <v>168</v>
      </c>
      <c r="T545" s="516"/>
      <c r="U545" s="516" t="s">
        <v>788</v>
      </c>
      <c r="V545" s="548" t="s">
        <v>3355</v>
      </c>
      <c r="W545" s="541" t="s">
        <v>3356</v>
      </c>
      <c r="X545" s="516" t="s">
        <v>790</v>
      </c>
      <c r="Y545" s="542">
        <v>37183</v>
      </c>
      <c r="Z545" s="543">
        <f t="shared" ca="1" si="5"/>
        <v>24</v>
      </c>
      <c r="AA545" s="534" t="s">
        <v>3357</v>
      </c>
      <c r="AB545" s="516"/>
      <c r="AC545" s="516" t="s">
        <v>793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3359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3360</v>
      </c>
      <c r="W546" s="541" t="s">
        <v>3361</v>
      </c>
      <c r="X546" s="516" t="s">
        <v>790</v>
      </c>
      <c r="Y546" s="542">
        <v>38152</v>
      </c>
      <c r="Z546" s="543">
        <f t="shared" ca="1" si="5"/>
        <v>21</v>
      </c>
      <c r="AA546" s="534" t="s">
        <v>3362</v>
      </c>
      <c r="AB546" s="516"/>
      <c r="AC546" s="516" t="s">
        <v>793</v>
      </c>
      <c r="AD546" s="516" t="s">
        <v>794</v>
      </c>
      <c r="AE546" s="534" t="s">
        <v>713</v>
      </c>
      <c r="AF546" s="534" t="s">
        <v>236</v>
      </c>
      <c r="AG546" s="534" t="s">
        <v>3240</v>
      </c>
      <c r="AH546" s="516"/>
      <c r="AI546" s="516"/>
      <c r="AJ546" s="516" t="s">
        <v>832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3364</v>
      </c>
      <c r="E547" s="516">
        <f t="shared" si="4"/>
        <v>495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3365</v>
      </c>
      <c r="W547" s="541" t="s">
        <v>3366</v>
      </c>
      <c r="X547" s="516" t="s">
        <v>790</v>
      </c>
      <c r="Y547" s="542">
        <v>36511</v>
      </c>
      <c r="Z547" s="543">
        <f t="shared" ca="1" si="5"/>
        <v>26</v>
      </c>
      <c r="AA547" s="594" t="s">
        <v>3367</v>
      </c>
      <c r="AB547" s="516"/>
      <c r="AC547" s="516" t="s">
        <v>793</v>
      </c>
      <c r="AD547" s="516" t="s">
        <v>794</v>
      </c>
      <c r="AE547" s="534" t="s">
        <v>236</v>
      </c>
      <c r="AF547" s="534" t="s">
        <v>236</v>
      </c>
      <c r="AG547" s="534" t="s">
        <v>3369</v>
      </c>
      <c r="AH547" s="516"/>
      <c r="AI547" s="516"/>
      <c r="AJ547" s="516" t="s">
        <v>1535</v>
      </c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3370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788</v>
      </c>
      <c r="V548" s="538" t="s">
        <v>3371</v>
      </c>
      <c r="W548" s="541" t="s">
        <v>3372</v>
      </c>
      <c r="X548" s="516" t="s">
        <v>790</v>
      </c>
      <c r="Y548" s="542">
        <v>38845</v>
      </c>
      <c r="Z548" s="543">
        <f t="shared" ca="1" si="5"/>
        <v>19</v>
      </c>
      <c r="AA548" s="534" t="s">
        <v>3373</v>
      </c>
      <c r="AB548" s="516"/>
      <c r="AC548" s="516" t="s">
        <v>842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 t="s">
        <v>903</v>
      </c>
      <c r="AK548" s="516"/>
      <c r="AL548" s="544"/>
      <c r="AM548" s="544"/>
    </row>
    <row r="549" spans="3:39" ht="18" customHeight="1">
      <c r="C549" s="516">
        <v>529</v>
      </c>
      <c r="D549" s="516" t="s">
        <v>3375</v>
      </c>
      <c r="E549" s="516">
        <f t="shared" si="4"/>
        <v>497</v>
      </c>
      <c r="F549" s="534" t="s">
        <v>1310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38" t="s">
        <v>938</v>
      </c>
      <c r="Q549" s="539"/>
      <c r="R549" s="516"/>
      <c r="S549" s="516"/>
      <c r="T549" s="516"/>
      <c r="U549" s="516" t="s">
        <v>1886</v>
      </c>
      <c r="V549" s="538" t="s">
        <v>487</v>
      </c>
      <c r="W549" s="541" t="s">
        <v>3376</v>
      </c>
      <c r="X549" s="516" t="s">
        <v>876</v>
      </c>
      <c r="Y549" s="542">
        <v>39773</v>
      </c>
      <c r="Z549" s="543">
        <f t="shared" ca="1" si="5"/>
        <v>17</v>
      </c>
      <c r="AA549" s="534" t="s">
        <v>3375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74" t="s">
        <v>3378</v>
      </c>
      <c r="AH549" s="516"/>
      <c r="AI549" s="516"/>
      <c r="AJ549" s="516" t="s">
        <v>1852</v>
      </c>
      <c r="AK549" s="516"/>
      <c r="AL549" s="544"/>
      <c r="AM549" s="544"/>
    </row>
    <row r="550" spans="3:39" ht="18" customHeight="1">
      <c r="C550" s="516">
        <v>530</v>
      </c>
      <c r="D550" s="516" t="s">
        <v>3379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59" t="s">
        <v>938</v>
      </c>
      <c r="Q550" s="539"/>
      <c r="R550" s="516"/>
      <c r="S550" s="516"/>
      <c r="T550" s="516"/>
      <c r="U550" s="516" t="s">
        <v>788</v>
      </c>
      <c r="V550" s="559" t="s">
        <v>3380</v>
      </c>
      <c r="W550" s="541" t="s">
        <v>3381</v>
      </c>
      <c r="X550" s="516" t="s">
        <v>876</v>
      </c>
      <c r="Y550" s="542">
        <v>37974</v>
      </c>
      <c r="Z550" s="543">
        <f t="shared" ca="1" si="5"/>
        <v>22</v>
      </c>
      <c r="AA550" s="534" t="s">
        <v>3382</v>
      </c>
      <c r="AB550" s="516"/>
      <c r="AC550" s="516" t="s">
        <v>842</v>
      </c>
      <c r="AD550" s="516" t="s">
        <v>843</v>
      </c>
      <c r="AE550" s="534" t="s">
        <v>236</v>
      </c>
      <c r="AF550" s="534" t="s">
        <v>236</v>
      </c>
      <c r="AG550" s="534" t="s">
        <v>865</v>
      </c>
      <c r="AH550" s="516" t="s">
        <v>1571</v>
      </c>
      <c r="AI550" s="516" t="s">
        <v>860</v>
      </c>
      <c r="AJ550" s="516" t="s">
        <v>1535</v>
      </c>
      <c r="AK550" s="516"/>
      <c r="AL550" s="544"/>
      <c r="AM550" s="544"/>
    </row>
    <row r="551" spans="3:39" ht="18" customHeight="1">
      <c r="C551" s="516">
        <v>531</v>
      </c>
      <c r="D551" s="516" t="s">
        <v>3384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48" t="s">
        <v>978</v>
      </c>
      <c r="Q551" s="539"/>
      <c r="R551" s="516" t="s">
        <v>49</v>
      </c>
      <c r="S551" s="516" t="s">
        <v>168</v>
      </c>
      <c r="T551" s="516"/>
      <c r="U551" s="516" t="s">
        <v>874</v>
      </c>
      <c r="V551" s="548" t="s">
        <v>462</v>
      </c>
      <c r="W551" s="541" t="s">
        <v>3386</v>
      </c>
      <c r="X551" s="516" t="s">
        <v>876</v>
      </c>
      <c r="Y551" s="542">
        <v>27135</v>
      </c>
      <c r="Z551" s="543">
        <f t="shared" ca="1" si="5"/>
        <v>51</v>
      </c>
      <c r="AA551" s="594" t="s">
        <v>3387</v>
      </c>
      <c r="AB551" s="516"/>
      <c r="AC551" s="516" t="s">
        <v>802</v>
      </c>
      <c r="AD551" s="516" t="s">
        <v>794</v>
      </c>
      <c r="AE551" s="534" t="s">
        <v>236</v>
      </c>
      <c r="AF551" s="534" t="s">
        <v>236</v>
      </c>
      <c r="AG551" s="574" t="s">
        <v>744</v>
      </c>
      <c r="AH551" s="516"/>
      <c r="AI551" s="516"/>
      <c r="AJ551" s="516"/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3385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 t="s">
        <v>62</v>
      </c>
      <c r="S552" s="516" t="s">
        <v>62</v>
      </c>
      <c r="T552" s="516"/>
      <c r="U552" s="516" t="s">
        <v>874</v>
      </c>
      <c r="V552" s="538" t="s">
        <v>3389</v>
      </c>
      <c r="W552" s="541" t="s">
        <v>3390</v>
      </c>
      <c r="X552" s="516" t="s">
        <v>876</v>
      </c>
      <c r="Y552" s="542">
        <v>27601</v>
      </c>
      <c r="Z552" s="543">
        <f t="shared" ca="1" si="5"/>
        <v>50</v>
      </c>
      <c r="AA552" s="534" t="s">
        <v>3391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3315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3393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3394</v>
      </c>
      <c r="W553" s="541" t="s">
        <v>3395</v>
      </c>
      <c r="X553" s="516" t="s">
        <v>876</v>
      </c>
      <c r="Y553" s="542">
        <v>26677</v>
      </c>
      <c r="Z553" s="543">
        <f t="shared" ca="1" si="5"/>
        <v>53</v>
      </c>
      <c r="AA553" s="534" t="s">
        <v>3396</v>
      </c>
      <c r="AB553" s="516"/>
      <c r="AC553" s="516" t="s">
        <v>842</v>
      </c>
      <c r="AD553" s="516" t="s">
        <v>851</v>
      </c>
      <c r="AE553" s="534" t="s">
        <v>236</v>
      </c>
      <c r="AF553" s="534" t="s">
        <v>236</v>
      </c>
      <c r="AG553" s="534" t="s">
        <v>3398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3399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3400</v>
      </c>
      <c r="W554" s="541" t="s">
        <v>3401</v>
      </c>
      <c r="X554" s="516" t="s">
        <v>876</v>
      </c>
      <c r="Y554" s="542">
        <v>28550</v>
      </c>
      <c r="Z554" s="543">
        <f t="shared" ca="1" si="5"/>
        <v>47</v>
      </c>
      <c r="AA554" s="534" t="s">
        <v>3402</v>
      </c>
      <c r="AB554" s="516"/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34" t="s">
        <v>865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3404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3405</v>
      </c>
      <c r="W555" s="541" t="s">
        <v>3406</v>
      </c>
      <c r="X555" s="516" t="s">
        <v>876</v>
      </c>
      <c r="Y555" s="542">
        <v>29149</v>
      </c>
      <c r="Z555" s="543">
        <f t="shared" ca="1" si="5"/>
        <v>46</v>
      </c>
      <c r="AA555" s="534" t="s">
        <v>3407</v>
      </c>
      <c r="AB555" s="516"/>
      <c r="AC555" s="516" t="s">
        <v>842</v>
      </c>
      <c r="AD555" s="516" t="s">
        <v>851</v>
      </c>
      <c r="AE555" s="534" t="s">
        <v>236</v>
      </c>
      <c r="AF555" s="534" t="s">
        <v>236</v>
      </c>
      <c r="AG555" s="534" t="s">
        <v>3409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3410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3411</v>
      </c>
      <c r="W556" s="541" t="s">
        <v>3412</v>
      </c>
      <c r="X556" s="516" t="s">
        <v>876</v>
      </c>
      <c r="Y556" s="542">
        <v>29930</v>
      </c>
      <c r="Z556" s="543">
        <f t="shared" ca="1" si="5"/>
        <v>44</v>
      </c>
      <c r="AA556" s="534" t="s">
        <v>3413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74" t="s">
        <v>3415</v>
      </c>
      <c r="AH556" s="516"/>
      <c r="AI556" s="516"/>
      <c r="AJ556" s="516" t="s">
        <v>903</v>
      </c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3416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/>
      <c r="S557" s="516"/>
      <c r="T557" s="516"/>
      <c r="U557" s="516" t="s">
        <v>874</v>
      </c>
      <c r="V557" s="538" t="s">
        <v>3417</v>
      </c>
      <c r="W557" s="541" t="s">
        <v>3418</v>
      </c>
      <c r="X557" s="516" t="s">
        <v>876</v>
      </c>
      <c r="Y557" s="542">
        <v>26318</v>
      </c>
      <c r="Z557" s="543">
        <f t="shared" ca="1" si="5"/>
        <v>54</v>
      </c>
      <c r="AA557" s="534" t="s">
        <v>3419</v>
      </c>
      <c r="AB557" s="516"/>
      <c r="AC557" s="516" t="s">
        <v>842</v>
      </c>
      <c r="AD557" s="516" t="s">
        <v>843</v>
      </c>
      <c r="AE557" s="534" t="s">
        <v>236</v>
      </c>
      <c r="AF557" s="534" t="s">
        <v>236</v>
      </c>
      <c r="AG557" s="534" t="s">
        <v>744</v>
      </c>
      <c r="AH557" s="516" t="s">
        <v>1571</v>
      </c>
      <c r="AI557" s="516" t="s">
        <v>4459</v>
      </c>
      <c r="AJ557" s="516" t="s">
        <v>903</v>
      </c>
      <c r="AK557" s="516"/>
      <c r="AL557" s="544"/>
      <c r="AM557" s="544"/>
    </row>
    <row r="558" spans="3:39" ht="18" customHeight="1">
      <c r="C558" s="516">
        <v>538</v>
      </c>
      <c r="D558" s="516" t="s">
        <v>3420</v>
      </c>
      <c r="E558" s="516">
        <f t="shared" si="4"/>
        <v>506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59" t="s">
        <v>978</v>
      </c>
      <c r="Q558" s="539"/>
      <c r="R558" s="516"/>
      <c r="S558" s="516"/>
      <c r="T558" s="516"/>
      <c r="U558" s="516" t="s">
        <v>874</v>
      </c>
      <c r="V558" s="559" t="s">
        <v>3421</v>
      </c>
      <c r="W558" s="541" t="s">
        <v>3422</v>
      </c>
      <c r="X558" s="516" t="s">
        <v>876</v>
      </c>
      <c r="Y558" s="542">
        <v>28655</v>
      </c>
      <c r="Z558" s="543">
        <f t="shared" ca="1" si="5"/>
        <v>47</v>
      </c>
      <c r="AA558" s="534" t="s">
        <v>3423</v>
      </c>
      <c r="AB558" s="516"/>
      <c r="AC558" s="516" t="s">
        <v>842</v>
      </c>
      <c r="AD558" s="516" t="s">
        <v>843</v>
      </c>
      <c r="AE558" s="534" t="s">
        <v>3424</v>
      </c>
      <c r="AF558" s="534" t="s">
        <v>713</v>
      </c>
      <c r="AG558" s="534" t="s">
        <v>3425</v>
      </c>
      <c r="AH558" s="516" t="s">
        <v>1571</v>
      </c>
      <c r="AI558" s="516" t="s">
        <v>4446</v>
      </c>
      <c r="AJ558" s="516" t="s">
        <v>903</v>
      </c>
      <c r="AK558" s="516" t="s">
        <v>1083</v>
      </c>
      <c r="AL558" s="544"/>
      <c r="AM558" s="544"/>
    </row>
    <row r="559" spans="3:39" ht="18" customHeight="1">
      <c r="C559" s="516">
        <v>539</v>
      </c>
      <c r="D559" s="516" t="s">
        <v>3426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48" t="s">
        <v>1011</v>
      </c>
      <c r="Q559" s="539"/>
      <c r="R559" s="516" t="s">
        <v>49</v>
      </c>
      <c r="S559" s="516" t="s">
        <v>168</v>
      </c>
      <c r="T559" s="516"/>
      <c r="U559" s="516" t="s">
        <v>874</v>
      </c>
      <c r="V559" s="548" t="s">
        <v>3428</v>
      </c>
      <c r="W559" s="541" t="s">
        <v>3429</v>
      </c>
      <c r="X559" s="516" t="s">
        <v>876</v>
      </c>
      <c r="Y559" s="542">
        <v>25388</v>
      </c>
      <c r="Z559" s="543">
        <f t="shared" ca="1" si="5"/>
        <v>56</v>
      </c>
      <c r="AA559" s="534" t="s">
        <v>3430</v>
      </c>
      <c r="AB559" s="516"/>
      <c r="AC559" s="516" t="s">
        <v>842</v>
      </c>
      <c r="AD559" s="516" t="s">
        <v>851</v>
      </c>
      <c r="AE559" s="534" t="s">
        <v>809</v>
      </c>
      <c r="AF559" s="534" t="s">
        <v>809</v>
      </c>
      <c r="AG559" s="534" t="s">
        <v>2085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3427</v>
      </c>
      <c r="E560" s="516">
        <f t="shared" si="4"/>
        <v>508</v>
      </c>
      <c r="F560" s="534" t="s">
        <v>1822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 t="s">
        <v>62</v>
      </c>
      <c r="S560" s="516" t="s">
        <v>62</v>
      </c>
      <c r="T560" s="516"/>
      <c r="U560" s="516" t="s">
        <v>874</v>
      </c>
      <c r="V560" s="538" t="s">
        <v>3432</v>
      </c>
      <c r="W560" s="541" t="s">
        <v>3433</v>
      </c>
      <c r="X560" s="516" t="s">
        <v>876</v>
      </c>
      <c r="Y560" s="542">
        <v>27470</v>
      </c>
      <c r="Z560" s="543">
        <f t="shared" ca="1" si="5"/>
        <v>50</v>
      </c>
      <c r="AA560" s="534" t="s">
        <v>3434</v>
      </c>
      <c r="AB560" s="516"/>
      <c r="AC560" s="516" t="s">
        <v>842</v>
      </c>
      <c r="AD560" s="516" t="s">
        <v>851</v>
      </c>
      <c r="AE560" s="534" t="s">
        <v>942</v>
      </c>
      <c r="AF560" s="534" t="s">
        <v>942</v>
      </c>
      <c r="AG560" s="534" t="s">
        <v>2179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3436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3437</v>
      </c>
      <c r="W561" s="541" t="s">
        <v>3438</v>
      </c>
      <c r="X561" s="516" t="s">
        <v>876</v>
      </c>
      <c r="Y561" s="542">
        <v>24892</v>
      </c>
      <c r="Z561" s="543">
        <f t="shared" ca="1" si="5"/>
        <v>57</v>
      </c>
      <c r="AA561" s="534" t="s">
        <v>3439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2525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3441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38" t="s">
        <v>1011</v>
      </c>
      <c r="Q562" s="539"/>
      <c r="R562" s="516"/>
      <c r="S562" s="516"/>
      <c r="T562" s="516"/>
      <c r="U562" s="516" t="s">
        <v>874</v>
      </c>
      <c r="V562" s="538" t="s">
        <v>3442</v>
      </c>
      <c r="W562" s="541" t="s">
        <v>3443</v>
      </c>
      <c r="X562" s="516" t="s">
        <v>876</v>
      </c>
      <c r="Y562" s="542">
        <v>26163</v>
      </c>
      <c r="Z562" s="543">
        <f t="shared" ca="1" si="5"/>
        <v>54</v>
      </c>
      <c r="AA562" s="534" t="s">
        <v>3444</v>
      </c>
      <c r="AB562" s="516"/>
      <c r="AC562" s="516" t="s">
        <v>842</v>
      </c>
      <c r="AD562" s="516" t="s">
        <v>843</v>
      </c>
      <c r="AE562" s="534" t="s">
        <v>815</v>
      </c>
      <c r="AF562" s="606" t="s">
        <v>815</v>
      </c>
      <c r="AG562" s="534" t="s">
        <v>2496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3445</v>
      </c>
      <c r="E563" s="516">
        <f t="shared" si="4"/>
        <v>511</v>
      </c>
      <c r="F563" s="534" t="s">
        <v>811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3426</v>
      </c>
      <c r="L563" s="535" t="s">
        <v>3427</v>
      </c>
      <c r="M563" s="536"/>
      <c r="N563" s="537"/>
      <c r="O563" s="537"/>
      <c r="P563" s="559" t="s">
        <v>1011</v>
      </c>
      <c r="Q563" s="539"/>
      <c r="R563" s="516"/>
      <c r="S563" s="516"/>
      <c r="T563" s="516"/>
      <c r="U563" s="516" t="s">
        <v>874</v>
      </c>
      <c r="V563" s="559" t="s">
        <v>3446</v>
      </c>
      <c r="W563" s="541" t="s">
        <v>3447</v>
      </c>
      <c r="X563" s="516" t="s">
        <v>876</v>
      </c>
      <c r="Y563" s="542">
        <v>29041</v>
      </c>
      <c r="Z563" s="543">
        <f t="shared" ca="1" si="5"/>
        <v>46</v>
      </c>
      <c r="AA563" s="534" t="s">
        <v>3448</v>
      </c>
      <c r="AB563" s="516"/>
      <c r="AC563" s="516" t="s">
        <v>842</v>
      </c>
      <c r="AD563" s="516" t="s">
        <v>851</v>
      </c>
      <c r="AE563" s="534" t="s">
        <v>815</v>
      </c>
      <c r="AF563" s="534" t="s">
        <v>2624</v>
      </c>
      <c r="AG563" s="534" t="s">
        <v>2625</v>
      </c>
      <c r="AH563" s="516"/>
      <c r="AI563" s="516"/>
      <c r="AJ563" s="516" t="s">
        <v>903</v>
      </c>
      <c r="AK563" s="516"/>
      <c r="AL563" s="544"/>
      <c r="AM563" s="544"/>
    </row>
    <row r="564" spans="3:39" ht="18" customHeight="1">
      <c r="C564" s="516">
        <v>544</v>
      </c>
      <c r="D564" s="516" t="s">
        <v>3450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48" t="s">
        <v>787</v>
      </c>
      <c r="Q564" s="539"/>
      <c r="R564" s="516" t="s">
        <v>163</v>
      </c>
      <c r="S564" s="516" t="s">
        <v>500</v>
      </c>
      <c r="T564" s="516" t="s">
        <v>49</v>
      </c>
      <c r="U564" s="516" t="s">
        <v>874</v>
      </c>
      <c r="V564" s="548" t="s">
        <v>3324</v>
      </c>
      <c r="W564" s="541" t="s">
        <v>3452</v>
      </c>
      <c r="X564" s="516" t="s">
        <v>876</v>
      </c>
      <c r="Y564" s="542">
        <v>27947</v>
      </c>
      <c r="Z564" s="543">
        <f t="shared" ca="1" si="5"/>
        <v>49</v>
      </c>
      <c r="AA564" s="534" t="s">
        <v>2926</v>
      </c>
      <c r="AB564" s="516"/>
      <c r="AC564" s="516" t="s">
        <v>802</v>
      </c>
      <c r="AD564" s="516" t="s">
        <v>794</v>
      </c>
      <c r="AE564" s="534" t="s">
        <v>236</v>
      </c>
      <c r="AF564" s="534" t="s">
        <v>236</v>
      </c>
      <c r="AG564" s="534" t="s">
        <v>3297</v>
      </c>
      <c r="AH564" s="516"/>
      <c r="AI564" s="516"/>
      <c r="AJ564" s="516"/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3323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/>
      <c r="U565" s="516" t="s">
        <v>874</v>
      </c>
      <c r="V565" s="538" t="s">
        <v>505</v>
      </c>
      <c r="W565" s="541" t="s">
        <v>3325</v>
      </c>
      <c r="X565" s="516" t="s">
        <v>876</v>
      </c>
      <c r="Y565" s="542">
        <v>28886</v>
      </c>
      <c r="Z565" s="543">
        <f t="shared" ca="1" si="5"/>
        <v>46</v>
      </c>
      <c r="AA565" s="534" t="s">
        <v>3326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74" t="s">
        <v>3246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3454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 t="s">
        <v>62</v>
      </c>
      <c r="S566" s="516" t="s">
        <v>548</v>
      </c>
      <c r="T566" s="516"/>
      <c r="U566" s="516" t="s">
        <v>874</v>
      </c>
      <c r="V566" s="538" t="s">
        <v>513</v>
      </c>
      <c r="W566" s="541" t="s">
        <v>3455</v>
      </c>
      <c r="X566" s="516" t="s">
        <v>876</v>
      </c>
      <c r="Y566" s="542">
        <v>31368</v>
      </c>
      <c r="Z566" s="543">
        <f t="shared" ca="1" si="5"/>
        <v>40</v>
      </c>
      <c r="AA566" s="534" t="s">
        <v>3456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34" t="s">
        <v>3409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3458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3459</v>
      </c>
      <c r="W567" s="541" t="s">
        <v>3460</v>
      </c>
      <c r="X567" s="516" t="s">
        <v>876</v>
      </c>
      <c r="Y567" s="542">
        <v>32528</v>
      </c>
      <c r="Z567" s="543">
        <f t="shared" ca="1" si="5"/>
        <v>37</v>
      </c>
      <c r="AA567" s="534" t="s">
        <v>3461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74" t="s">
        <v>3463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3464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38" t="s">
        <v>787</v>
      </c>
      <c r="Q568" s="539"/>
      <c r="R568" s="516"/>
      <c r="S568" s="516"/>
      <c r="T568" s="516"/>
      <c r="U568" s="516" t="s">
        <v>874</v>
      </c>
      <c r="V568" s="538" t="s">
        <v>529</v>
      </c>
      <c r="W568" s="541" t="s">
        <v>3465</v>
      </c>
      <c r="X568" s="516" t="s">
        <v>876</v>
      </c>
      <c r="Y568" s="542">
        <v>33412</v>
      </c>
      <c r="Z568" s="543">
        <f t="shared" ca="1" si="5"/>
        <v>34</v>
      </c>
      <c r="AA568" s="534" t="s">
        <v>3466</v>
      </c>
      <c r="AB568" s="516"/>
      <c r="AC568" s="516" t="s">
        <v>842</v>
      </c>
      <c r="AD568" s="516" t="s">
        <v>843</v>
      </c>
      <c r="AE568" s="534" t="s">
        <v>236</v>
      </c>
      <c r="AF568" s="534" t="s">
        <v>236</v>
      </c>
      <c r="AG568" s="534" t="s">
        <v>3409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3468</v>
      </c>
      <c r="E569" s="516">
        <f t="shared" si="4"/>
        <v>517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 t="s">
        <v>3454</v>
      </c>
      <c r="N569" s="537"/>
      <c r="O569" s="537"/>
      <c r="P569" s="559" t="s">
        <v>787</v>
      </c>
      <c r="Q569" s="539"/>
      <c r="R569" s="516"/>
      <c r="S569" s="516"/>
      <c r="T569" s="516"/>
      <c r="U569" s="516" t="s">
        <v>874</v>
      </c>
      <c r="V569" s="559" t="s">
        <v>536</v>
      </c>
      <c r="W569" s="541" t="s">
        <v>3469</v>
      </c>
      <c r="X569" s="516" t="s">
        <v>876</v>
      </c>
      <c r="Y569" s="542">
        <v>32543</v>
      </c>
      <c r="Z569" s="543">
        <f t="shared" ca="1" si="5"/>
        <v>36</v>
      </c>
      <c r="AA569" s="534" t="s">
        <v>3470</v>
      </c>
      <c r="AB569" s="516"/>
      <c r="AC569" s="516" t="s">
        <v>842</v>
      </c>
      <c r="AD569" s="516" t="s">
        <v>843</v>
      </c>
      <c r="AE569" s="534" t="s">
        <v>942</v>
      </c>
      <c r="AF569" s="534" t="s">
        <v>942</v>
      </c>
      <c r="AG569" s="534" t="s">
        <v>3471</v>
      </c>
      <c r="AH569" s="516"/>
      <c r="AI569" s="516"/>
      <c r="AJ569" s="516" t="s">
        <v>976</v>
      </c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2910</v>
      </c>
      <c r="E570" s="516">
        <f t="shared" si="4"/>
        <v>517</v>
      </c>
      <c r="F570" s="534"/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48" t="s">
        <v>828</v>
      </c>
      <c r="Q570" s="539"/>
      <c r="R570" s="516" t="s">
        <v>49</v>
      </c>
      <c r="S570" s="516" t="s">
        <v>49</v>
      </c>
      <c r="T570" s="516"/>
      <c r="U570" s="516"/>
      <c r="V570" s="548" t="s">
        <v>473</v>
      </c>
      <c r="W570" s="541" t="s">
        <v>2911</v>
      </c>
      <c r="X570" s="516" t="s">
        <v>876</v>
      </c>
      <c r="Y570" s="542">
        <v>22938</v>
      </c>
      <c r="Z570" s="543">
        <f t="shared" ca="1" si="5"/>
        <v>63</v>
      </c>
      <c r="AA570" s="534" t="s">
        <v>2912</v>
      </c>
      <c r="AB570" s="516"/>
      <c r="AC570" s="516" t="s">
        <v>802</v>
      </c>
      <c r="AD570" s="516" t="s">
        <v>794</v>
      </c>
      <c r="AE570" s="534" t="s">
        <v>236</v>
      </c>
      <c r="AF570" s="534" t="s">
        <v>236</v>
      </c>
      <c r="AG570" s="534" t="s">
        <v>865</v>
      </c>
      <c r="AH570" s="516" t="s">
        <v>872</v>
      </c>
      <c r="AI570" s="516"/>
      <c r="AJ570" s="516"/>
      <c r="AK570" s="516"/>
      <c r="AL570" s="544"/>
      <c r="AM570" s="544"/>
    </row>
    <row r="571" spans="3:39" ht="18" customHeight="1">
      <c r="C571" s="516">
        <v>551</v>
      </c>
      <c r="D571" s="516" t="s">
        <v>4213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 t="s">
        <v>62</v>
      </c>
      <c r="S571" s="516" t="s">
        <v>548</v>
      </c>
      <c r="T571" s="516"/>
      <c r="U571" s="516" t="s">
        <v>898</v>
      </c>
      <c r="V571" s="538" t="s">
        <v>506</v>
      </c>
      <c r="W571" s="541" t="s">
        <v>4222</v>
      </c>
      <c r="X571" s="516" t="s">
        <v>876</v>
      </c>
      <c r="Y571" s="542">
        <v>19473</v>
      </c>
      <c r="Z571" s="543">
        <f t="shared" ca="1" si="5"/>
        <v>72</v>
      </c>
      <c r="AA571" s="534" t="s">
        <v>4261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3480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514</v>
      </c>
      <c r="W572" s="541" t="s">
        <v>3481</v>
      </c>
      <c r="X572" s="516" t="s">
        <v>876</v>
      </c>
      <c r="Y572" s="542">
        <v>20551</v>
      </c>
      <c r="Z572" s="543">
        <f t="shared" ca="1" si="5"/>
        <v>69</v>
      </c>
      <c r="AA572" s="534" t="s">
        <v>3482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3483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522</v>
      </c>
      <c r="W573" s="541" t="s">
        <v>3484</v>
      </c>
      <c r="X573" s="516" t="s">
        <v>876</v>
      </c>
      <c r="Y573" s="542">
        <v>21795</v>
      </c>
      <c r="Z573" s="543">
        <f t="shared" ca="1" si="5"/>
        <v>66</v>
      </c>
      <c r="AA573" s="534" t="s">
        <v>3485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74" t="s">
        <v>3246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3486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530</v>
      </c>
      <c r="W574" s="541" t="s">
        <v>3487</v>
      </c>
      <c r="X574" s="516" t="s">
        <v>876</v>
      </c>
      <c r="Y574" s="542">
        <v>23541</v>
      </c>
      <c r="Z574" s="543">
        <f t="shared" ca="1" si="5"/>
        <v>61</v>
      </c>
      <c r="AA574" s="534" t="s">
        <v>3488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3489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3490</v>
      </c>
      <c r="E575" s="516">
        <f t="shared" si="4"/>
        <v>522</v>
      </c>
      <c r="F575" s="534" t="s">
        <v>1841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874</v>
      </c>
      <c r="V575" s="538" t="s">
        <v>3491</v>
      </c>
      <c r="W575" s="541" t="s">
        <v>3492</v>
      </c>
      <c r="X575" s="516" t="s">
        <v>876</v>
      </c>
      <c r="Y575" s="542">
        <v>27315</v>
      </c>
      <c r="Z575" s="543">
        <f t="shared" ca="1" si="5"/>
        <v>51</v>
      </c>
      <c r="AA575" s="534" t="s">
        <v>3493</v>
      </c>
      <c r="AB575" s="516"/>
      <c r="AC575" s="516" t="s">
        <v>842</v>
      </c>
      <c r="AD575" s="516" t="s">
        <v>843</v>
      </c>
      <c r="AE575" s="534" t="s">
        <v>236</v>
      </c>
      <c r="AF575" s="534" t="s">
        <v>236</v>
      </c>
      <c r="AG575" s="534" t="s">
        <v>3409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3495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898</v>
      </c>
      <c r="V576" s="538" t="s">
        <v>3496</v>
      </c>
      <c r="W576" s="541" t="s">
        <v>3497</v>
      </c>
      <c r="X576" s="516" t="s">
        <v>876</v>
      </c>
      <c r="Y576" s="542">
        <v>19981</v>
      </c>
      <c r="Z576" s="543">
        <f t="shared" ca="1" si="5"/>
        <v>71</v>
      </c>
      <c r="AA576" s="534" t="s">
        <v>3498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2223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3500</v>
      </c>
      <c r="E577" s="516">
        <f t="shared" si="4"/>
        <v>524</v>
      </c>
      <c r="F577" s="534" t="s">
        <v>1822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874</v>
      </c>
      <c r="V577" s="538" t="s">
        <v>3501</v>
      </c>
      <c r="W577" s="541" t="s">
        <v>3502</v>
      </c>
      <c r="X577" s="516" t="s">
        <v>876</v>
      </c>
      <c r="Y577" s="542">
        <v>22694</v>
      </c>
      <c r="Z577" s="543">
        <f t="shared" ca="1" si="5"/>
        <v>63</v>
      </c>
      <c r="AA577" s="534" t="s">
        <v>3503</v>
      </c>
      <c r="AB577" s="516"/>
      <c r="AC577" s="516" t="s">
        <v>842</v>
      </c>
      <c r="AD577" s="516" t="s">
        <v>843</v>
      </c>
      <c r="AE577" s="534" t="s">
        <v>942</v>
      </c>
      <c r="AF577" s="534" t="s">
        <v>942</v>
      </c>
      <c r="AG577" s="534" t="s">
        <v>3471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558</v>
      </c>
      <c r="D578" s="516" t="s">
        <v>3505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799</v>
      </c>
      <c r="V578" s="538" t="s">
        <v>553</v>
      </c>
      <c r="W578" s="541" t="s">
        <v>3506</v>
      </c>
      <c r="X578" s="516" t="s">
        <v>790</v>
      </c>
      <c r="Y578" s="542">
        <v>20455</v>
      </c>
      <c r="Z578" s="543">
        <f t="shared" ca="1" si="5"/>
        <v>70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3508</v>
      </c>
      <c r="E579" s="516">
        <f t="shared" si="4"/>
        <v>526</v>
      </c>
      <c r="F579" s="534" t="s">
        <v>811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 t="s">
        <v>308</v>
      </c>
      <c r="R579" s="516"/>
      <c r="S579" s="516"/>
      <c r="T579" s="516"/>
      <c r="U579" s="516" t="s">
        <v>874</v>
      </c>
      <c r="V579" s="538" t="s">
        <v>557</v>
      </c>
      <c r="W579" s="541" t="s">
        <v>3509</v>
      </c>
      <c r="X579" s="516" t="s">
        <v>876</v>
      </c>
      <c r="Y579" s="542">
        <v>21731</v>
      </c>
      <c r="Z579" s="543">
        <f t="shared" ca="1" si="5"/>
        <v>66</v>
      </c>
      <c r="AA579" s="534" t="s">
        <v>3507</v>
      </c>
      <c r="AB579" s="516"/>
      <c r="AC579" s="516" t="s">
        <v>842</v>
      </c>
      <c r="AD579" s="516" t="s">
        <v>843</v>
      </c>
      <c r="AE579" s="534" t="s">
        <v>815</v>
      </c>
      <c r="AF579" s="606" t="s">
        <v>815</v>
      </c>
      <c r="AG579" s="534" t="s">
        <v>2734</v>
      </c>
      <c r="AH579" s="516"/>
      <c r="AI579" s="516"/>
      <c r="AJ579" s="516" t="s">
        <v>1497</v>
      </c>
      <c r="AK579" s="516"/>
      <c r="AL579" s="544"/>
      <c r="AM579" s="544"/>
    </row>
    <row r="580" spans="3:39" ht="18" customHeight="1">
      <c r="C580" s="516">
        <v>560</v>
      </c>
      <c r="D580" s="516" t="s">
        <v>3511</v>
      </c>
      <c r="E580" s="516">
        <f t="shared" si="4"/>
        <v>527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59" t="s">
        <v>828</v>
      </c>
      <c r="Q580" s="539" t="s">
        <v>308</v>
      </c>
      <c r="R580" s="516"/>
      <c r="S580" s="516"/>
      <c r="T580" s="516"/>
      <c r="U580" s="516" t="s">
        <v>898</v>
      </c>
      <c r="V580" s="559" t="s">
        <v>3512</v>
      </c>
      <c r="W580" s="541" t="s">
        <v>3513</v>
      </c>
      <c r="X580" s="516" t="s">
        <v>876</v>
      </c>
      <c r="Y580" s="542">
        <v>17849</v>
      </c>
      <c r="Z580" s="543">
        <f t="shared" ca="1" si="5"/>
        <v>77</v>
      </c>
      <c r="AA580" s="534" t="s">
        <v>3514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 t="s">
        <v>1571</v>
      </c>
      <c r="AI580" s="516" t="s">
        <v>4454</v>
      </c>
      <c r="AJ580" s="516" t="s">
        <v>976</v>
      </c>
      <c r="AK580" s="516"/>
      <c r="AL580" s="544"/>
      <c r="AM580" s="544"/>
    </row>
    <row r="581" spans="3:39" ht="18" customHeight="1">
      <c r="C581" s="516">
        <v>561</v>
      </c>
      <c r="D581" s="516" t="s">
        <v>3345</v>
      </c>
      <c r="E581" s="516">
        <f t="shared" si="4"/>
        <v>527</v>
      </c>
      <c r="F581" s="534"/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48" t="s">
        <v>938</v>
      </c>
      <c r="Q581" s="539"/>
      <c r="R581" s="516" t="s">
        <v>49</v>
      </c>
      <c r="S581" s="516" t="s">
        <v>168</v>
      </c>
      <c r="T581" s="516"/>
      <c r="U581" s="516"/>
      <c r="V581" s="548" t="s">
        <v>481</v>
      </c>
      <c r="W581" s="541" t="s">
        <v>3346</v>
      </c>
      <c r="X581" s="516" t="s">
        <v>876</v>
      </c>
      <c r="Y581" s="542">
        <v>25024</v>
      </c>
      <c r="Z581" s="543">
        <f t="shared" ca="1" si="5"/>
        <v>57</v>
      </c>
      <c r="AA581" s="534" t="s">
        <v>3347</v>
      </c>
      <c r="AB581" s="516"/>
      <c r="AC581" s="516" t="s">
        <v>802</v>
      </c>
      <c r="AD581" s="516" t="s">
        <v>794</v>
      </c>
      <c r="AE581" s="534" t="s">
        <v>236</v>
      </c>
      <c r="AF581" s="534" t="s">
        <v>236</v>
      </c>
      <c r="AG581" s="534" t="s">
        <v>865</v>
      </c>
      <c r="AH581" s="516" t="s">
        <v>872</v>
      </c>
      <c r="AI581" s="516"/>
      <c r="AJ581" s="516"/>
      <c r="AK581" s="516"/>
      <c r="AL581" s="544"/>
      <c r="AM581" s="544"/>
    </row>
    <row r="582" spans="3:39" ht="18" customHeight="1">
      <c r="C582" s="516">
        <v>562</v>
      </c>
      <c r="D582" s="516" t="s">
        <v>3516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 t="s">
        <v>62</v>
      </c>
      <c r="S582" s="516" t="s">
        <v>548</v>
      </c>
      <c r="T582" s="516"/>
      <c r="U582" s="516" t="s">
        <v>874</v>
      </c>
      <c r="V582" s="538" t="s">
        <v>515</v>
      </c>
      <c r="W582" s="541" t="s">
        <v>3520</v>
      </c>
      <c r="X582" s="516" t="s">
        <v>876</v>
      </c>
      <c r="Y582" s="542">
        <v>20844</v>
      </c>
      <c r="Z582" s="543">
        <f t="shared" ca="1" si="5"/>
        <v>69</v>
      </c>
      <c r="AA582" s="534" t="s">
        <v>3521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3523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3517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507</v>
      </c>
      <c r="W583" s="541" t="s">
        <v>3524</v>
      </c>
      <c r="X583" s="516" t="s">
        <v>876</v>
      </c>
      <c r="Y583" s="542">
        <v>20604</v>
      </c>
      <c r="Z583" s="543">
        <f t="shared" ca="1" si="5"/>
        <v>69</v>
      </c>
      <c r="AA583" s="534" t="s">
        <v>3525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34" t="s">
        <v>3527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3518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531</v>
      </c>
      <c r="W584" s="541" t="s">
        <v>3528</v>
      </c>
      <c r="X584" s="516" t="s">
        <v>876</v>
      </c>
      <c r="Y584" s="542">
        <v>22829</v>
      </c>
      <c r="Z584" s="543">
        <f t="shared" ca="1" si="5"/>
        <v>63</v>
      </c>
      <c r="AA584" s="534" t="s">
        <v>3529</v>
      </c>
      <c r="AB584" s="516"/>
      <c r="AC584" s="516" t="s">
        <v>842</v>
      </c>
      <c r="AD584" s="516" t="s">
        <v>843</v>
      </c>
      <c r="AE584" s="534" t="s">
        <v>236</v>
      </c>
      <c r="AF584" s="534" t="s">
        <v>236</v>
      </c>
      <c r="AG584" s="574" t="s">
        <v>3531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3536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538</v>
      </c>
      <c r="W585" s="541" t="s">
        <v>3537</v>
      </c>
      <c r="X585" s="516" t="s">
        <v>876</v>
      </c>
      <c r="Y585" s="542">
        <v>22980</v>
      </c>
      <c r="Z585" s="543">
        <f t="shared" ca="1" si="5"/>
        <v>63</v>
      </c>
      <c r="AA585" s="534" t="s">
        <v>3538</v>
      </c>
      <c r="AB585" s="516"/>
      <c r="AC585" s="516" t="s">
        <v>842</v>
      </c>
      <c r="AD585" s="516" t="s">
        <v>843</v>
      </c>
      <c r="AE585" s="534" t="s">
        <v>809</v>
      </c>
      <c r="AF585" s="534" t="s">
        <v>809</v>
      </c>
      <c r="AG585" s="534" t="s">
        <v>3539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3519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543</v>
      </c>
      <c r="W586" s="541" t="s">
        <v>3532</v>
      </c>
      <c r="X586" s="516" t="s">
        <v>876</v>
      </c>
      <c r="Y586" s="542">
        <v>26443</v>
      </c>
      <c r="Z586" s="543">
        <f t="shared" ca="1" si="5"/>
        <v>53</v>
      </c>
      <c r="AA586" s="534" t="s">
        <v>3533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74" t="s">
        <v>3535</v>
      </c>
      <c r="AH586" s="516"/>
      <c r="AI586" s="516"/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3540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549</v>
      </c>
      <c r="W587" s="541" t="s">
        <v>3541</v>
      </c>
      <c r="X587" s="516" t="s">
        <v>876</v>
      </c>
      <c r="Y587" s="542">
        <v>27733</v>
      </c>
      <c r="Z587" s="543">
        <f t="shared" ca="1" si="5"/>
        <v>50</v>
      </c>
      <c r="AA587" s="534" t="s">
        <v>3542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3544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3546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874</v>
      </c>
      <c r="V588" s="538" t="s">
        <v>554</v>
      </c>
      <c r="W588" s="541" t="s">
        <v>3547</v>
      </c>
      <c r="X588" s="516" t="s">
        <v>876</v>
      </c>
      <c r="Y588" s="542">
        <v>32138</v>
      </c>
      <c r="Z588" s="543">
        <f t="shared" ca="1" si="5"/>
        <v>38</v>
      </c>
      <c r="AA588" s="534" t="s">
        <v>3548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3550</v>
      </c>
      <c r="AH588" s="516"/>
      <c r="AI588" s="516" t="s">
        <v>3545</v>
      </c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3551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788</v>
      </c>
      <c r="V589" s="538" t="s">
        <v>558</v>
      </c>
      <c r="W589" s="541" t="s">
        <v>3552</v>
      </c>
      <c r="X589" s="516" t="s">
        <v>876</v>
      </c>
      <c r="Y589" s="542">
        <v>36800</v>
      </c>
      <c r="Z589" s="543">
        <f t="shared" ca="1" si="5"/>
        <v>25</v>
      </c>
      <c r="AA589" s="534" t="s">
        <v>3553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865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3554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38" t="s">
        <v>938</v>
      </c>
      <c r="Q590" s="539" t="s">
        <v>308</v>
      </c>
      <c r="R590" s="516"/>
      <c r="S590" s="516"/>
      <c r="T590" s="516"/>
      <c r="U590" s="516" t="s">
        <v>874</v>
      </c>
      <c r="V590" s="538" t="s">
        <v>523</v>
      </c>
      <c r="W590" s="541" t="s">
        <v>3555</v>
      </c>
      <c r="X590" s="516" t="s">
        <v>876</v>
      </c>
      <c r="Y590" s="542">
        <v>21916</v>
      </c>
      <c r="Z590" s="543">
        <f t="shared" ca="1" si="5"/>
        <v>66</v>
      </c>
      <c r="AA590" s="534" t="s">
        <v>3556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3557</v>
      </c>
      <c r="AH590" s="516" t="s">
        <v>1571</v>
      </c>
      <c r="AI590" s="516" t="s">
        <v>4471</v>
      </c>
      <c r="AJ590" s="516" t="s">
        <v>1852</v>
      </c>
      <c r="AK590" s="516"/>
      <c r="AL590" s="544"/>
      <c r="AM590" s="544"/>
    </row>
    <row r="591" spans="3:39" ht="18" customHeight="1">
      <c r="C591" s="516">
        <v>571</v>
      </c>
      <c r="D591" s="516" t="s">
        <v>3559</v>
      </c>
      <c r="E591" s="516">
        <f t="shared" si="4"/>
        <v>537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36"/>
      <c r="N591" s="537"/>
      <c r="O591" s="537"/>
      <c r="P591" s="559" t="s">
        <v>938</v>
      </c>
      <c r="Q591" s="539" t="s">
        <v>308</v>
      </c>
      <c r="R591" s="516"/>
      <c r="S591" s="516"/>
      <c r="T591" s="516"/>
      <c r="U591" s="516" t="s">
        <v>874</v>
      </c>
      <c r="V591" s="559" t="s">
        <v>3560</v>
      </c>
      <c r="W591" s="541" t="s">
        <v>3561</v>
      </c>
      <c r="X591" s="516" t="s">
        <v>876</v>
      </c>
      <c r="Y591" s="542">
        <v>28211</v>
      </c>
      <c r="Z591" s="543">
        <f t="shared" ca="1" si="5"/>
        <v>48</v>
      </c>
      <c r="AA591" s="534" t="s">
        <v>3562</v>
      </c>
      <c r="AB591" s="516"/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34" t="s">
        <v>3564</v>
      </c>
      <c r="AH591" s="516" t="s">
        <v>1571</v>
      </c>
      <c r="AI591" s="516" t="s">
        <v>4459</v>
      </c>
      <c r="AJ591" s="516" t="s">
        <v>1852</v>
      </c>
      <c r="AK591" s="516"/>
      <c r="AL591" s="544"/>
      <c r="AM591" s="544"/>
    </row>
    <row r="592" spans="3:39" ht="18" customHeight="1">
      <c r="C592" s="516">
        <v>572</v>
      </c>
      <c r="D592" s="516" t="s">
        <v>2094</v>
      </c>
      <c r="E592" s="516">
        <f t="shared" si="4"/>
        <v>537</v>
      </c>
      <c r="F592" s="534"/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48" t="s">
        <v>978</v>
      </c>
      <c r="Q592" s="539"/>
      <c r="R592" s="516" t="s">
        <v>49</v>
      </c>
      <c r="S592" s="516" t="s">
        <v>168</v>
      </c>
      <c r="T592" s="516"/>
      <c r="U592" s="516"/>
      <c r="V592" s="548" t="s">
        <v>231</v>
      </c>
      <c r="W592" s="541" t="s">
        <v>2095</v>
      </c>
      <c r="X592" s="516" t="s">
        <v>876</v>
      </c>
      <c r="Y592" s="542">
        <v>25211</v>
      </c>
      <c r="Z592" s="543">
        <f t="shared" ca="1" si="5"/>
        <v>57</v>
      </c>
      <c r="AA592" s="534" t="s">
        <v>2096</v>
      </c>
      <c r="AB592" s="516"/>
      <c r="AC592" s="516" t="s">
        <v>802</v>
      </c>
      <c r="AD592" s="516" t="s">
        <v>794</v>
      </c>
      <c r="AE592" s="534" t="s">
        <v>809</v>
      </c>
      <c r="AF592" s="534" t="s">
        <v>809</v>
      </c>
      <c r="AG592" s="534" t="s">
        <v>2085</v>
      </c>
      <c r="AH592" s="516" t="s">
        <v>872</v>
      </c>
      <c r="AI592" s="516"/>
      <c r="AJ592" s="516"/>
      <c r="AK592" s="516"/>
      <c r="AL592" s="544"/>
      <c r="AM592" s="544"/>
    </row>
    <row r="593" spans="3:39" ht="18" customHeight="1">
      <c r="C593" s="516">
        <v>573</v>
      </c>
      <c r="D593" s="516" t="s">
        <v>3565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874</v>
      </c>
      <c r="V593" s="538" t="s">
        <v>3566</v>
      </c>
      <c r="W593" s="541" t="s">
        <v>3567</v>
      </c>
      <c r="X593" s="516" t="s">
        <v>876</v>
      </c>
      <c r="Y593" s="542">
        <v>33974</v>
      </c>
      <c r="Z593" s="543">
        <f t="shared" ca="1" si="5"/>
        <v>33</v>
      </c>
      <c r="AA593" s="534" t="s">
        <v>3568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3212</v>
      </c>
      <c r="AH593" s="516"/>
      <c r="AI593" s="516"/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3570</v>
      </c>
      <c r="E594" s="516">
        <f t="shared" si="4"/>
        <v>539</v>
      </c>
      <c r="F594" s="534" t="s">
        <v>811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3571</v>
      </c>
      <c r="W594" s="541" t="s">
        <v>3572</v>
      </c>
      <c r="X594" s="516" t="s">
        <v>876</v>
      </c>
      <c r="Y594" s="542">
        <v>37889</v>
      </c>
      <c r="Z594" s="543">
        <f t="shared" ca="1" si="5"/>
        <v>22</v>
      </c>
      <c r="AA594" s="534" t="s">
        <v>3573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3575</v>
      </c>
      <c r="E595" s="516">
        <f t="shared" si="4"/>
        <v>540</v>
      </c>
      <c r="F595" s="534" t="s">
        <v>1310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38" t="s">
        <v>978</v>
      </c>
      <c r="Q595" s="539" t="s">
        <v>308</v>
      </c>
      <c r="R595" s="516"/>
      <c r="S595" s="516"/>
      <c r="T595" s="516"/>
      <c r="U595" s="516" t="s">
        <v>788</v>
      </c>
      <c r="V595" s="538" t="s">
        <v>524</v>
      </c>
      <c r="W595" s="541" t="s">
        <v>3576</v>
      </c>
      <c r="X595" s="516" t="s">
        <v>876</v>
      </c>
      <c r="Y595" s="542">
        <v>38551</v>
      </c>
      <c r="Z595" s="543">
        <f t="shared" ca="1" si="5"/>
        <v>20</v>
      </c>
      <c r="AA595" s="534" t="s">
        <v>3577</v>
      </c>
      <c r="AB595" s="516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3199</v>
      </c>
      <c r="AH595" s="516"/>
      <c r="AI595" s="516" t="s">
        <v>3297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3579</v>
      </c>
      <c r="E596" s="516">
        <f t="shared" si="4"/>
        <v>541</v>
      </c>
      <c r="F596" s="534" t="s">
        <v>811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2094</v>
      </c>
      <c r="L596" s="535" t="s">
        <v>786</v>
      </c>
      <c r="M596" s="536"/>
      <c r="N596" s="537"/>
      <c r="O596" s="537"/>
      <c r="P596" s="559" t="s">
        <v>978</v>
      </c>
      <c r="Q596" s="539" t="s">
        <v>308</v>
      </c>
      <c r="R596" s="516"/>
      <c r="S596" s="516"/>
      <c r="T596" s="516"/>
      <c r="U596" s="516" t="s">
        <v>874</v>
      </c>
      <c r="V596" s="559" t="s">
        <v>3580</v>
      </c>
      <c r="W596" s="541" t="s">
        <v>3581</v>
      </c>
      <c r="X596" s="516" t="s">
        <v>876</v>
      </c>
      <c r="Y596" s="542">
        <v>33117</v>
      </c>
      <c r="Z596" s="543">
        <f t="shared" ca="1" si="5"/>
        <v>35</v>
      </c>
      <c r="AA596" s="534" t="s">
        <v>3582</v>
      </c>
      <c r="AB596" s="516"/>
      <c r="AC596" s="516" t="s">
        <v>842</v>
      </c>
      <c r="AD596" s="516" t="s">
        <v>843</v>
      </c>
      <c r="AE596" s="534" t="s">
        <v>713</v>
      </c>
      <c r="AF596" s="534" t="s">
        <v>713</v>
      </c>
      <c r="AG596" s="534" t="s">
        <v>3583</v>
      </c>
      <c r="AH596" s="516" t="s">
        <v>1571</v>
      </c>
      <c r="AI596" s="516" t="s">
        <v>4455</v>
      </c>
      <c r="AJ596" s="516" t="s">
        <v>971</v>
      </c>
      <c r="AK596" s="516"/>
      <c r="AL596" s="544"/>
      <c r="AM596" s="544"/>
    </row>
    <row r="597" spans="3:39" ht="18" customHeight="1">
      <c r="C597" s="516">
        <v>577</v>
      </c>
      <c r="D597" s="516" t="s">
        <v>915</v>
      </c>
      <c r="E597" s="516">
        <f t="shared" si="4"/>
        <v>541</v>
      </c>
      <c r="F597" s="534"/>
      <c r="G597" s="534" t="s">
        <v>3584</v>
      </c>
      <c r="H597" s="535"/>
      <c r="I597" s="535" t="s">
        <v>73</v>
      </c>
      <c r="J597" s="535"/>
      <c r="K597" s="535" t="s">
        <v>915</v>
      </c>
      <c r="L597" s="535"/>
      <c r="M597" s="536"/>
      <c r="N597" s="537"/>
      <c r="O597" s="537"/>
      <c r="P597" s="548" t="s">
        <v>2372</v>
      </c>
      <c r="Q597" s="539"/>
      <c r="R597" s="516" t="s">
        <v>163</v>
      </c>
      <c r="S597" s="516" t="s">
        <v>500</v>
      </c>
      <c r="T597" s="516"/>
      <c r="U597" s="516"/>
      <c r="V597" s="548" t="s">
        <v>73</v>
      </c>
      <c r="W597" s="541" t="s">
        <v>3585</v>
      </c>
      <c r="X597" s="516" t="s">
        <v>876</v>
      </c>
      <c r="Y597" s="542">
        <v>31722</v>
      </c>
      <c r="Z597" s="543">
        <f t="shared" ca="1" si="5"/>
        <v>39</v>
      </c>
      <c r="AA597" s="534" t="s">
        <v>917</v>
      </c>
      <c r="AB597" s="516"/>
      <c r="AC597" s="516" t="s">
        <v>802</v>
      </c>
      <c r="AD597" s="516" t="s">
        <v>794</v>
      </c>
      <c r="AE597" s="534" t="s">
        <v>713</v>
      </c>
      <c r="AF597" s="534" t="s">
        <v>795</v>
      </c>
      <c r="AG597" s="534" t="s">
        <v>796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578</v>
      </c>
      <c r="D598" s="516" t="s">
        <v>3587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 t="s">
        <v>62</v>
      </c>
      <c r="S598" s="516" t="s">
        <v>548</v>
      </c>
      <c r="T598" s="516"/>
      <c r="U598" s="516" t="s">
        <v>874</v>
      </c>
      <c r="V598" s="538" t="s">
        <v>594</v>
      </c>
      <c r="W598" s="541" t="s">
        <v>3588</v>
      </c>
      <c r="X598" s="516" t="s">
        <v>876</v>
      </c>
      <c r="Y598" s="542">
        <v>33100</v>
      </c>
      <c r="Z598" s="543">
        <f t="shared" ca="1" si="5"/>
        <v>35</v>
      </c>
      <c r="AA598" s="534" t="s">
        <v>3589</v>
      </c>
      <c r="AB598" s="516"/>
      <c r="AC598" s="516" t="s">
        <v>842</v>
      </c>
      <c r="AD598" s="516" t="s">
        <v>851</v>
      </c>
      <c r="AE598" s="534" t="s">
        <v>713</v>
      </c>
      <c r="AF598" s="566" t="s">
        <v>713</v>
      </c>
      <c r="AG598" s="552" t="s">
        <v>3591</v>
      </c>
      <c r="AH598" s="516"/>
      <c r="AI598" s="516"/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3592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3593</v>
      </c>
      <c r="W599" s="541" t="s">
        <v>3594</v>
      </c>
      <c r="X599" s="516" t="s">
        <v>876</v>
      </c>
      <c r="Y599" s="542">
        <v>32267</v>
      </c>
      <c r="Z599" s="543">
        <f t="shared" ca="1" si="5"/>
        <v>37</v>
      </c>
      <c r="AA599" s="534" t="s">
        <v>3595</v>
      </c>
      <c r="AB599" s="516"/>
      <c r="AC599" s="516" t="s">
        <v>842</v>
      </c>
      <c r="AD599" s="516" t="s">
        <v>843</v>
      </c>
      <c r="AE599" s="534" t="s">
        <v>713</v>
      </c>
      <c r="AF599" s="566" t="s">
        <v>713</v>
      </c>
      <c r="AG599" s="552" t="s">
        <v>3591</v>
      </c>
      <c r="AH599" s="516"/>
      <c r="AI599" s="516" t="s">
        <v>3597</v>
      </c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3598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/>
      <c r="R600" s="516"/>
      <c r="S600" s="516"/>
      <c r="T600" s="516"/>
      <c r="U600" s="516" t="s">
        <v>874</v>
      </c>
      <c r="V600" s="538" t="s">
        <v>3599</v>
      </c>
      <c r="W600" s="541" t="s">
        <v>3600</v>
      </c>
      <c r="X600" s="516" t="s">
        <v>876</v>
      </c>
      <c r="Y600" s="542">
        <v>35591</v>
      </c>
      <c r="Z600" s="543">
        <f t="shared" ca="1" si="5"/>
        <v>28</v>
      </c>
      <c r="AA600" s="534" t="s">
        <v>3601</v>
      </c>
      <c r="AB600" s="516"/>
      <c r="AC600" s="516" t="s">
        <v>802</v>
      </c>
      <c r="AD600" s="516" t="s">
        <v>794</v>
      </c>
      <c r="AE600" s="534" t="s">
        <v>713</v>
      </c>
      <c r="AF600" s="566" t="s">
        <v>713</v>
      </c>
      <c r="AG600" s="552" t="s">
        <v>3591</v>
      </c>
      <c r="AH600" s="516"/>
      <c r="AI600" s="516"/>
      <c r="AJ600" s="516" t="s">
        <v>903</v>
      </c>
      <c r="AK600" s="516"/>
      <c r="AL600" s="544"/>
      <c r="AM600" s="544"/>
    </row>
    <row r="601" spans="3:39" ht="18" customHeight="1">
      <c r="C601" s="516">
        <v>581</v>
      </c>
      <c r="D601" s="516" t="s">
        <v>3603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38" t="s">
        <v>2372</v>
      </c>
      <c r="Q601" s="539" t="s">
        <v>308</v>
      </c>
      <c r="R601" s="516"/>
      <c r="S601" s="516"/>
      <c r="T601" s="516"/>
      <c r="U601" s="516" t="s">
        <v>874</v>
      </c>
      <c r="V601" s="538" t="s">
        <v>3604</v>
      </c>
      <c r="W601" s="541" t="s">
        <v>3605</v>
      </c>
      <c r="X601" s="516" t="s">
        <v>876</v>
      </c>
      <c r="Y601" s="542">
        <v>31113</v>
      </c>
      <c r="Z601" s="543">
        <f t="shared" ca="1" si="5"/>
        <v>40</v>
      </c>
      <c r="AA601" s="534" t="s">
        <v>3606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52" t="s">
        <v>3608</v>
      </c>
      <c r="AH601" s="516"/>
      <c r="AI601" s="516"/>
      <c r="AJ601" s="565" t="s">
        <v>1087</v>
      </c>
      <c r="AK601" s="516"/>
      <c r="AL601" s="544"/>
      <c r="AM601" s="544"/>
    </row>
    <row r="602" spans="3:39" ht="18" customHeight="1">
      <c r="C602" s="516">
        <v>582</v>
      </c>
      <c r="D602" s="516" t="s">
        <v>3609</v>
      </c>
      <c r="E602" s="516">
        <f t="shared" si="4"/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59" t="s">
        <v>2372</v>
      </c>
      <c r="Q602" s="539" t="s">
        <v>308</v>
      </c>
      <c r="R602" s="516"/>
      <c r="S602" s="516"/>
      <c r="T602" s="516"/>
      <c r="U602" s="516" t="s">
        <v>874</v>
      </c>
      <c r="V602" s="559" t="s">
        <v>3610</v>
      </c>
      <c r="W602" s="541" t="s">
        <v>3611</v>
      </c>
      <c r="X602" s="516" t="s">
        <v>876</v>
      </c>
      <c r="Y602" s="542">
        <v>30783</v>
      </c>
      <c r="Z602" s="543">
        <f t="shared" ca="1" si="5"/>
        <v>41</v>
      </c>
      <c r="AA602" s="534" t="s">
        <v>3612</v>
      </c>
      <c r="AB602" s="516"/>
      <c r="AC602" s="516" t="s">
        <v>842</v>
      </c>
      <c r="AD602" s="516" t="s">
        <v>843</v>
      </c>
      <c r="AE602" s="534" t="s">
        <v>713</v>
      </c>
      <c r="AF602" s="566" t="s">
        <v>713</v>
      </c>
      <c r="AG602" s="534" t="s">
        <v>1906</v>
      </c>
      <c r="AH602" s="516"/>
      <c r="AI602" s="516"/>
      <c r="AJ602" s="593" t="s">
        <v>1604</v>
      </c>
      <c r="AK602" s="516"/>
      <c r="AL602" s="544"/>
      <c r="AM602" s="544"/>
    </row>
    <row r="603" spans="3:39" ht="18" customHeight="1">
      <c r="C603" s="516">
        <v>583</v>
      </c>
      <c r="D603" s="516" t="s">
        <v>3622</v>
      </c>
      <c r="E603" s="516">
        <f t="shared" si="4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48" t="s">
        <v>2425</v>
      </c>
      <c r="Q603" s="539"/>
      <c r="R603" s="516" t="s">
        <v>62</v>
      </c>
      <c r="S603" s="516" t="s">
        <v>548</v>
      </c>
      <c r="T603" s="516"/>
      <c r="U603" s="516" t="s">
        <v>874</v>
      </c>
      <c r="V603" s="548" t="s">
        <v>3624</v>
      </c>
      <c r="W603" s="541" t="s">
        <v>3625</v>
      </c>
      <c r="X603" s="516" t="s">
        <v>876</v>
      </c>
      <c r="Y603" s="542">
        <v>21995</v>
      </c>
      <c r="Z603" s="543">
        <f t="shared" ca="1" si="5"/>
        <v>65</v>
      </c>
      <c r="AA603" s="534" t="s">
        <v>3626</v>
      </c>
      <c r="AB603" s="516"/>
      <c r="AC603" s="516" t="s">
        <v>802</v>
      </c>
      <c r="AD603" s="516" t="s">
        <v>794</v>
      </c>
      <c r="AE603" s="633" t="s">
        <v>1400</v>
      </c>
      <c r="AF603" s="534" t="s">
        <v>1400</v>
      </c>
      <c r="AG603" s="534" t="s">
        <v>3628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3623</v>
      </c>
      <c r="E604" s="516">
        <f t="shared" si="4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 t="s">
        <v>4216</v>
      </c>
      <c r="U604" s="516" t="s">
        <v>874</v>
      </c>
      <c r="V604" s="538" t="s">
        <v>3629</v>
      </c>
      <c r="W604" s="541" t="s">
        <v>3630</v>
      </c>
      <c r="X604" s="516" t="s">
        <v>876</v>
      </c>
      <c r="Y604" s="542">
        <v>28273</v>
      </c>
      <c r="Z604" s="543">
        <f t="shared" ca="1" si="5"/>
        <v>48</v>
      </c>
      <c r="AA604" s="534" t="s">
        <v>3631</v>
      </c>
      <c r="AB604" s="516"/>
      <c r="AC604" s="516" t="s">
        <v>842</v>
      </c>
      <c r="AD604" s="516" t="s">
        <v>851</v>
      </c>
      <c r="AE604" s="633" t="s">
        <v>1400</v>
      </c>
      <c r="AF604" s="534" t="s">
        <v>1400</v>
      </c>
      <c r="AG604" s="534" t="s">
        <v>3633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3634</v>
      </c>
      <c r="E605" s="516">
        <f t="shared" si="4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3635</v>
      </c>
      <c r="W605" s="541" t="s">
        <v>3636</v>
      </c>
      <c r="X605" s="516" t="s">
        <v>876</v>
      </c>
      <c r="Y605" s="542">
        <v>31463</v>
      </c>
      <c r="Z605" s="543">
        <f t="shared" ca="1" si="5"/>
        <v>39</v>
      </c>
      <c r="AA605" s="534" t="s">
        <v>3637</v>
      </c>
      <c r="AB605" s="516"/>
      <c r="AC605" s="516" t="s">
        <v>842</v>
      </c>
      <c r="AD605" s="516" t="s">
        <v>851</v>
      </c>
      <c r="AE605" s="534" t="s">
        <v>713</v>
      </c>
      <c r="AF605" s="534" t="s">
        <v>713</v>
      </c>
      <c r="AG605" s="633" t="s">
        <v>1583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3639</v>
      </c>
      <c r="E606" s="516">
        <f t="shared" si="4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3640</v>
      </c>
      <c r="W606" s="541" t="s">
        <v>3641</v>
      </c>
      <c r="X606" s="516" t="s">
        <v>876</v>
      </c>
      <c r="Y606" s="542">
        <v>30230</v>
      </c>
      <c r="Z606" s="543">
        <f t="shared" ca="1" si="5"/>
        <v>43</v>
      </c>
      <c r="AA606" s="534" t="s">
        <v>3642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3645</v>
      </c>
      <c r="E607" s="516">
        <f t="shared" si="4"/>
        <v>551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38" t="s">
        <v>2425</v>
      </c>
      <c r="Q607" s="539"/>
      <c r="R607" s="516"/>
      <c r="S607" s="516"/>
      <c r="T607" s="516"/>
      <c r="U607" s="516" t="s">
        <v>874</v>
      </c>
      <c r="V607" s="538" t="s">
        <v>3646</v>
      </c>
      <c r="W607" s="541" t="s">
        <v>3647</v>
      </c>
      <c r="X607" s="516" t="s">
        <v>876</v>
      </c>
      <c r="Y607" s="542">
        <v>32894</v>
      </c>
      <c r="Z607" s="543">
        <f t="shared" ca="1" si="5"/>
        <v>36</v>
      </c>
      <c r="AA607" s="534" t="s">
        <v>3648</v>
      </c>
      <c r="AB607" s="516"/>
      <c r="AC607" s="516" t="s">
        <v>842</v>
      </c>
      <c r="AD607" s="516" t="s">
        <v>851</v>
      </c>
      <c r="AE607" s="633" t="s">
        <v>2208</v>
      </c>
      <c r="AF607" s="534" t="s">
        <v>2208</v>
      </c>
      <c r="AG607" s="534" t="s">
        <v>3644</v>
      </c>
      <c r="AH607" s="516"/>
      <c r="AI607" s="516"/>
      <c r="AJ607" s="516" t="s">
        <v>903</v>
      </c>
      <c r="AK607" s="516"/>
      <c r="AL607" s="544"/>
      <c r="AM607" s="544"/>
    </row>
    <row r="608" spans="3:39" ht="18" customHeight="1">
      <c r="C608" s="516">
        <v>588</v>
      </c>
      <c r="D608" s="516" t="s">
        <v>3650</v>
      </c>
      <c r="E608" s="516">
        <f t="shared" si="4"/>
        <v>552</v>
      </c>
      <c r="F608" s="534" t="s">
        <v>981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 t="s">
        <v>3622</v>
      </c>
      <c r="N608" s="537"/>
      <c r="O608" s="537"/>
      <c r="P608" s="559" t="s">
        <v>2425</v>
      </c>
      <c r="Q608" s="539" t="s">
        <v>4439</v>
      </c>
      <c r="R608" s="516"/>
      <c r="S608" s="516"/>
      <c r="T608" s="516"/>
      <c r="U608" s="516" t="s">
        <v>874</v>
      </c>
      <c r="V608" s="559" t="s">
        <v>3651</v>
      </c>
      <c r="W608" s="541" t="s">
        <v>3652</v>
      </c>
      <c r="X608" s="516" t="s">
        <v>876</v>
      </c>
      <c r="Y608" s="542">
        <v>25602</v>
      </c>
      <c r="Z608" s="543">
        <f t="shared" ca="1" si="5"/>
        <v>55</v>
      </c>
      <c r="AA608" s="534"/>
      <c r="AB608" s="516"/>
      <c r="AC608" s="516" t="s">
        <v>842</v>
      </c>
      <c r="AD608" s="516" t="s">
        <v>851</v>
      </c>
      <c r="AE608" s="534" t="s">
        <v>1400</v>
      </c>
      <c r="AF608" s="534" t="s">
        <v>1400</v>
      </c>
      <c r="AG608" s="534" t="s">
        <v>3654</v>
      </c>
      <c r="AH608" s="516"/>
      <c r="AI608" s="516"/>
      <c r="AJ608" s="516" t="s">
        <v>832</v>
      </c>
      <c r="AK608" s="516"/>
      <c r="AL608" s="544"/>
      <c r="AM608" s="544"/>
    </row>
    <row r="609" spans="3:39" ht="18" customHeight="1">
      <c r="C609" s="516">
        <v>589</v>
      </c>
      <c r="D609" s="516" t="s">
        <v>1679</v>
      </c>
      <c r="E609" s="516">
        <f t="shared" si="4"/>
        <v>552</v>
      </c>
      <c r="F609" s="534"/>
      <c r="G609" s="534" t="s">
        <v>3584</v>
      </c>
      <c r="H609" s="535" t="s">
        <v>1118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48" t="s">
        <v>828</v>
      </c>
      <c r="Q609" s="539"/>
      <c r="R609" s="516" t="s">
        <v>49</v>
      </c>
      <c r="S609" s="516" t="s">
        <v>168</v>
      </c>
      <c r="T609" s="516"/>
      <c r="U609" s="516"/>
      <c r="V609" s="548" t="s">
        <v>278</v>
      </c>
      <c r="W609" s="541" t="s">
        <v>1680</v>
      </c>
      <c r="X609" s="516" t="s">
        <v>876</v>
      </c>
      <c r="Y609" s="542">
        <v>28944</v>
      </c>
      <c r="Z609" s="543">
        <f t="shared" ca="1" si="5"/>
        <v>46</v>
      </c>
      <c r="AA609" s="534" t="s">
        <v>1681</v>
      </c>
      <c r="AB609" s="516"/>
      <c r="AC609" s="516" t="s">
        <v>802</v>
      </c>
      <c r="AD609" s="516" t="s">
        <v>794</v>
      </c>
      <c r="AE609" s="534" t="s">
        <v>236</v>
      </c>
      <c r="AF609" s="534" t="s">
        <v>236</v>
      </c>
      <c r="AG609" s="534" t="s">
        <v>1683</v>
      </c>
      <c r="AH609" s="516" t="s">
        <v>872</v>
      </c>
      <c r="AI609" s="516"/>
      <c r="AJ609" s="516"/>
      <c r="AK609" s="516"/>
      <c r="AL609" s="544"/>
      <c r="AM609" s="544"/>
    </row>
    <row r="610" spans="3:39" ht="18" customHeight="1">
      <c r="C610" s="516">
        <v>590</v>
      </c>
      <c r="D610" s="516" t="s">
        <v>3658</v>
      </c>
      <c r="E610" s="516">
        <f t="shared" si="4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38" t="s">
        <v>595</v>
      </c>
      <c r="W610" s="541" t="s">
        <v>3660</v>
      </c>
      <c r="X610" s="516" t="s">
        <v>876</v>
      </c>
      <c r="Y610" s="542">
        <v>30933</v>
      </c>
      <c r="Z610" s="543">
        <f t="shared" ca="1" si="5"/>
        <v>41</v>
      </c>
      <c r="AA610" s="534" t="s">
        <v>3661</v>
      </c>
      <c r="AB610" s="516"/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3663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3664</v>
      </c>
      <c r="E611" s="516">
        <f t="shared" si="4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614</v>
      </c>
      <c r="W611" s="541" t="s">
        <v>3665</v>
      </c>
      <c r="X611" s="516" t="s">
        <v>876</v>
      </c>
      <c r="Y611" s="542">
        <v>26339</v>
      </c>
      <c r="Z611" s="543">
        <f t="shared" ca="1" si="5"/>
        <v>53</v>
      </c>
      <c r="AA611" s="534" t="s">
        <v>3666</v>
      </c>
      <c r="AB611" s="516"/>
      <c r="AC611" s="516" t="s">
        <v>842</v>
      </c>
      <c r="AD611" s="516" t="s">
        <v>843</v>
      </c>
      <c r="AE611" s="534" t="s">
        <v>713</v>
      </c>
      <c r="AF611" s="566" t="s">
        <v>713</v>
      </c>
      <c r="AG611" s="534" t="s">
        <v>3668</v>
      </c>
      <c r="AH611" s="516"/>
      <c r="AI611" s="516"/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3669</v>
      </c>
      <c r="E612" s="516">
        <f t="shared" si="4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632</v>
      </c>
      <c r="W612" s="541" t="s">
        <v>3670</v>
      </c>
      <c r="X612" s="516" t="s">
        <v>876</v>
      </c>
      <c r="Y612" s="542">
        <v>31788</v>
      </c>
      <c r="Z612" s="543">
        <f t="shared" ca="1" si="5"/>
        <v>39</v>
      </c>
      <c r="AA612" s="534" t="s">
        <v>3671</v>
      </c>
      <c r="AB612" s="516"/>
      <c r="AC612" s="516" t="s">
        <v>842</v>
      </c>
      <c r="AD612" s="516" t="s">
        <v>851</v>
      </c>
      <c r="AE612" s="534" t="s">
        <v>713</v>
      </c>
      <c r="AF612" s="566" t="s">
        <v>713</v>
      </c>
      <c r="AG612" s="534" t="s">
        <v>3672</v>
      </c>
      <c r="AH612" s="516" t="s">
        <v>1571</v>
      </c>
      <c r="AI612" s="634" t="s">
        <v>4214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3674</v>
      </c>
      <c r="E613" s="516">
        <f t="shared" si="4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38" t="s">
        <v>828</v>
      </c>
      <c r="Q613" s="539"/>
      <c r="R613" s="516"/>
      <c r="S613" s="516"/>
      <c r="T613" s="516"/>
      <c r="U613" s="516" t="s">
        <v>874</v>
      </c>
      <c r="V613" s="538" t="s">
        <v>3675</v>
      </c>
      <c r="W613" s="541" t="s">
        <v>3676</v>
      </c>
      <c r="X613" s="516" t="s">
        <v>876</v>
      </c>
      <c r="Y613" s="542">
        <v>21929</v>
      </c>
      <c r="Z613" s="543">
        <f t="shared" ca="1" si="5"/>
        <v>66</v>
      </c>
      <c r="AA613" s="534" t="s">
        <v>3677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3678</v>
      </c>
      <c r="AH613" s="516" t="s">
        <v>1571</v>
      </c>
      <c r="AI613" s="516" t="s">
        <v>4455</v>
      </c>
      <c r="AJ613" s="516" t="s">
        <v>867</v>
      </c>
      <c r="AK613" s="516"/>
      <c r="AL613" s="544"/>
      <c r="AM613" s="544"/>
    </row>
    <row r="614" spans="3:39" ht="18" customHeight="1">
      <c r="C614" s="516">
        <v>594</v>
      </c>
      <c r="D614" s="516" t="s">
        <v>3679</v>
      </c>
      <c r="E614" s="516">
        <f t="shared" si="4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1679</v>
      </c>
      <c r="L614" s="535" t="s">
        <v>3658</v>
      </c>
      <c r="M614" s="536"/>
      <c r="N614" s="537"/>
      <c r="O614" s="537"/>
      <c r="P614" s="559" t="s">
        <v>828</v>
      </c>
      <c r="Q614" s="539"/>
      <c r="R614" s="516"/>
      <c r="S614" s="516"/>
      <c r="T614" s="516"/>
      <c r="U614" s="516" t="s">
        <v>874</v>
      </c>
      <c r="V614" s="559" t="s">
        <v>3680</v>
      </c>
      <c r="W614" s="541" t="s">
        <v>3681</v>
      </c>
      <c r="X614" s="516" t="s">
        <v>876</v>
      </c>
      <c r="Y614" s="542">
        <v>32411</v>
      </c>
      <c r="Z614" s="543">
        <f t="shared" ca="1" si="5"/>
        <v>37</v>
      </c>
      <c r="AA614" s="534" t="s">
        <v>3682</v>
      </c>
      <c r="AB614" s="516"/>
      <c r="AC614" s="516" t="s">
        <v>842</v>
      </c>
      <c r="AD614" s="516" t="s">
        <v>843</v>
      </c>
      <c r="AE614" s="534" t="s">
        <v>713</v>
      </c>
      <c r="AF614" s="534" t="s">
        <v>713</v>
      </c>
      <c r="AG614" s="534" t="s">
        <v>1294</v>
      </c>
      <c r="AH614" s="516" t="s">
        <v>1571</v>
      </c>
      <c r="AI614" s="516" t="s">
        <v>4459</v>
      </c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3683</v>
      </c>
      <c r="E615" s="516">
        <f t="shared" si="4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48" t="s">
        <v>938</v>
      </c>
      <c r="Q615" s="539"/>
      <c r="R615" s="516" t="s">
        <v>49</v>
      </c>
      <c r="S615" s="516" t="s">
        <v>168</v>
      </c>
      <c r="T615" s="516"/>
      <c r="U615" s="516" t="s">
        <v>874</v>
      </c>
      <c r="V615" s="548" t="s">
        <v>3685</v>
      </c>
      <c r="W615" s="541" t="s">
        <v>3686</v>
      </c>
      <c r="X615" s="516" t="s">
        <v>876</v>
      </c>
      <c r="Y615" s="542">
        <v>33871</v>
      </c>
      <c r="Z615" s="543">
        <f t="shared" ca="1" si="5"/>
        <v>33</v>
      </c>
      <c r="AA615" s="534" t="s">
        <v>3687</v>
      </c>
      <c r="AB615" s="516"/>
      <c r="AC615" s="516" t="s">
        <v>842</v>
      </c>
      <c r="AD615" s="516" t="s">
        <v>843</v>
      </c>
      <c r="AE615" s="534" t="s">
        <v>1256</v>
      </c>
      <c r="AF615" s="534" t="s">
        <v>1256</v>
      </c>
      <c r="AG615" s="534"/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3684</v>
      </c>
      <c r="E616" s="516">
        <f t="shared" si="4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 t="s">
        <v>62</v>
      </c>
      <c r="S616" s="516" t="s">
        <v>548</v>
      </c>
      <c r="T616" s="516"/>
      <c r="U616" s="516" t="s">
        <v>874</v>
      </c>
      <c r="V616" s="538" t="s">
        <v>596</v>
      </c>
      <c r="W616" s="541" t="s">
        <v>3689</v>
      </c>
      <c r="X616" s="516" t="s">
        <v>876</v>
      </c>
      <c r="Y616" s="542">
        <v>35425</v>
      </c>
      <c r="Z616" s="543">
        <f t="shared" ca="1" si="5"/>
        <v>29</v>
      </c>
      <c r="AA616" s="534" t="s">
        <v>3690</v>
      </c>
      <c r="AB616" s="516"/>
      <c r="AC616" s="516" t="s">
        <v>842</v>
      </c>
      <c r="AD616" s="516" t="s">
        <v>843</v>
      </c>
      <c r="AE616" s="534" t="s">
        <v>713</v>
      </c>
      <c r="AF616" s="566" t="s">
        <v>713</v>
      </c>
      <c r="AG616" s="534" t="s">
        <v>3692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3693</v>
      </c>
      <c r="E617" s="516">
        <f t="shared" si="4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615</v>
      </c>
      <c r="W617" s="541" t="s">
        <v>3694</v>
      </c>
      <c r="X617" s="516" t="s">
        <v>876</v>
      </c>
      <c r="Y617" s="542">
        <v>35131</v>
      </c>
      <c r="Z617" s="543">
        <f t="shared" ca="1" si="5"/>
        <v>29</v>
      </c>
      <c r="AA617" s="534" t="s">
        <v>3695</v>
      </c>
      <c r="AB617" s="516"/>
      <c r="AC617" s="516" t="s">
        <v>842</v>
      </c>
      <c r="AD617" s="516" t="s">
        <v>843</v>
      </c>
      <c r="AE617" s="534" t="s">
        <v>1256</v>
      </c>
      <c r="AF617" s="534" t="s">
        <v>1256</v>
      </c>
      <c r="AG617" s="534" t="s">
        <v>2768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3697</v>
      </c>
      <c r="E618" s="516">
        <f t="shared" si="4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633</v>
      </c>
      <c r="W618" s="541" t="s">
        <v>3698</v>
      </c>
      <c r="X618" s="516" t="s">
        <v>876</v>
      </c>
      <c r="Y618" s="542">
        <v>31175</v>
      </c>
      <c r="Z618" s="543">
        <f t="shared" ca="1" si="5"/>
        <v>40</v>
      </c>
      <c r="AA618" s="534" t="s">
        <v>3699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3701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3702</v>
      </c>
      <c r="E619" s="516">
        <f t="shared" si="4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652</v>
      </c>
      <c r="W619" s="541" t="s">
        <v>3703</v>
      </c>
      <c r="X619" s="516" t="s">
        <v>876</v>
      </c>
      <c r="Y619" s="542">
        <v>31279</v>
      </c>
      <c r="Z619" s="543">
        <f t="shared" ca="1" si="5"/>
        <v>40</v>
      </c>
      <c r="AA619" s="534" t="s">
        <v>3704</v>
      </c>
      <c r="AB619" s="516"/>
      <c r="AC619" s="516" t="s">
        <v>842</v>
      </c>
      <c r="AD619" s="516" t="s">
        <v>843</v>
      </c>
      <c r="AE619" s="534" t="s">
        <v>713</v>
      </c>
      <c r="AF619" s="566" t="s">
        <v>713</v>
      </c>
      <c r="AG619" s="534" t="s">
        <v>3705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3706</v>
      </c>
      <c r="E620" s="516">
        <f t="shared" si="4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38" t="s">
        <v>938</v>
      </c>
      <c r="Q620" s="539"/>
      <c r="R620" s="516"/>
      <c r="S620" s="516"/>
      <c r="T620" s="516"/>
      <c r="U620" s="516" t="s">
        <v>874</v>
      </c>
      <c r="V620" s="538" t="s">
        <v>670</v>
      </c>
      <c r="W620" s="541" t="s">
        <v>3707</v>
      </c>
      <c r="X620" s="516" t="s">
        <v>876</v>
      </c>
      <c r="Y620" s="542">
        <v>34479</v>
      </c>
      <c r="Z620" s="543">
        <f t="shared" ca="1" si="5"/>
        <v>31</v>
      </c>
      <c r="AA620" s="534" t="s">
        <v>3708</v>
      </c>
      <c r="AB620" s="516"/>
      <c r="AC620" s="516" t="s">
        <v>842</v>
      </c>
      <c r="AD620" s="516" t="s">
        <v>843</v>
      </c>
      <c r="AE620" s="534" t="s">
        <v>713</v>
      </c>
      <c r="AF620" s="566" t="s">
        <v>713</v>
      </c>
      <c r="AG620" s="534" t="s">
        <v>3692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3710</v>
      </c>
      <c r="E621" s="516">
        <f t="shared" si="4"/>
        <v>564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1186</v>
      </c>
      <c r="L621" s="535" t="s">
        <v>3683</v>
      </c>
      <c r="M621" s="536"/>
      <c r="N621" s="537"/>
      <c r="O621" s="537"/>
      <c r="P621" s="559" t="s">
        <v>938</v>
      </c>
      <c r="Q621" s="539"/>
      <c r="R621" s="516"/>
      <c r="S621" s="516"/>
      <c r="T621" s="516"/>
      <c r="U621" s="516" t="s">
        <v>874</v>
      </c>
      <c r="V621" s="559" t="s">
        <v>684</v>
      </c>
      <c r="W621" s="541" t="s">
        <v>3711</v>
      </c>
      <c r="X621" s="516" t="s">
        <v>876</v>
      </c>
      <c r="Y621" s="542" t="s">
        <v>3712</v>
      </c>
      <c r="Z621" s="543">
        <f t="shared" ca="1" si="5"/>
        <v>25</v>
      </c>
      <c r="AA621" s="534" t="s">
        <v>3713</v>
      </c>
      <c r="AB621" s="516"/>
      <c r="AC621" s="516" t="s">
        <v>842</v>
      </c>
      <c r="AD621" s="516" t="s">
        <v>843</v>
      </c>
      <c r="AE621" s="534" t="s">
        <v>713</v>
      </c>
      <c r="AF621" s="566" t="s">
        <v>713</v>
      </c>
      <c r="AG621" s="534" t="s">
        <v>3715</v>
      </c>
      <c r="AH621" s="516"/>
      <c r="AI621" s="516"/>
      <c r="AJ621" s="516" t="s">
        <v>976</v>
      </c>
      <c r="AK621" s="516"/>
      <c r="AL621" s="544"/>
      <c r="AM621" s="544"/>
    </row>
    <row r="622" spans="3:39" ht="18" customHeight="1">
      <c r="C622" s="516">
        <v>602</v>
      </c>
      <c r="D622" s="516" t="s">
        <v>1194</v>
      </c>
      <c r="E622" s="516">
        <f t="shared" si="4"/>
        <v>564</v>
      </c>
      <c r="F622" s="534"/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48" t="s">
        <v>978</v>
      </c>
      <c r="Q622" s="539"/>
      <c r="R622" s="516" t="s">
        <v>49</v>
      </c>
      <c r="S622" s="516" t="s">
        <v>168</v>
      </c>
      <c r="T622" s="516"/>
      <c r="U622" s="516"/>
      <c r="V622" s="548" t="s">
        <v>294</v>
      </c>
      <c r="W622" s="541" t="s">
        <v>1195</v>
      </c>
      <c r="X622" s="516" t="s">
        <v>876</v>
      </c>
      <c r="Y622" s="542">
        <v>25307</v>
      </c>
      <c r="Z622" s="543">
        <f t="shared" ca="1" si="5"/>
        <v>56</v>
      </c>
      <c r="AA622" s="534" t="s">
        <v>1196</v>
      </c>
      <c r="AB622" s="516"/>
      <c r="AC622" s="516" t="s">
        <v>802</v>
      </c>
      <c r="AD622" s="516" t="s">
        <v>794</v>
      </c>
      <c r="AE622" s="534" t="s">
        <v>713</v>
      </c>
      <c r="AF622" s="534" t="s">
        <v>1163</v>
      </c>
      <c r="AG622" s="534" t="s">
        <v>1164</v>
      </c>
      <c r="AH622" s="516" t="s">
        <v>872</v>
      </c>
      <c r="AI622" s="516"/>
      <c r="AJ622" s="516"/>
      <c r="AK622" s="516"/>
      <c r="AL622" s="544"/>
      <c r="AM622" s="544"/>
    </row>
    <row r="623" spans="3:39" ht="18" customHeight="1">
      <c r="C623" s="516">
        <v>603</v>
      </c>
      <c r="D623" s="516" t="s">
        <v>3716</v>
      </c>
      <c r="E623" s="516">
        <f t="shared" si="4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 t="s">
        <v>62</v>
      </c>
      <c r="S623" s="516" t="s">
        <v>548</v>
      </c>
      <c r="T623" s="516"/>
      <c r="U623" s="516" t="s">
        <v>874</v>
      </c>
      <c r="V623" s="538" t="s">
        <v>597</v>
      </c>
      <c r="W623" s="541" t="s">
        <v>3718</v>
      </c>
      <c r="X623" s="516" t="s">
        <v>876</v>
      </c>
      <c r="Y623" s="542">
        <v>27337</v>
      </c>
      <c r="Z623" s="543">
        <f t="shared" ca="1" si="5"/>
        <v>51</v>
      </c>
      <c r="AA623" s="534" t="s">
        <v>3719</v>
      </c>
      <c r="AB623" s="516"/>
      <c r="AC623" s="516" t="s">
        <v>842</v>
      </c>
      <c r="AD623" s="516" t="s">
        <v>843</v>
      </c>
      <c r="AE623" s="534" t="s">
        <v>815</v>
      </c>
      <c r="AF623" s="606" t="s">
        <v>815</v>
      </c>
      <c r="AG623" s="534" t="s">
        <v>1352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3721</v>
      </c>
      <c r="E624" s="516">
        <f t="shared" si="4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616</v>
      </c>
      <c r="W624" s="541" t="s">
        <v>3722</v>
      </c>
      <c r="X624" s="516" t="s">
        <v>876</v>
      </c>
      <c r="Y624" s="542">
        <v>26046</v>
      </c>
      <c r="Z624" s="543">
        <f t="shared" ca="1" si="5"/>
        <v>54</v>
      </c>
      <c r="AA624" s="534" t="s">
        <v>3723</v>
      </c>
      <c r="AB624" s="516"/>
      <c r="AC624" s="516" t="s">
        <v>842</v>
      </c>
      <c r="AD624" s="516" t="s">
        <v>843</v>
      </c>
      <c r="AE624" s="534" t="s">
        <v>713</v>
      </c>
      <c r="AF624" s="566" t="s">
        <v>713</v>
      </c>
      <c r="AG624" s="534" t="s">
        <v>3724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3725</v>
      </c>
      <c r="E625" s="516">
        <f t="shared" si="4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634</v>
      </c>
      <c r="W625" s="541" t="s">
        <v>3726</v>
      </c>
      <c r="X625" s="516" t="s">
        <v>876</v>
      </c>
      <c r="Y625" s="542">
        <v>26397</v>
      </c>
      <c r="Z625" s="543">
        <f t="shared" ca="1" si="5"/>
        <v>53</v>
      </c>
      <c r="AA625" s="534" t="s">
        <v>3727</v>
      </c>
      <c r="AB625" s="516"/>
      <c r="AC625" s="516" t="s">
        <v>842</v>
      </c>
      <c r="AD625" s="516" t="s">
        <v>843</v>
      </c>
      <c r="AE625" s="534" t="s">
        <v>713</v>
      </c>
      <c r="AF625" s="606" t="s">
        <v>815</v>
      </c>
      <c r="AG625" s="534" t="s">
        <v>3729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3730</v>
      </c>
      <c r="E626" s="516">
        <f t="shared" si="4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653</v>
      </c>
      <c r="W626" s="541" t="s">
        <v>3731</v>
      </c>
      <c r="X626" s="516" t="s">
        <v>876</v>
      </c>
      <c r="Y626" s="542">
        <v>26636</v>
      </c>
      <c r="Z626" s="543">
        <f t="shared" ca="1" si="5"/>
        <v>53</v>
      </c>
      <c r="AA626" s="534" t="s">
        <v>3732</v>
      </c>
      <c r="AB626" s="516"/>
      <c r="AC626" s="516" t="s">
        <v>842</v>
      </c>
      <c r="AD626" s="516" t="s">
        <v>843</v>
      </c>
      <c r="AE626" s="534" t="s">
        <v>713</v>
      </c>
      <c r="AF626" s="534" t="s">
        <v>713</v>
      </c>
      <c r="AG626" s="534" t="s">
        <v>3734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3735</v>
      </c>
      <c r="E627" s="516">
        <f t="shared" si="4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685</v>
      </c>
      <c r="W627" s="541" t="s">
        <v>3736</v>
      </c>
      <c r="X627" s="516" t="s">
        <v>876</v>
      </c>
      <c r="Y627" s="542">
        <v>27745</v>
      </c>
      <c r="Z627" s="543">
        <f t="shared" ca="1" si="5"/>
        <v>50</v>
      </c>
      <c r="AA627" s="534" t="s">
        <v>3737</v>
      </c>
      <c r="AB627" s="516"/>
      <c r="AC627" s="516" t="s">
        <v>842</v>
      </c>
      <c r="AD627" s="516" t="s">
        <v>843</v>
      </c>
      <c r="AE627" s="534" t="s">
        <v>2208</v>
      </c>
      <c r="AF627" s="534" t="s">
        <v>2208</v>
      </c>
      <c r="AG627" s="534" t="s">
        <v>3739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3740</v>
      </c>
      <c r="E628" s="516">
        <f t="shared" si="4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694</v>
      </c>
      <c r="W628" s="541" t="s">
        <v>3741</v>
      </c>
      <c r="X628" s="516" t="s">
        <v>876</v>
      </c>
      <c r="Y628" s="542">
        <v>28463</v>
      </c>
      <c r="Z628" s="543">
        <f t="shared" ca="1" si="5"/>
        <v>48</v>
      </c>
      <c r="AA628" s="534" t="s">
        <v>3742</v>
      </c>
      <c r="AB628" s="516"/>
      <c r="AC628" s="516" t="s">
        <v>842</v>
      </c>
      <c r="AD628" s="516" t="s">
        <v>843</v>
      </c>
      <c r="AE628" s="534" t="s">
        <v>713</v>
      </c>
      <c r="AF628" s="566" t="s">
        <v>713</v>
      </c>
      <c r="AG628" s="534" t="s">
        <v>3744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3745</v>
      </c>
      <c r="E629" s="516">
        <f t="shared" si="4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3746</v>
      </c>
      <c r="W629" s="541" t="s">
        <v>3747</v>
      </c>
      <c r="X629" s="516" t="s">
        <v>876</v>
      </c>
      <c r="Y629" s="542">
        <v>29857</v>
      </c>
      <c r="Z629" s="543">
        <f t="shared" ca="1" si="5"/>
        <v>44</v>
      </c>
      <c r="AA629" s="534" t="s">
        <v>3748</v>
      </c>
      <c r="AB629" s="516"/>
      <c r="AC629" s="516" t="s">
        <v>842</v>
      </c>
      <c r="AD629" s="516" t="s">
        <v>843</v>
      </c>
      <c r="AE629" s="534" t="s">
        <v>236</v>
      </c>
      <c r="AF629" s="534" t="s">
        <v>236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3750</v>
      </c>
      <c r="E630" s="516">
        <f t="shared" si="4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 t="s">
        <v>308</v>
      </c>
      <c r="R630" s="516"/>
      <c r="S630" s="516"/>
      <c r="T630" s="516"/>
      <c r="U630" s="516" t="s">
        <v>874</v>
      </c>
      <c r="V630" s="538" t="s">
        <v>3751</v>
      </c>
      <c r="W630" s="541" t="s">
        <v>3752</v>
      </c>
      <c r="X630" s="516" t="s">
        <v>876</v>
      </c>
      <c r="Y630" s="542">
        <v>30123</v>
      </c>
      <c r="Z630" s="543">
        <f t="shared" ca="1" si="5"/>
        <v>43</v>
      </c>
      <c r="AA630" s="534" t="s">
        <v>3753</v>
      </c>
      <c r="AB630" s="516"/>
      <c r="AC630" s="516" t="s">
        <v>842</v>
      </c>
      <c r="AD630" s="516" t="s">
        <v>843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3755</v>
      </c>
      <c r="E631" s="516">
        <f t="shared" si="4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59" t="s">
        <v>978</v>
      </c>
      <c r="Q631" s="539" t="s">
        <v>308</v>
      </c>
      <c r="R631" s="516"/>
      <c r="S631" s="516"/>
      <c r="T631" s="516"/>
      <c r="U631" s="516" t="s">
        <v>874</v>
      </c>
      <c r="V631" s="559" t="s">
        <v>3756</v>
      </c>
      <c r="W631" s="541" t="s">
        <v>3757</v>
      </c>
      <c r="X631" s="516" t="s">
        <v>876</v>
      </c>
      <c r="Y631" s="542">
        <v>30594</v>
      </c>
      <c r="Z631" s="543">
        <f t="shared" ca="1" si="5"/>
        <v>42</v>
      </c>
      <c r="AA631" s="534" t="s">
        <v>3758</v>
      </c>
      <c r="AB631" s="516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1597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3760</v>
      </c>
      <c r="E632" s="516">
        <f t="shared" si="4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48" t="s">
        <v>1011</v>
      </c>
      <c r="Q632" s="539"/>
      <c r="R632" s="516" t="s">
        <v>49</v>
      </c>
      <c r="S632" s="516" t="s">
        <v>168</v>
      </c>
      <c r="T632" s="516"/>
      <c r="U632" s="516" t="s">
        <v>874</v>
      </c>
      <c r="V632" s="548" t="s">
        <v>590</v>
      </c>
      <c r="W632" s="541" t="s">
        <v>3762</v>
      </c>
      <c r="X632" s="516" t="s">
        <v>876</v>
      </c>
      <c r="Y632" s="542">
        <v>21524</v>
      </c>
      <c r="Z632" s="543">
        <f t="shared" ca="1" si="5"/>
        <v>67</v>
      </c>
      <c r="AA632" s="534" t="s">
        <v>3763</v>
      </c>
      <c r="AB632" s="516"/>
      <c r="AC632" s="516" t="s">
        <v>802</v>
      </c>
      <c r="AD632" s="516" t="s">
        <v>794</v>
      </c>
      <c r="AE632" s="534" t="s">
        <v>713</v>
      </c>
      <c r="AF632" s="566" t="s">
        <v>713</v>
      </c>
      <c r="AG632" s="534" t="s">
        <v>3765</v>
      </c>
      <c r="AH632" s="516"/>
      <c r="AI632" s="516"/>
      <c r="AJ632" s="516" t="s">
        <v>867</v>
      </c>
      <c r="AK632" s="516"/>
      <c r="AL632" s="544"/>
      <c r="AM632" s="544"/>
    </row>
    <row r="633" spans="3:39" ht="18" customHeight="1">
      <c r="C633" s="516">
        <v>614</v>
      </c>
      <c r="D633" s="516" t="s">
        <v>3761</v>
      </c>
      <c r="E633" s="516">
        <f t="shared" si="4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617</v>
      </c>
      <c r="W633" s="541" t="s">
        <v>3766</v>
      </c>
      <c r="X633" s="516" t="s">
        <v>876</v>
      </c>
      <c r="Y633" s="542">
        <v>25485</v>
      </c>
      <c r="Z633" s="543">
        <f t="shared" ca="1" si="5"/>
        <v>56</v>
      </c>
      <c r="AA633" s="534" t="s">
        <v>3767</v>
      </c>
      <c r="AB633" s="516"/>
      <c r="AC633" s="516" t="s">
        <v>842</v>
      </c>
      <c r="AD633" s="516" t="s">
        <v>843</v>
      </c>
      <c r="AE633" s="534" t="s">
        <v>713</v>
      </c>
      <c r="AF633" s="566" t="s">
        <v>713</v>
      </c>
      <c r="AG633" s="534" t="s">
        <v>1427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3769</v>
      </c>
      <c r="E634" s="516">
        <f t="shared" si="4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38" t="s">
        <v>1011</v>
      </c>
      <c r="Q634" s="539" t="s">
        <v>308</v>
      </c>
      <c r="R634" s="516"/>
      <c r="S634" s="516"/>
      <c r="T634" s="516"/>
      <c r="U634" s="516" t="s">
        <v>874</v>
      </c>
      <c r="V634" s="538" t="s">
        <v>598</v>
      </c>
      <c r="W634" s="541" t="s">
        <v>3770</v>
      </c>
      <c r="X634" s="516" t="s">
        <v>876</v>
      </c>
      <c r="Y634" s="542">
        <v>21286</v>
      </c>
      <c r="Z634" s="543">
        <f t="shared" ca="1" si="5"/>
        <v>67</v>
      </c>
      <c r="AA634" s="534" t="s">
        <v>3771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741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3773</v>
      </c>
      <c r="E635" s="516">
        <f t="shared" si="4"/>
        <v>577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3760</v>
      </c>
      <c r="L635" s="535" t="s">
        <v>3761</v>
      </c>
      <c r="M635" s="536"/>
      <c r="N635" s="537"/>
      <c r="O635" s="537"/>
      <c r="P635" s="559" t="s">
        <v>1011</v>
      </c>
      <c r="Q635" s="539" t="s">
        <v>308</v>
      </c>
      <c r="R635" s="516"/>
      <c r="S635" s="516"/>
      <c r="T635" s="516"/>
      <c r="U635" s="516" t="s">
        <v>874</v>
      </c>
      <c r="V635" s="559" t="s">
        <v>635</v>
      </c>
      <c r="W635" s="541" t="s">
        <v>3774</v>
      </c>
      <c r="X635" s="516" t="s">
        <v>876</v>
      </c>
      <c r="Y635" s="542">
        <v>26525</v>
      </c>
      <c r="Z635" s="543">
        <f t="shared" ca="1" si="5"/>
        <v>53</v>
      </c>
      <c r="AA635" s="534" t="s">
        <v>3775</v>
      </c>
      <c r="AB635" s="516"/>
      <c r="AC635" s="516" t="s">
        <v>842</v>
      </c>
      <c r="AD635" s="516" t="s">
        <v>843</v>
      </c>
      <c r="AE635" s="534" t="s">
        <v>713</v>
      </c>
      <c r="AF635" s="566" t="s">
        <v>713</v>
      </c>
      <c r="AG635" s="534" t="s">
        <v>3777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1178</v>
      </c>
      <c r="E636" s="516">
        <f t="shared" si="4"/>
        <v>577</v>
      </c>
      <c r="F636" s="534"/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48" t="s">
        <v>1041</v>
      </c>
      <c r="Q636" s="539"/>
      <c r="R636" s="516" t="s">
        <v>163</v>
      </c>
      <c r="S636" s="516" t="s">
        <v>500</v>
      </c>
      <c r="T636" s="516"/>
      <c r="U636" s="516"/>
      <c r="V636" s="548" t="s">
        <v>243</v>
      </c>
      <c r="W636" s="541" t="s">
        <v>3799</v>
      </c>
      <c r="X636" s="516" t="s">
        <v>876</v>
      </c>
      <c r="Y636" s="542">
        <v>20283</v>
      </c>
      <c r="Z636" s="543">
        <f t="shared" ca="1" si="5"/>
        <v>70</v>
      </c>
      <c r="AA636" s="534" t="s">
        <v>1180</v>
      </c>
      <c r="AB636" s="516"/>
      <c r="AC636" s="516" t="s">
        <v>802</v>
      </c>
      <c r="AD636" s="516" t="s">
        <v>794</v>
      </c>
      <c r="AE636" s="534" t="s">
        <v>713</v>
      </c>
      <c r="AF636" s="534" t="s">
        <v>1163</v>
      </c>
      <c r="AG636" s="534" t="s">
        <v>1164</v>
      </c>
      <c r="AH636" s="516" t="s">
        <v>872</v>
      </c>
      <c r="AI636" s="516"/>
      <c r="AJ636" s="516"/>
      <c r="AK636" s="516"/>
      <c r="AL636" s="544"/>
      <c r="AM636" s="544"/>
    </row>
    <row r="637" spans="3:39" ht="18" customHeight="1">
      <c r="C637" s="516">
        <v>617</v>
      </c>
      <c r="D637" s="516" t="s">
        <v>3797</v>
      </c>
      <c r="E637" s="516">
        <f t="shared" si="4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 t="s">
        <v>62</v>
      </c>
      <c r="S637" s="516" t="s">
        <v>548</v>
      </c>
      <c r="T637" s="516"/>
      <c r="U637" s="516" t="s">
        <v>874</v>
      </c>
      <c r="V637" s="538" t="s">
        <v>599</v>
      </c>
      <c r="W637" s="541" t="s">
        <v>3800</v>
      </c>
      <c r="X637" s="516" t="s">
        <v>876</v>
      </c>
      <c r="Y637" s="542">
        <v>26069</v>
      </c>
      <c r="Z637" s="543">
        <f t="shared" ca="1" si="5"/>
        <v>54</v>
      </c>
      <c r="AA637" s="534" t="s">
        <v>3801</v>
      </c>
      <c r="AB637" s="516"/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66" t="s">
        <v>1313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3803</v>
      </c>
      <c r="E638" s="516">
        <f t="shared" si="4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618</v>
      </c>
      <c r="W638" s="541" t="s">
        <v>3804</v>
      </c>
      <c r="X638" s="516" t="s">
        <v>876</v>
      </c>
      <c r="Y638" s="542">
        <v>21767</v>
      </c>
      <c r="Z638" s="543">
        <f t="shared" ca="1" si="5"/>
        <v>66</v>
      </c>
      <c r="AA638" s="534" t="s">
        <v>3805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1229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3807</v>
      </c>
      <c r="E639" s="516">
        <f t="shared" si="4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636</v>
      </c>
      <c r="W639" s="541" t="s">
        <v>3808</v>
      </c>
      <c r="X639" s="516" t="s">
        <v>876</v>
      </c>
      <c r="Y639" s="542">
        <v>21805</v>
      </c>
      <c r="Z639" s="543">
        <f t="shared" ca="1" si="5"/>
        <v>66</v>
      </c>
      <c r="AA639" s="534" t="s">
        <v>3809</v>
      </c>
      <c r="AB639" s="516"/>
      <c r="AC639" s="516" t="s">
        <v>842</v>
      </c>
      <c r="AD639" s="516" t="s">
        <v>843</v>
      </c>
      <c r="AE639" s="534" t="s">
        <v>713</v>
      </c>
      <c r="AF639" s="566" t="s">
        <v>713</v>
      </c>
      <c r="AG639" s="566" t="s">
        <v>1313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3811</v>
      </c>
      <c r="E640" s="516">
        <f t="shared" si="4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655</v>
      </c>
      <c r="W640" s="541" t="s">
        <v>3812</v>
      </c>
      <c r="X640" s="516" t="s">
        <v>876</v>
      </c>
      <c r="Y640" s="542">
        <v>22122</v>
      </c>
      <c r="Z640" s="543">
        <f t="shared" ca="1" si="5"/>
        <v>65</v>
      </c>
      <c r="AA640" s="534" t="s">
        <v>3813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1431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3815</v>
      </c>
      <c r="E641" s="516">
        <f t="shared" si="4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672</v>
      </c>
      <c r="W641" s="541" t="s">
        <v>3816</v>
      </c>
      <c r="X641" s="516" t="s">
        <v>876</v>
      </c>
      <c r="Y641" s="542">
        <v>23390</v>
      </c>
      <c r="Z641" s="543">
        <f t="shared" ca="1" si="5"/>
        <v>62</v>
      </c>
      <c r="AA641" s="534" t="s">
        <v>3817</v>
      </c>
      <c r="AB641" s="516"/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1361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3798</v>
      </c>
      <c r="E642" s="516">
        <f t="shared" si="4"/>
        <v>583</v>
      </c>
      <c r="F642" s="534" t="s">
        <v>811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687</v>
      </c>
      <c r="W642" s="541" t="s">
        <v>3819</v>
      </c>
      <c r="X642" s="516" t="s">
        <v>876</v>
      </c>
      <c r="Y642" s="542">
        <v>26671</v>
      </c>
      <c r="Z642" s="543">
        <f t="shared" ca="1" si="5"/>
        <v>53</v>
      </c>
      <c r="AA642" s="534" t="s">
        <v>3820</v>
      </c>
      <c r="AB642" s="516"/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66" t="s">
        <v>1313</v>
      </c>
      <c r="AH642" s="516"/>
      <c r="AI642" s="516"/>
      <c r="AJ642" s="516" t="s">
        <v>1497</v>
      </c>
      <c r="AK642" s="516"/>
      <c r="AL642" s="544"/>
      <c r="AM642" s="544"/>
    </row>
    <row r="643" spans="3:39" ht="18" customHeight="1">
      <c r="C643" s="516">
        <v>623</v>
      </c>
      <c r="D643" s="516" t="s">
        <v>3822</v>
      </c>
      <c r="E643" s="516">
        <f t="shared" si="4"/>
        <v>584</v>
      </c>
      <c r="F643" s="534" t="s">
        <v>1310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38" t="s">
        <v>1041</v>
      </c>
      <c r="Q643" s="539" t="s">
        <v>308</v>
      </c>
      <c r="R643" s="516"/>
      <c r="S643" s="516"/>
      <c r="T643" s="516"/>
      <c r="U643" s="516" t="s">
        <v>874</v>
      </c>
      <c r="V643" s="538" t="s">
        <v>3823</v>
      </c>
      <c r="W643" s="541" t="s">
        <v>3824</v>
      </c>
      <c r="X643" s="516" t="s">
        <v>876</v>
      </c>
      <c r="Y643" s="542">
        <v>23348</v>
      </c>
      <c r="Z643" s="543">
        <f t="shared" ca="1" si="5"/>
        <v>62</v>
      </c>
      <c r="AA643" s="534" t="s">
        <v>3825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66" t="s">
        <v>1313</v>
      </c>
      <c r="AH643" s="516"/>
      <c r="AI643" s="516"/>
      <c r="AJ643" s="593" t="s">
        <v>1950</v>
      </c>
      <c r="AK643" s="516"/>
      <c r="AL643" s="544"/>
      <c r="AM643" s="544"/>
    </row>
    <row r="644" spans="3:39" ht="18" customHeight="1">
      <c r="C644" s="516">
        <v>624</v>
      </c>
      <c r="D644" s="516" t="s">
        <v>3827</v>
      </c>
      <c r="E644" s="516">
        <f t="shared" si="4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1178</v>
      </c>
      <c r="L644" s="535" t="s">
        <v>3797</v>
      </c>
      <c r="M644" s="536"/>
      <c r="N644" s="537"/>
      <c r="O644" s="537"/>
      <c r="P644" s="559" t="s">
        <v>1041</v>
      </c>
      <c r="Q644" s="539" t="s">
        <v>308</v>
      </c>
      <c r="R644" s="516"/>
      <c r="S644" s="516"/>
      <c r="T644" s="516"/>
      <c r="U644" s="516" t="s">
        <v>874</v>
      </c>
      <c r="V644" s="559" t="s">
        <v>3828</v>
      </c>
      <c r="W644" s="541" t="s">
        <v>3829</v>
      </c>
      <c r="X644" s="516" t="s">
        <v>876</v>
      </c>
      <c r="Y644" s="542">
        <v>25538</v>
      </c>
      <c r="Z644" s="543">
        <f t="shared" ca="1" si="5"/>
        <v>56</v>
      </c>
      <c r="AA644" s="534" t="s">
        <v>3830</v>
      </c>
      <c r="AB644" s="516"/>
      <c r="AC644" s="516" t="s">
        <v>842</v>
      </c>
      <c r="AD644" s="516" t="s">
        <v>843</v>
      </c>
      <c r="AE644" s="534" t="s">
        <v>713</v>
      </c>
      <c r="AF644" s="534" t="s">
        <v>713</v>
      </c>
      <c r="AG644" s="534" t="s">
        <v>1781</v>
      </c>
      <c r="AH644" s="516" t="s">
        <v>1571</v>
      </c>
      <c r="AI644" s="516" t="s">
        <v>3831</v>
      </c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3840</v>
      </c>
      <c r="E645" s="516">
        <f t="shared" si="4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48" t="s">
        <v>1077</v>
      </c>
      <c r="Q645" s="539"/>
      <c r="R645" s="516" t="s">
        <v>49</v>
      </c>
      <c r="S645" s="516" t="s">
        <v>168</v>
      </c>
      <c r="T645" s="516"/>
      <c r="U645" s="516" t="s">
        <v>874</v>
      </c>
      <c r="V645" s="548" t="s">
        <v>591</v>
      </c>
      <c r="W645" s="541" t="s">
        <v>3842</v>
      </c>
      <c r="X645" s="516" t="s">
        <v>876</v>
      </c>
      <c r="Y645" s="542">
        <v>28783</v>
      </c>
      <c r="Z645" s="543">
        <f t="shared" ca="1" si="5"/>
        <v>47</v>
      </c>
      <c r="AA645" s="534" t="s">
        <v>3843</v>
      </c>
      <c r="AB645" s="516"/>
      <c r="AC645" s="516" t="s">
        <v>842</v>
      </c>
      <c r="AD645" s="516" t="s">
        <v>843</v>
      </c>
      <c r="AE645" s="534" t="s">
        <v>713</v>
      </c>
      <c r="AF645" s="534" t="s">
        <v>1400</v>
      </c>
      <c r="AG645" s="534" t="s">
        <v>3845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3850</v>
      </c>
      <c r="E646" s="516">
        <f t="shared" si="4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898</v>
      </c>
      <c r="V646" s="538" t="s">
        <v>600</v>
      </c>
      <c r="W646" s="541" t="s">
        <v>3851</v>
      </c>
      <c r="X646" s="516" t="s">
        <v>876</v>
      </c>
      <c r="Y646" s="542">
        <v>19196</v>
      </c>
      <c r="Z646" s="543">
        <f t="shared" ca="1" si="5"/>
        <v>73</v>
      </c>
      <c r="AA646" s="534" t="s">
        <v>3852</v>
      </c>
      <c r="AB646" s="516"/>
      <c r="AC646" s="516" t="s">
        <v>842</v>
      </c>
      <c r="AD646" s="573" t="s">
        <v>851</v>
      </c>
      <c r="AE646" s="534" t="s">
        <v>1289</v>
      </c>
      <c r="AF646" s="534" t="s">
        <v>1289</v>
      </c>
      <c r="AG646" s="534" t="s">
        <v>3854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3841</v>
      </c>
      <c r="E647" s="516">
        <f t="shared" si="4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38" t="s">
        <v>1077</v>
      </c>
      <c r="Q647" s="539"/>
      <c r="R647" s="516"/>
      <c r="S647" s="516"/>
      <c r="T647" s="516"/>
      <c r="U647" s="516" t="s">
        <v>874</v>
      </c>
      <c r="V647" s="538" t="s">
        <v>619</v>
      </c>
      <c r="W647" s="541" t="s">
        <v>3846</v>
      </c>
      <c r="X647" s="516" t="s">
        <v>876</v>
      </c>
      <c r="Y647" s="542">
        <v>22484</v>
      </c>
      <c r="Z647" s="543">
        <f t="shared" ca="1" si="5"/>
        <v>64</v>
      </c>
      <c r="AA647" s="534" t="s">
        <v>3847</v>
      </c>
      <c r="AB647" s="516"/>
      <c r="AC647" s="516" t="s">
        <v>842</v>
      </c>
      <c r="AD647" s="516" t="s">
        <v>843</v>
      </c>
      <c r="AE647" s="534" t="s">
        <v>713</v>
      </c>
      <c r="AF647" s="534" t="s">
        <v>1256</v>
      </c>
      <c r="AG647" s="534" t="s">
        <v>3849</v>
      </c>
      <c r="AH647" s="516"/>
      <c r="AI647" s="516"/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3855</v>
      </c>
      <c r="E648" s="516">
        <f t="shared" si="4"/>
        <v>589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3840</v>
      </c>
      <c r="L648" s="535"/>
      <c r="M648" s="536"/>
      <c r="N648" s="537"/>
      <c r="O648" s="537"/>
      <c r="P648" s="559" t="s">
        <v>1077</v>
      </c>
      <c r="Q648" s="539"/>
      <c r="R648" s="516"/>
      <c r="S648" s="516"/>
      <c r="T648" s="516"/>
      <c r="U648" s="516" t="s">
        <v>874</v>
      </c>
      <c r="V648" s="559" t="s">
        <v>656</v>
      </c>
      <c r="W648" s="541" t="s">
        <v>3856</v>
      </c>
      <c r="X648" s="516" t="s">
        <v>876</v>
      </c>
      <c r="Y648" s="542">
        <v>26250</v>
      </c>
      <c r="Z648" s="543">
        <f t="shared" ca="1" si="5"/>
        <v>54</v>
      </c>
      <c r="AA648" s="534" t="s">
        <v>3857</v>
      </c>
      <c r="AB648" s="516"/>
      <c r="AC648" s="516" t="s">
        <v>842</v>
      </c>
      <c r="AD648" s="516" t="s">
        <v>843</v>
      </c>
      <c r="AE648" s="534" t="s">
        <v>713</v>
      </c>
      <c r="AF648" s="566" t="s">
        <v>713</v>
      </c>
      <c r="AG648" s="534" t="s">
        <v>1718</v>
      </c>
      <c r="AH648" s="516" t="s">
        <v>1571</v>
      </c>
      <c r="AI648" s="516" t="s">
        <v>4472</v>
      </c>
      <c r="AJ648" s="516" t="s">
        <v>976</v>
      </c>
      <c r="AK648" s="516"/>
      <c r="AL648" s="544"/>
      <c r="AM648" s="544"/>
    </row>
    <row r="649" spans="3:39" ht="18" customHeight="1">
      <c r="C649" s="516">
        <v>629</v>
      </c>
      <c r="D649" s="516" t="s">
        <v>1668</v>
      </c>
      <c r="E649" s="516">
        <f t="shared" si="4"/>
        <v>589</v>
      </c>
      <c r="F649" s="534"/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786</v>
      </c>
      <c r="M649" s="536"/>
      <c r="N649" s="537"/>
      <c r="O649" s="537"/>
      <c r="P649" s="548" t="s">
        <v>1755</v>
      </c>
      <c r="Q649" s="539"/>
      <c r="R649" s="516" t="s">
        <v>49</v>
      </c>
      <c r="S649" s="516" t="s">
        <v>168</v>
      </c>
      <c r="T649" s="516"/>
      <c r="U649" s="516"/>
      <c r="V649" s="548" t="s">
        <v>288</v>
      </c>
      <c r="W649" s="541" t="s">
        <v>1669</v>
      </c>
      <c r="X649" s="516" t="s">
        <v>876</v>
      </c>
      <c r="Y649" s="542">
        <v>22549</v>
      </c>
      <c r="Z649" s="543">
        <f t="shared" ca="1" si="5"/>
        <v>64</v>
      </c>
      <c r="AA649" s="594" t="s">
        <v>1670</v>
      </c>
      <c r="AB649" s="516"/>
      <c r="AC649" s="516" t="s">
        <v>802</v>
      </c>
      <c r="AD649" s="516" t="s">
        <v>794</v>
      </c>
      <c r="AE649" s="534" t="s">
        <v>713</v>
      </c>
      <c r="AF649" s="534" t="s">
        <v>713</v>
      </c>
      <c r="AG649" s="534" t="s">
        <v>1672</v>
      </c>
      <c r="AH649" s="516" t="s">
        <v>872</v>
      </c>
      <c r="AI649" s="516"/>
      <c r="AJ649" s="516"/>
      <c r="AK649" s="516"/>
      <c r="AL649" s="544"/>
      <c r="AM649" s="544"/>
    </row>
    <row r="650" spans="3:39" ht="18" customHeight="1">
      <c r="C650" s="516">
        <v>630</v>
      </c>
      <c r="D650" s="516" t="s">
        <v>3859</v>
      </c>
      <c r="E650" s="516">
        <f t="shared" si="4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898</v>
      </c>
      <c r="V650" s="538" t="s">
        <v>601</v>
      </c>
      <c r="W650" s="541" t="s">
        <v>3861</v>
      </c>
      <c r="X650" s="516" t="s">
        <v>876</v>
      </c>
      <c r="Y650" s="542">
        <v>20098</v>
      </c>
      <c r="Z650" s="543">
        <f t="shared" ca="1" si="5"/>
        <v>71</v>
      </c>
      <c r="AA650" s="534" t="s">
        <v>3862</v>
      </c>
      <c r="AB650" s="516"/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34" t="s">
        <v>3864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3870</v>
      </c>
      <c r="E651" s="516">
        <f t="shared" si="4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 t="s">
        <v>62</v>
      </c>
      <c r="S651" s="516" t="s">
        <v>548</v>
      </c>
      <c r="T651" s="516"/>
      <c r="U651" s="516" t="s">
        <v>874</v>
      </c>
      <c r="V651" s="538" t="s">
        <v>620</v>
      </c>
      <c r="W651" s="541" t="s">
        <v>3871</v>
      </c>
      <c r="X651" s="516" t="s">
        <v>876</v>
      </c>
      <c r="Y651" s="542">
        <v>27355</v>
      </c>
      <c r="Z651" s="543">
        <f t="shared" ca="1" si="5"/>
        <v>51</v>
      </c>
      <c r="AA651" s="534" t="s">
        <v>3872</v>
      </c>
      <c r="AB651" s="516"/>
      <c r="AC651" s="516" t="s">
        <v>842</v>
      </c>
      <c r="AD651" s="516" t="s">
        <v>843</v>
      </c>
      <c r="AE651" s="534" t="s">
        <v>713</v>
      </c>
      <c r="AF651" s="566" t="s">
        <v>713</v>
      </c>
      <c r="AG651" s="534" t="s">
        <v>3874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3865</v>
      </c>
      <c r="E652" s="516">
        <f t="shared" si="4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898</v>
      </c>
      <c r="V652" s="538" t="s">
        <v>638</v>
      </c>
      <c r="W652" s="541" t="s">
        <v>3866</v>
      </c>
      <c r="X652" s="516" t="s">
        <v>876</v>
      </c>
      <c r="Y652" s="542">
        <v>15828</v>
      </c>
      <c r="Z652" s="543">
        <f t="shared" ca="1" si="5"/>
        <v>82</v>
      </c>
      <c r="AA652" s="534" t="s">
        <v>3867</v>
      </c>
      <c r="AB652" s="516"/>
      <c r="AC652" s="516" t="s">
        <v>842</v>
      </c>
      <c r="AD652" s="573" t="s">
        <v>851</v>
      </c>
      <c r="AE652" s="534" t="s">
        <v>713</v>
      </c>
      <c r="AF652" s="566" t="s">
        <v>713</v>
      </c>
      <c r="AG652" s="534" t="s">
        <v>3869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3875</v>
      </c>
      <c r="E653" s="516">
        <f t="shared" si="4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657</v>
      </c>
      <c r="W653" s="541" t="s">
        <v>3876</v>
      </c>
      <c r="X653" s="516" t="s">
        <v>876</v>
      </c>
      <c r="Y653" s="542">
        <v>21451</v>
      </c>
      <c r="Z653" s="543">
        <f t="shared" ca="1" si="5"/>
        <v>67</v>
      </c>
      <c r="AA653" s="534" t="s">
        <v>3877</v>
      </c>
      <c r="AB653" s="516"/>
      <c r="AC653" s="516" t="s">
        <v>842</v>
      </c>
      <c r="AD653" s="516" t="s">
        <v>843</v>
      </c>
      <c r="AE653" s="534" t="s">
        <v>713</v>
      </c>
      <c r="AF653" s="566" t="s">
        <v>713</v>
      </c>
      <c r="AG653" s="534" t="s">
        <v>3879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3880</v>
      </c>
      <c r="E654" s="516">
        <f t="shared" si="4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673</v>
      </c>
      <c r="W654" s="541" t="s">
        <v>3881</v>
      </c>
      <c r="X654" s="516" t="s">
        <v>876</v>
      </c>
      <c r="Y654" s="542">
        <v>25299</v>
      </c>
      <c r="Z654" s="543">
        <f t="shared" ca="1" si="5"/>
        <v>56</v>
      </c>
      <c r="AA654" s="534" t="s">
        <v>3882</v>
      </c>
      <c r="AB654" s="516"/>
      <c r="AC654" s="516" t="s">
        <v>842</v>
      </c>
      <c r="AD654" s="516" t="s">
        <v>843</v>
      </c>
      <c r="AE654" s="534" t="s">
        <v>713</v>
      </c>
      <c r="AF654" s="566" t="s">
        <v>713</v>
      </c>
      <c r="AG654" s="534" t="s">
        <v>3884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3885</v>
      </c>
      <c r="E655" s="516">
        <f t="shared" si="4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688</v>
      </c>
      <c r="W655" s="541" t="s">
        <v>3886</v>
      </c>
      <c r="X655" s="516" t="s">
        <v>876</v>
      </c>
      <c r="Y655" s="542">
        <v>29981</v>
      </c>
      <c r="Z655" s="543">
        <f t="shared" ca="1" si="5"/>
        <v>43</v>
      </c>
      <c r="AA655" s="534" t="s">
        <v>3887</v>
      </c>
      <c r="AB655" s="516"/>
      <c r="AC655" s="516" t="s">
        <v>842</v>
      </c>
      <c r="AD655" s="516" t="s">
        <v>843</v>
      </c>
      <c r="AE655" s="534" t="s">
        <v>713</v>
      </c>
      <c r="AF655" s="566" t="s">
        <v>713</v>
      </c>
      <c r="AG655" s="534" t="s">
        <v>3889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3890</v>
      </c>
      <c r="E656" s="516">
        <f t="shared" si="4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38" t="s">
        <v>1755</v>
      </c>
      <c r="Q656" s="539"/>
      <c r="R656" s="516"/>
      <c r="S656" s="516"/>
      <c r="T656" s="516"/>
      <c r="U656" s="516" t="s">
        <v>874</v>
      </c>
      <c r="V656" s="538" t="s">
        <v>696</v>
      </c>
      <c r="W656" s="541" t="s">
        <v>3891</v>
      </c>
      <c r="X656" s="516" t="s">
        <v>876</v>
      </c>
      <c r="Y656" s="542">
        <v>30203</v>
      </c>
      <c r="Z656" s="543">
        <f t="shared" ca="1" si="5"/>
        <v>43</v>
      </c>
      <c r="AA656" s="534" t="s">
        <v>3892</v>
      </c>
      <c r="AB656" s="516"/>
      <c r="AC656" s="516" t="s">
        <v>842</v>
      </c>
      <c r="AD656" s="516" t="s">
        <v>843</v>
      </c>
      <c r="AE656" s="534" t="s">
        <v>713</v>
      </c>
      <c r="AF656" s="566" t="s">
        <v>713</v>
      </c>
      <c r="AG656" s="534" t="s">
        <v>3894</v>
      </c>
      <c r="AH656" s="516"/>
      <c r="AI656" s="516"/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3895</v>
      </c>
      <c r="E657" s="516">
        <f t="shared" si="4"/>
        <v>597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1668</v>
      </c>
      <c r="L657" s="535" t="s">
        <v>3859</v>
      </c>
      <c r="M657" s="536" t="s">
        <v>3870</v>
      </c>
      <c r="N657" s="537"/>
      <c r="O657" s="537"/>
      <c r="P657" s="559" t="s">
        <v>1755</v>
      </c>
      <c r="Q657" s="539"/>
      <c r="R657" s="516"/>
      <c r="S657" s="516"/>
      <c r="T657" s="516"/>
      <c r="U657" s="516" t="s">
        <v>874</v>
      </c>
      <c r="V657" s="559" t="s">
        <v>3896</v>
      </c>
      <c r="W657" s="541" t="s">
        <v>3897</v>
      </c>
      <c r="X657" s="516" t="s">
        <v>876</v>
      </c>
      <c r="Y657" s="542">
        <v>21232</v>
      </c>
      <c r="Z657" s="543">
        <f t="shared" ca="1" si="5"/>
        <v>67</v>
      </c>
      <c r="AA657" s="534" t="s">
        <v>3898</v>
      </c>
      <c r="AB657" s="516"/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3900</v>
      </c>
      <c r="AH657" s="516" t="s">
        <v>1571</v>
      </c>
      <c r="AI657" s="516" t="s">
        <v>4473</v>
      </c>
      <c r="AJ657" s="516" t="s">
        <v>1852</v>
      </c>
      <c r="AK657" s="516"/>
      <c r="AL657" s="544"/>
      <c r="AM657" s="544"/>
    </row>
    <row r="658" spans="3:39" ht="18" customHeight="1">
      <c r="C658" s="516">
        <v>638</v>
      </c>
      <c r="D658" s="516" t="s">
        <v>2384</v>
      </c>
      <c r="E658" s="516">
        <f t="shared" si="4"/>
        <v>597</v>
      </c>
      <c r="F658" s="534"/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48" t="s">
        <v>3903</v>
      </c>
      <c r="Q658" s="539"/>
      <c r="R658" s="516" t="s">
        <v>49</v>
      </c>
      <c r="S658" s="516" t="s">
        <v>168</v>
      </c>
      <c r="T658" s="516"/>
      <c r="U658" s="516"/>
      <c r="V658" s="548" t="s">
        <v>197</v>
      </c>
      <c r="W658" s="541" t="s">
        <v>2385</v>
      </c>
      <c r="X658" s="516" t="s">
        <v>876</v>
      </c>
      <c r="Y658" s="542">
        <v>28739</v>
      </c>
      <c r="Z658" s="543">
        <f t="shared" ca="1" si="5"/>
        <v>47</v>
      </c>
      <c r="AA658" s="534"/>
      <c r="AB658" s="516"/>
      <c r="AC658" s="516" t="s">
        <v>802</v>
      </c>
      <c r="AD658" s="516" t="s">
        <v>794</v>
      </c>
      <c r="AE658" s="534" t="s">
        <v>1735</v>
      </c>
      <c r="AF658" s="534" t="s">
        <v>1735</v>
      </c>
      <c r="AG658" s="534" t="s">
        <v>2388</v>
      </c>
      <c r="AH658" s="516" t="s">
        <v>872</v>
      </c>
      <c r="AI658" s="516"/>
      <c r="AJ658" s="516"/>
      <c r="AK658" s="516"/>
      <c r="AL658" s="544"/>
      <c r="AM658" s="544"/>
    </row>
    <row r="659" spans="3:39" ht="18" customHeight="1">
      <c r="C659" s="516">
        <v>639</v>
      </c>
      <c r="D659" s="516" t="s">
        <v>3901</v>
      </c>
      <c r="E659" s="516">
        <f t="shared" si="4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602</v>
      </c>
      <c r="W659" s="541" t="s">
        <v>3904</v>
      </c>
      <c r="X659" s="516" t="s">
        <v>876</v>
      </c>
      <c r="Y659" s="542">
        <v>24860</v>
      </c>
      <c r="Z659" s="543">
        <f t="shared" ca="1" si="5"/>
        <v>58</v>
      </c>
      <c r="AA659" s="534" t="s">
        <v>3905</v>
      </c>
      <c r="AB659" s="516"/>
      <c r="AC659" s="516" t="s">
        <v>842</v>
      </c>
      <c r="AD659" s="516" t="s">
        <v>843</v>
      </c>
      <c r="AE659" s="534" t="s">
        <v>713</v>
      </c>
      <c r="AF659" s="566" t="s">
        <v>713</v>
      </c>
      <c r="AG659" s="534" t="s">
        <v>3907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3902</v>
      </c>
      <c r="E660" s="516">
        <f t="shared" si="4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621</v>
      </c>
      <c r="W660" s="541" t="s">
        <v>3908</v>
      </c>
      <c r="X660" s="516" t="s">
        <v>876</v>
      </c>
      <c r="Y660" s="542">
        <v>23911</v>
      </c>
      <c r="Z660" s="543">
        <f t="shared" ca="1" si="5"/>
        <v>60</v>
      </c>
      <c r="AA660" s="534" t="s">
        <v>3909</v>
      </c>
      <c r="AB660" s="516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3911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3912</v>
      </c>
      <c r="E661" s="516">
        <f t="shared" si="4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639</v>
      </c>
      <c r="W661" s="541" t="s">
        <v>3913</v>
      </c>
      <c r="X661" s="516" t="s">
        <v>876</v>
      </c>
      <c r="Y661" s="542">
        <v>24181</v>
      </c>
      <c r="Z661" s="543">
        <f t="shared" ca="1" si="5"/>
        <v>59</v>
      </c>
      <c r="AA661" s="534" t="s">
        <v>3914</v>
      </c>
      <c r="AB661" s="516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3916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3917</v>
      </c>
      <c r="E662" s="516">
        <f t="shared" si="4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658</v>
      </c>
      <c r="W662" s="541" t="s">
        <v>3918</v>
      </c>
      <c r="X662" s="516" t="s">
        <v>876</v>
      </c>
      <c r="Y662" s="542">
        <v>29947</v>
      </c>
      <c r="Z662" s="543">
        <f t="shared" ca="1" si="5"/>
        <v>44</v>
      </c>
      <c r="AA662" s="534" t="s">
        <v>3919</v>
      </c>
      <c r="AB662" s="516"/>
      <c r="AC662" s="516" t="s">
        <v>842</v>
      </c>
      <c r="AD662" s="516" t="s">
        <v>843</v>
      </c>
      <c r="AE662" s="534" t="s">
        <v>1256</v>
      </c>
      <c r="AF662" s="534" t="s">
        <v>1256</v>
      </c>
      <c r="AG662" s="534" t="s">
        <v>3921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3922</v>
      </c>
      <c r="E663" s="516">
        <f t="shared" si="4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674</v>
      </c>
      <c r="W663" s="541" t="s">
        <v>3923</v>
      </c>
      <c r="X663" s="516" t="s">
        <v>876</v>
      </c>
      <c r="Y663" s="542">
        <v>30310</v>
      </c>
      <c r="Z663" s="543">
        <f t="shared" ca="1" si="5"/>
        <v>43</v>
      </c>
      <c r="AA663" s="534" t="s">
        <v>3924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3926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3927</v>
      </c>
      <c r="E664" s="516">
        <f t="shared" si="4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/>
      <c r="R664" s="516"/>
      <c r="S664" s="516"/>
      <c r="T664" s="516"/>
      <c r="U664" s="516" t="s">
        <v>874</v>
      </c>
      <c r="V664" s="538" t="s">
        <v>689</v>
      </c>
      <c r="W664" s="541" t="s">
        <v>3928</v>
      </c>
      <c r="X664" s="516" t="s">
        <v>876</v>
      </c>
      <c r="Y664" s="542">
        <v>32130</v>
      </c>
      <c r="Z664" s="543">
        <f t="shared" ca="1" si="5"/>
        <v>38</v>
      </c>
      <c r="AA664" s="534" t="s">
        <v>3929</v>
      </c>
      <c r="AB664" s="516"/>
      <c r="AC664" s="516" t="s">
        <v>842</v>
      </c>
      <c r="AD664" s="516" t="s">
        <v>843</v>
      </c>
      <c r="AE664" s="534" t="s">
        <v>713</v>
      </c>
      <c r="AF664" s="566" t="s">
        <v>713</v>
      </c>
      <c r="AG664" s="534" t="s">
        <v>3930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3931</v>
      </c>
      <c r="E665" s="516">
        <f t="shared" si="4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3932</v>
      </c>
      <c r="W665" s="541" t="s">
        <v>3933</v>
      </c>
      <c r="X665" s="516" t="s">
        <v>876</v>
      </c>
      <c r="Y665" s="542">
        <v>22724</v>
      </c>
      <c r="Z665" s="543">
        <f t="shared" ca="1" si="5"/>
        <v>63</v>
      </c>
      <c r="AA665" s="534" t="s">
        <v>3934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1436</v>
      </c>
      <c r="AG665" s="534" t="s">
        <v>1437</v>
      </c>
      <c r="AH665" s="516"/>
      <c r="AI665" s="516"/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3936</v>
      </c>
      <c r="E666" s="516">
        <f t="shared" si="4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38" t="s">
        <v>3903</v>
      </c>
      <c r="Q666" s="539" t="s">
        <v>308</v>
      </c>
      <c r="R666" s="516"/>
      <c r="S666" s="516"/>
      <c r="T666" s="516"/>
      <c r="U666" s="516" t="s">
        <v>874</v>
      </c>
      <c r="V666" s="538" t="s">
        <v>3937</v>
      </c>
      <c r="W666" s="541" t="s">
        <v>3938</v>
      </c>
      <c r="X666" s="516" t="s">
        <v>876</v>
      </c>
      <c r="Y666" s="542">
        <v>22873</v>
      </c>
      <c r="Z666" s="543">
        <f t="shared" ca="1" si="5"/>
        <v>63</v>
      </c>
      <c r="AA666" s="534" t="s">
        <v>3939</v>
      </c>
      <c r="AB666" s="516"/>
      <c r="AC666" s="516" t="s">
        <v>842</v>
      </c>
      <c r="AD666" s="516" t="s">
        <v>843</v>
      </c>
      <c r="AE666" s="534" t="s">
        <v>713</v>
      </c>
      <c r="AF666" s="534" t="s">
        <v>713</v>
      </c>
      <c r="AG666" s="534" t="s">
        <v>3940</v>
      </c>
      <c r="AH666" s="516" t="s">
        <v>1571</v>
      </c>
      <c r="AI666" s="516" t="s">
        <v>3941</v>
      </c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3942</v>
      </c>
      <c r="E667" s="516">
        <f t="shared" si="4"/>
        <v>606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2384</v>
      </c>
      <c r="L667" s="535" t="s">
        <v>3901</v>
      </c>
      <c r="M667" s="536"/>
      <c r="N667" s="537"/>
      <c r="O667" s="537"/>
      <c r="P667" s="559" t="s">
        <v>3903</v>
      </c>
      <c r="Q667" s="539" t="s">
        <v>308</v>
      </c>
      <c r="R667" s="516"/>
      <c r="S667" s="516"/>
      <c r="T667" s="516"/>
      <c r="U667" s="516" t="s">
        <v>874</v>
      </c>
      <c r="V667" s="559" t="s">
        <v>3943</v>
      </c>
      <c r="W667" s="541" t="s">
        <v>3944</v>
      </c>
      <c r="X667" s="516" t="s">
        <v>876</v>
      </c>
      <c r="Y667" s="542">
        <v>25028</v>
      </c>
      <c r="Z667" s="543">
        <f t="shared" ca="1" si="5"/>
        <v>57</v>
      </c>
      <c r="AA667" s="534" t="s">
        <v>3945</v>
      </c>
      <c r="AB667" s="516"/>
      <c r="AC667" s="516" t="s">
        <v>842</v>
      </c>
      <c r="AD667" s="516" t="s">
        <v>843</v>
      </c>
      <c r="AE667" s="534" t="s">
        <v>713</v>
      </c>
      <c r="AF667" s="566" t="s">
        <v>713</v>
      </c>
      <c r="AG667" s="534" t="s">
        <v>3734</v>
      </c>
      <c r="AH667" s="516"/>
      <c r="AI667" s="516"/>
      <c r="AJ667" s="565" t="s">
        <v>1087</v>
      </c>
      <c r="AK667" s="516"/>
      <c r="AL667" s="544"/>
      <c r="AM667" s="544"/>
    </row>
    <row r="668" spans="3:39" ht="18" customHeight="1">
      <c r="C668" s="516">
        <v>648</v>
      </c>
      <c r="D668" s="516" t="s">
        <v>827</v>
      </c>
      <c r="E668" s="516">
        <f t="shared" si="4"/>
        <v>606</v>
      </c>
      <c r="F668" s="534"/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/>
      <c r="M668" s="536"/>
      <c r="N668" s="537"/>
      <c r="O668" s="537"/>
      <c r="P668" s="548" t="s">
        <v>3947</v>
      </c>
      <c r="Q668" s="539"/>
      <c r="R668" s="516" t="s">
        <v>49</v>
      </c>
      <c r="S668" s="516" t="s">
        <v>168</v>
      </c>
      <c r="T668" s="516"/>
      <c r="U668" s="516"/>
      <c r="V668" s="548" t="s">
        <v>71</v>
      </c>
      <c r="W668" s="541" t="s">
        <v>833</v>
      </c>
      <c r="X668" s="516" t="s">
        <v>790</v>
      </c>
      <c r="Y668" s="542">
        <v>33031</v>
      </c>
      <c r="Z668" s="543">
        <f t="shared" ca="1" si="5"/>
        <v>35</v>
      </c>
      <c r="AA668" s="534" t="s">
        <v>834</v>
      </c>
      <c r="AB668" s="516"/>
      <c r="AC668" s="516" t="s">
        <v>802</v>
      </c>
      <c r="AD668" s="516" t="s">
        <v>794</v>
      </c>
      <c r="AE668" s="534"/>
      <c r="AF668" s="534"/>
      <c r="AG668" s="534"/>
      <c r="AH668" s="516" t="s">
        <v>872</v>
      </c>
      <c r="AI668" s="516"/>
      <c r="AJ668" s="516"/>
      <c r="AK668" s="516"/>
      <c r="AL668" s="544"/>
      <c r="AM668" s="544"/>
    </row>
    <row r="669" spans="3:39" ht="18" customHeight="1">
      <c r="C669" s="516">
        <v>649</v>
      </c>
      <c r="D669" s="516" t="s">
        <v>3949</v>
      </c>
      <c r="E669" s="516">
        <f t="shared" si="4"/>
        <v>607</v>
      </c>
      <c r="F669" s="534" t="s">
        <v>811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3950</v>
      </c>
      <c r="W669" s="541" t="s">
        <v>3951</v>
      </c>
      <c r="X669" s="516" t="s">
        <v>790</v>
      </c>
      <c r="Y669" s="542">
        <v>34371</v>
      </c>
      <c r="Z669" s="543">
        <f t="shared" ca="1" si="5"/>
        <v>31</v>
      </c>
      <c r="AA669" s="534" t="s">
        <v>3952</v>
      </c>
      <c r="AB669" s="516"/>
      <c r="AC669" s="516" t="s">
        <v>842</v>
      </c>
      <c r="AD669" s="516" t="s">
        <v>843</v>
      </c>
      <c r="AE669" s="534" t="s">
        <v>713</v>
      </c>
      <c r="AF669" s="566" t="s">
        <v>713</v>
      </c>
      <c r="AG669" s="534" t="s">
        <v>3954</v>
      </c>
      <c r="AH669" s="516"/>
      <c r="AI669" s="516"/>
      <c r="AJ669" s="516" t="s">
        <v>971</v>
      </c>
      <c r="AK669" s="516"/>
      <c r="AL669" s="544"/>
      <c r="AM669" s="544"/>
    </row>
    <row r="670" spans="3:39" ht="18" customHeight="1">
      <c r="C670" s="516">
        <v>650</v>
      </c>
      <c r="D670" s="516" t="s">
        <v>845</v>
      </c>
      <c r="E670" s="516">
        <f t="shared" si="4"/>
        <v>608</v>
      </c>
      <c r="F670" s="534" t="s">
        <v>782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38" t="s">
        <v>3947</v>
      </c>
      <c r="Q670" s="539" t="s">
        <v>308</v>
      </c>
      <c r="R670" s="516"/>
      <c r="S670" s="516"/>
      <c r="T670" s="516"/>
      <c r="U670" s="516" t="s">
        <v>788</v>
      </c>
      <c r="V670" s="538" t="s">
        <v>847</v>
      </c>
      <c r="W670" s="541" t="s">
        <v>848</v>
      </c>
      <c r="X670" s="516" t="s">
        <v>790</v>
      </c>
      <c r="Y670" s="542">
        <v>32741</v>
      </c>
      <c r="Z670" s="543">
        <f t="shared" ca="1" si="5"/>
        <v>36</v>
      </c>
      <c r="AA670" s="534" t="s">
        <v>849</v>
      </c>
      <c r="AB670" s="516"/>
      <c r="AC670" s="516" t="s">
        <v>842</v>
      </c>
      <c r="AD670" s="516" t="s">
        <v>851</v>
      </c>
      <c r="AE670" s="534" t="s">
        <v>713</v>
      </c>
      <c r="AF670" s="534" t="s">
        <v>795</v>
      </c>
      <c r="AG670" s="534" t="s">
        <v>4209</v>
      </c>
      <c r="AH670" s="516"/>
      <c r="AI670" s="516"/>
      <c r="AJ670" s="565" t="s">
        <v>853</v>
      </c>
      <c r="AK670" s="516"/>
      <c r="AL670" s="544"/>
      <c r="AM670" s="544"/>
    </row>
    <row r="671" spans="3:39" ht="18" customHeight="1">
      <c r="C671" s="516">
        <v>651</v>
      </c>
      <c r="D671" s="516" t="s">
        <v>3955</v>
      </c>
      <c r="E671" s="516">
        <f t="shared" si="4"/>
        <v>609</v>
      </c>
      <c r="F671" s="534" t="s">
        <v>811</v>
      </c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827</v>
      </c>
      <c r="L671" s="535" t="s">
        <v>786</v>
      </c>
      <c r="M671" s="536"/>
      <c r="N671" s="537"/>
      <c r="O671" s="537"/>
      <c r="P671" s="559" t="s">
        <v>3947</v>
      </c>
      <c r="Q671" s="539" t="s">
        <v>308</v>
      </c>
      <c r="R671" s="516"/>
      <c r="S671" s="516"/>
      <c r="T671" s="516"/>
      <c r="U671" s="516" t="s">
        <v>799</v>
      </c>
      <c r="V671" s="559" t="s">
        <v>3956</v>
      </c>
      <c r="W671" s="541" t="s">
        <v>3957</v>
      </c>
      <c r="X671" s="516" t="s">
        <v>790</v>
      </c>
      <c r="Y671" s="542">
        <v>30717</v>
      </c>
      <c r="Z671" s="543">
        <f t="shared" ca="1" si="5"/>
        <v>41</v>
      </c>
      <c r="AA671" s="534" t="s">
        <v>3958</v>
      </c>
      <c r="AB671" s="516"/>
      <c r="AC671" s="516" t="s">
        <v>842</v>
      </c>
      <c r="AD671" s="516" t="s">
        <v>843</v>
      </c>
      <c r="AE671" s="534" t="s">
        <v>815</v>
      </c>
      <c r="AF671" s="534" t="s">
        <v>815</v>
      </c>
      <c r="AG671" s="534" t="s">
        <v>1282</v>
      </c>
      <c r="AH671" s="516" t="s">
        <v>1571</v>
      </c>
      <c r="AI671" s="516" t="s">
        <v>3959</v>
      </c>
      <c r="AJ671" s="516" t="s">
        <v>971</v>
      </c>
      <c r="AK671" s="516"/>
      <c r="AL671" s="544"/>
      <c r="AM671" s="544"/>
    </row>
    <row r="672" spans="3:39" ht="18" customHeight="1">
      <c r="C672" s="516">
        <v>652</v>
      </c>
      <c r="D672" s="516" t="s">
        <v>785</v>
      </c>
      <c r="E672" s="516">
        <f t="shared" si="4"/>
        <v>609</v>
      </c>
      <c r="F672" s="534"/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48" t="s">
        <v>3962</v>
      </c>
      <c r="Q672" s="539"/>
      <c r="R672" s="516" t="s">
        <v>163</v>
      </c>
      <c r="S672" s="516" t="s">
        <v>163</v>
      </c>
      <c r="T672" s="516" t="s">
        <v>168</v>
      </c>
      <c r="U672" s="516"/>
      <c r="V672" s="548" t="s">
        <v>57</v>
      </c>
      <c r="W672" s="541" t="s">
        <v>3963</v>
      </c>
      <c r="X672" s="516" t="s">
        <v>790</v>
      </c>
      <c r="Y672" s="542">
        <v>32431</v>
      </c>
      <c r="Z672" s="543">
        <f t="shared" ca="1" si="5"/>
        <v>37</v>
      </c>
      <c r="AA672" s="534" t="s">
        <v>800</v>
      </c>
      <c r="AB672" s="516"/>
      <c r="AC672" s="516" t="s">
        <v>802</v>
      </c>
      <c r="AD672" s="516" t="s">
        <v>794</v>
      </c>
      <c r="AE672" s="534" t="s">
        <v>803</v>
      </c>
      <c r="AF672" s="534" t="s">
        <v>795</v>
      </c>
      <c r="AG672" s="534" t="s">
        <v>796</v>
      </c>
      <c r="AH672" s="516" t="s">
        <v>872</v>
      </c>
      <c r="AI672" s="516"/>
      <c r="AJ672" s="516"/>
      <c r="AK672" s="516"/>
      <c r="AL672" s="544"/>
      <c r="AM672" s="544"/>
    </row>
    <row r="673" spans="3:39" ht="18" customHeight="1">
      <c r="C673" s="516">
        <v>653</v>
      </c>
      <c r="D673" s="516" t="s">
        <v>3960</v>
      </c>
      <c r="E673" s="516">
        <f t="shared" si="4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799</v>
      </c>
      <c r="V673" s="538" t="s">
        <v>604</v>
      </c>
      <c r="W673" s="541" t="s">
        <v>3965</v>
      </c>
      <c r="X673" s="516" t="s">
        <v>790</v>
      </c>
      <c r="Y673" s="542">
        <v>22545</v>
      </c>
      <c r="Z673" s="543">
        <f t="shared" ca="1" si="5"/>
        <v>64</v>
      </c>
      <c r="AA673" s="534" t="s">
        <v>3966</v>
      </c>
      <c r="AB673" s="516"/>
      <c r="AC673" s="516" t="s">
        <v>842</v>
      </c>
      <c r="AD673" s="516" t="s">
        <v>843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3961</v>
      </c>
      <c r="E674" s="516">
        <f t="shared" si="4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 t="s">
        <v>62</v>
      </c>
      <c r="S674" s="516" t="s">
        <v>548</v>
      </c>
      <c r="T674" s="516"/>
      <c r="U674" s="516" t="s">
        <v>874</v>
      </c>
      <c r="V674" s="538" t="s">
        <v>623</v>
      </c>
      <c r="W674" s="541" t="s">
        <v>3969</v>
      </c>
      <c r="X674" s="516" t="s">
        <v>876</v>
      </c>
      <c r="Y674" s="542">
        <v>26954</v>
      </c>
      <c r="Z674" s="543">
        <f t="shared" ca="1" si="5"/>
        <v>52</v>
      </c>
      <c r="AA674" s="534" t="s">
        <v>3970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74" t="s">
        <v>3968</v>
      </c>
      <c r="AH674" s="516"/>
      <c r="AI674" s="516"/>
      <c r="AJ674" s="516" t="s">
        <v>976</v>
      </c>
      <c r="AK674" s="516"/>
      <c r="AL674" s="544"/>
      <c r="AM674" s="544"/>
    </row>
    <row r="675" spans="3:39" ht="18" customHeight="1">
      <c r="C675" s="516">
        <v>655</v>
      </c>
      <c r="D675" s="516" t="s">
        <v>3972</v>
      </c>
      <c r="E675" s="516">
        <f t="shared" si="4"/>
        <v>612</v>
      </c>
      <c r="F675" s="534" t="s">
        <v>811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3973</v>
      </c>
      <c r="W675" s="541" t="s">
        <v>3974</v>
      </c>
      <c r="X675" s="516" t="s">
        <v>790</v>
      </c>
      <c r="Y675" s="542">
        <v>26062</v>
      </c>
      <c r="Z675" s="543">
        <f t="shared" ca="1" si="5"/>
        <v>54</v>
      </c>
      <c r="AA675" s="534" t="s">
        <v>3975</v>
      </c>
      <c r="AB675" s="516"/>
      <c r="AC675" s="516" t="s">
        <v>842</v>
      </c>
      <c r="AD675" s="516" t="s">
        <v>843</v>
      </c>
      <c r="AE675" s="534" t="s">
        <v>236</v>
      </c>
      <c r="AF675" s="534" t="s">
        <v>236</v>
      </c>
      <c r="AG675" s="534" t="s">
        <v>3977</v>
      </c>
      <c r="AH675" s="516"/>
      <c r="AI675" s="516"/>
      <c r="AJ675" s="516" t="s">
        <v>971</v>
      </c>
      <c r="AK675" s="516"/>
      <c r="AL675" s="544"/>
      <c r="AM675" s="544"/>
    </row>
    <row r="676" spans="3:39" ht="18" customHeight="1">
      <c r="C676" s="516">
        <v>656</v>
      </c>
      <c r="D676" s="516" t="s">
        <v>3978</v>
      </c>
      <c r="E676" s="516">
        <f t="shared" si="4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659</v>
      </c>
      <c r="W676" s="541" t="s">
        <v>3979</v>
      </c>
      <c r="X676" s="516" t="s">
        <v>790</v>
      </c>
      <c r="Y676" s="542">
        <v>24209</v>
      </c>
      <c r="Z676" s="543">
        <f t="shared" ca="1" si="5"/>
        <v>59</v>
      </c>
      <c r="AA676" s="534" t="s">
        <v>3980</v>
      </c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3982</v>
      </c>
      <c r="E677" s="516">
        <f t="shared" si="4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38" t="s">
        <v>3962</v>
      </c>
      <c r="Q677" s="539" t="s">
        <v>308</v>
      </c>
      <c r="R677" s="516"/>
      <c r="S677" s="516"/>
      <c r="T677" s="516"/>
      <c r="U677" s="516" t="s">
        <v>799</v>
      </c>
      <c r="V677" s="538" t="s">
        <v>675</v>
      </c>
      <c r="W677" s="541" t="s">
        <v>3983</v>
      </c>
      <c r="X677" s="516" t="s">
        <v>790</v>
      </c>
      <c r="Y677" s="542">
        <v>26119</v>
      </c>
      <c r="Z677" s="543">
        <f t="shared" ca="1" si="5"/>
        <v>54</v>
      </c>
      <c r="AA677" s="534"/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/>
      <c r="AJ677" s="516" t="s">
        <v>976</v>
      </c>
      <c r="AK677" s="516" t="s">
        <v>1863</v>
      </c>
      <c r="AL677" s="544"/>
      <c r="AM677" s="544"/>
    </row>
    <row r="678" spans="3:39" ht="18" customHeight="1">
      <c r="C678" s="516">
        <v>658</v>
      </c>
      <c r="D678" s="516" t="s">
        <v>3985</v>
      </c>
      <c r="E678" s="516">
        <f t="shared" si="4"/>
        <v>615</v>
      </c>
      <c r="F678" s="534" t="s">
        <v>1822</v>
      </c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785</v>
      </c>
      <c r="L678" s="535" t="s">
        <v>3960</v>
      </c>
      <c r="M678" s="536" t="s">
        <v>3961</v>
      </c>
      <c r="N678" s="537"/>
      <c r="O678" s="537"/>
      <c r="P678" s="559" t="s">
        <v>3962</v>
      </c>
      <c r="Q678" s="539" t="s">
        <v>308</v>
      </c>
      <c r="R678" s="516"/>
      <c r="S678" s="516"/>
      <c r="T678" s="516"/>
      <c r="U678" s="516" t="s">
        <v>874</v>
      </c>
      <c r="V678" s="559" t="s">
        <v>3986</v>
      </c>
      <c r="W678" s="541" t="s">
        <v>3987</v>
      </c>
      <c r="X678" s="516" t="s">
        <v>876</v>
      </c>
      <c r="Y678" s="542">
        <v>22399</v>
      </c>
      <c r="Z678" s="543">
        <f t="shared" ca="1" si="5"/>
        <v>64</v>
      </c>
      <c r="AA678" s="534" t="s">
        <v>3988</v>
      </c>
      <c r="AB678" s="516"/>
      <c r="AC678" s="516" t="s">
        <v>842</v>
      </c>
      <c r="AD678" s="516" t="s">
        <v>843</v>
      </c>
      <c r="AE678" s="534" t="s">
        <v>809</v>
      </c>
      <c r="AF678" s="534" t="s">
        <v>809</v>
      </c>
      <c r="AG678" s="534" t="s">
        <v>2218</v>
      </c>
      <c r="AH678" s="516" t="s">
        <v>1571</v>
      </c>
      <c r="AI678" s="516" t="s">
        <v>4454</v>
      </c>
      <c r="AJ678" s="516" t="s">
        <v>976</v>
      </c>
      <c r="AK678" s="516"/>
      <c r="AL678" s="544"/>
      <c r="AM678" s="544"/>
    </row>
    <row r="679" spans="3:39" ht="18" customHeight="1">
      <c r="C679" s="516">
        <v>659</v>
      </c>
      <c r="D679" s="516" t="s">
        <v>1159</v>
      </c>
      <c r="E679" s="516">
        <f t="shared" si="4"/>
        <v>615</v>
      </c>
      <c r="F679" s="534"/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48" t="s">
        <v>3995</v>
      </c>
      <c r="Q679" s="539"/>
      <c r="R679" s="516" t="s">
        <v>49</v>
      </c>
      <c r="S679" s="516" t="s">
        <v>168</v>
      </c>
      <c r="T679" s="516"/>
      <c r="U679" s="516"/>
      <c r="V679" s="548" t="s">
        <v>181</v>
      </c>
      <c r="W679" s="541" t="s">
        <v>1165</v>
      </c>
      <c r="X679" s="516" t="s">
        <v>790</v>
      </c>
      <c r="Y679" s="542">
        <v>19232</v>
      </c>
      <c r="Z679" s="543">
        <f t="shared" ca="1" si="5"/>
        <v>73</v>
      </c>
      <c r="AA679" s="534" t="s">
        <v>1166</v>
      </c>
      <c r="AB679" s="516"/>
      <c r="AC679" s="516" t="s">
        <v>802</v>
      </c>
      <c r="AD679" s="516" t="s">
        <v>794</v>
      </c>
      <c r="AE679" s="534" t="s">
        <v>713</v>
      </c>
      <c r="AF679" s="534" t="s">
        <v>1163</v>
      </c>
      <c r="AG679" s="534" t="s">
        <v>1164</v>
      </c>
      <c r="AH679" s="516" t="s">
        <v>872</v>
      </c>
      <c r="AI679" s="516"/>
      <c r="AJ679" s="516"/>
      <c r="AK679" s="516"/>
      <c r="AL679" s="544"/>
      <c r="AM679" s="544"/>
    </row>
    <row r="680" spans="3:39" ht="18" customHeight="1">
      <c r="C680" s="516">
        <v>660</v>
      </c>
      <c r="D680" s="516" t="s">
        <v>3997</v>
      </c>
      <c r="E680" s="516">
        <f t="shared" si="4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605</v>
      </c>
      <c r="W680" s="541" t="s">
        <v>3998</v>
      </c>
      <c r="X680" s="516" t="s">
        <v>790</v>
      </c>
      <c r="Y680" s="542">
        <v>22720</v>
      </c>
      <c r="Z680" s="543">
        <f t="shared" ca="1" si="5"/>
        <v>63</v>
      </c>
      <c r="AA680" s="534" t="s">
        <v>3999</v>
      </c>
      <c r="AB680" s="516"/>
      <c r="AC680" s="516" t="s">
        <v>842</v>
      </c>
      <c r="AD680" s="573" t="s">
        <v>851</v>
      </c>
      <c r="AE680" s="534" t="s">
        <v>713</v>
      </c>
      <c r="AF680" s="566" t="s">
        <v>713</v>
      </c>
      <c r="AG680" s="534" t="s">
        <v>4001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4002</v>
      </c>
      <c r="E681" s="516">
        <f t="shared" si="4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641</v>
      </c>
      <c r="W681" s="541" t="s">
        <v>4003</v>
      </c>
      <c r="X681" s="516" t="s">
        <v>790</v>
      </c>
      <c r="Y681" s="542">
        <v>35402</v>
      </c>
      <c r="Z681" s="543">
        <f t="shared" ca="1" si="5"/>
        <v>29</v>
      </c>
      <c r="AA681" s="534" t="s">
        <v>4004</v>
      </c>
      <c r="AB681" s="516"/>
      <c r="AC681" s="516" t="s">
        <v>842</v>
      </c>
      <c r="AD681" s="573" t="s">
        <v>851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4006</v>
      </c>
      <c r="E682" s="516">
        <f t="shared" si="4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799</v>
      </c>
      <c r="V682" s="538" t="s">
        <v>660</v>
      </c>
      <c r="W682" s="541" t="s">
        <v>4007</v>
      </c>
      <c r="X682" s="516" t="s">
        <v>790</v>
      </c>
      <c r="Y682" s="542">
        <v>35555</v>
      </c>
      <c r="Z682" s="543">
        <f t="shared" ca="1" si="5"/>
        <v>28</v>
      </c>
      <c r="AA682" s="534" t="s">
        <v>4008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4005</v>
      </c>
      <c r="AH682" s="516"/>
      <c r="AI682" s="516"/>
      <c r="AJ682" s="516" t="s">
        <v>1852</v>
      </c>
      <c r="AK682" s="516"/>
      <c r="AL682" s="544"/>
      <c r="AM682" s="544"/>
    </row>
    <row r="683" spans="3:39" ht="18" customHeight="1">
      <c r="C683" s="516">
        <v>663</v>
      </c>
      <c r="D683" s="516" t="s">
        <v>4010</v>
      </c>
      <c r="E683" s="516">
        <f t="shared" si="4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898</v>
      </c>
      <c r="V683" s="538" t="s">
        <v>691</v>
      </c>
      <c r="W683" s="541" t="s">
        <v>4011</v>
      </c>
      <c r="X683" s="516" t="s">
        <v>790</v>
      </c>
      <c r="Y683" s="542">
        <v>18218</v>
      </c>
      <c r="Z683" s="543">
        <f t="shared" ca="1" si="5"/>
        <v>76</v>
      </c>
      <c r="AA683" s="534" t="s">
        <v>4012</v>
      </c>
      <c r="AB683" s="516"/>
      <c r="AC683" s="516" t="s">
        <v>842</v>
      </c>
      <c r="AD683" s="516" t="s">
        <v>843</v>
      </c>
      <c r="AE683" s="534" t="s">
        <v>713</v>
      </c>
      <c r="AF683" s="566" t="s">
        <v>713</v>
      </c>
      <c r="AG683" s="534" t="s">
        <v>1729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4014</v>
      </c>
      <c r="E684" s="516">
        <f t="shared" si="4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799</v>
      </c>
      <c r="V684" s="538" t="s">
        <v>4015</v>
      </c>
      <c r="W684" s="541" t="s">
        <v>4016</v>
      </c>
      <c r="X684" s="516" t="s">
        <v>790</v>
      </c>
      <c r="Y684" s="542">
        <v>22220</v>
      </c>
      <c r="Z684" s="543">
        <f t="shared" ca="1" si="5"/>
        <v>65</v>
      </c>
      <c r="AA684" s="534" t="s">
        <v>4017</v>
      </c>
      <c r="AB684" s="516"/>
      <c r="AC684" s="516" t="s">
        <v>842</v>
      </c>
      <c r="AD684" s="573" t="s">
        <v>851</v>
      </c>
      <c r="AE684" s="534" t="s">
        <v>713</v>
      </c>
      <c r="AF684" s="534" t="s">
        <v>1735</v>
      </c>
      <c r="AG684" s="534" t="s">
        <v>4019</v>
      </c>
      <c r="AH684" s="516"/>
      <c r="AI684" s="516"/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4020</v>
      </c>
      <c r="E685" s="516">
        <f t="shared" si="4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898</v>
      </c>
      <c r="V685" s="538" t="s">
        <v>4021</v>
      </c>
      <c r="W685" s="541" t="s">
        <v>4022</v>
      </c>
      <c r="X685" s="516" t="s">
        <v>790</v>
      </c>
      <c r="Y685" s="542">
        <v>18796</v>
      </c>
      <c r="Z685" s="543">
        <f t="shared" ca="1" si="5"/>
        <v>74</v>
      </c>
      <c r="AA685" s="534" t="s">
        <v>4023</v>
      </c>
      <c r="AB685" s="516"/>
      <c r="AC685" s="516" t="s">
        <v>842</v>
      </c>
      <c r="AD685" s="516" t="s">
        <v>843</v>
      </c>
      <c r="AE685" s="534" t="s">
        <v>815</v>
      </c>
      <c r="AF685" s="534" t="s">
        <v>1735</v>
      </c>
      <c r="AG685" s="534" t="s">
        <v>4025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4026</v>
      </c>
      <c r="E686" s="516">
        <f t="shared" si="4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38" t="s">
        <v>3995</v>
      </c>
      <c r="Q686" s="539" t="s">
        <v>308</v>
      </c>
      <c r="R686" s="516"/>
      <c r="S686" s="516"/>
      <c r="T686" s="516"/>
      <c r="U686" s="516" t="s">
        <v>799</v>
      </c>
      <c r="V686" s="538" t="s">
        <v>4027</v>
      </c>
      <c r="W686" s="541" t="s">
        <v>4028</v>
      </c>
      <c r="X686" s="516" t="s">
        <v>790</v>
      </c>
      <c r="Y686" s="542">
        <v>21313</v>
      </c>
      <c r="Z686" s="543">
        <f t="shared" ca="1" si="5"/>
        <v>67</v>
      </c>
      <c r="AA686" s="534" t="s">
        <v>4029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1229</v>
      </c>
      <c r="AH686" s="516"/>
      <c r="AI686" s="516"/>
      <c r="AJ686" s="516" t="s">
        <v>1497</v>
      </c>
      <c r="AK686" s="516"/>
      <c r="AL686" s="544"/>
      <c r="AM686" s="544"/>
    </row>
    <row r="687" spans="3:39" ht="18" customHeight="1">
      <c r="C687" s="516">
        <v>667</v>
      </c>
      <c r="D687" s="516" t="s">
        <v>4031</v>
      </c>
      <c r="E687" s="516">
        <f t="shared" si="4"/>
        <v>623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1159</v>
      </c>
      <c r="L687" s="535" t="s">
        <v>786</v>
      </c>
      <c r="M687" s="536"/>
      <c r="N687" s="537"/>
      <c r="O687" s="537"/>
      <c r="P687" s="559" t="s">
        <v>3995</v>
      </c>
      <c r="Q687" s="539" t="s">
        <v>308</v>
      </c>
      <c r="R687" s="516"/>
      <c r="S687" s="516"/>
      <c r="T687" s="516"/>
      <c r="U687" s="516" t="s">
        <v>799</v>
      </c>
      <c r="V687" s="559" t="s">
        <v>4032</v>
      </c>
      <c r="W687" s="541" t="s">
        <v>4033</v>
      </c>
      <c r="X687" s="516" t="s">
        <v>790</v>
      </c>
      <c r="Y687" s="542">
        <v>26711</v>
      </c>
      <c r="Z687" s="543">
        <f t="shared" ca="1" si="5"/>
        <v>52</v>
      </c>
      <c r="AA687" s="534" t="s">
        <v>4034</v>
      </c>
      <c r="AB687" s="516"/>
      <c r="AC687" s="516" t="s">
        <v>842</v>
      </c>
      <c r="AD687" s="516" t="s">
        <v>843</v>
      </c>
      <c r="AE687" s="534" t="s">
        <v>713</v>
      </c>
      <c r="AF687" s="534" t="s">
        <v>713</v>
      </c>
      <c r="AG687" s="534" t="s">
        <v>4035</v>
      </c>
      <c r="AH687" s="516" t="s">
        <v>1571</v>
      </c>
      <c r="AI687" s="516" t="s">
        <v>4459</v>
      </c>
      <c r="AJ687" s="516" t="s">
        <v>1852</v>
      </c>
      <c r="AK687" s="516"/>
      <c r="AL687" s="544"/>
      <c r="AM687" s="544"/>
    </row>
    <row r="688" spans="3:39" ht="18" customHeight="1">
      <c r="C688" s="516">
        <v>668</v>
      </c>
      <c r="D688" s="516" t="s">
        <v>1186</v>
      </c>
      <c r="E688" s="516">
        <f t="shared" si="4"/>
        <v>623</v>
      </c>
      <c r="F688" s="534"/>
      <c r="G688" s="534" t="s">
        <v>4036</v>
      </c>
      <c r="H688" s="535" t="s">
        <v>1106</v>
      </c>
      <c r="I688" s="535" t="s">
        <v>80</v>
      </c>
      <c r="J688" s="535" t="s">
        <v>908</v>
      </c>
      <c r="K688" s="535" t="s">
        <v>1186</v>
      </c>
      <c r="L688" s="535"/>
      <c r="M688" s="536"/>
      <c r="N688" s="537"/>
      <c r="O688" s="537"/>
      <c r="P688" s="548" t="s">
        <v>4037</v>
      </c>
      <c r="Q688" s="539"/>
      <c r="R688" s="516" t="s">
        <v>49</v>
      </c>
      <c r="S688" s="516" t="s">
        <v>168</v>
      </c>
      <c r="T688" s="516"/>
      <c r="U688" s="516"/>
      <c r="V688" s="548" t="s">
        <v>275</v>
      </c>
      <c r="W688" s="541" t="s">
        <v>4038</v>
      </c>
      <c r="X688" s="516" t="s">
        <v>876</v>
      </c>
      <c r="Y688" s="542">
        <v>29090</v>
      </c>
      <c r="Z688" s="543">
        <f t="shared" ca="1" si="5"/>
        <v>46</v>
      </c>
      <c r="AA688" s="534" t="s">
        <v>1188</v>
      </c>
      <c r="AB688" s="516"/>
      <c r="AC688" s="516" t="s">
        <v>802</v>
      </c>
      <c r="AD688" s="516" t="s">
        <v>794</v>
      </c>
      <c r="AE688" s="534" t="s">
        <v>713</v>
      </c>
      <c r="AF688" s="534" t="s">
        <v>1163</v>
      </c>
      <c r="AG688" s="534" t="s">
        <v>1172</v>
      </c>
      <c r="AH688" s="516" t="s">
        <v>872</v>
      </c>
      <c r="AI688" s="516"/>
      <c r="AJ688" s="516"/>
      <c r="AK688" s="516"/>
      <c r="AL688" s="544"/>
      <c r="AM688" s="544"/>
    </row>
    <row r="689" spans="3:39" ht="18" customHeight="1">
      <c r="C689" s="516">
        <v>669</v>
      </c>
      <c r="D689" s="516" t="s">
        <v>4039</v>
      </c>
      <c r="E689" s="516">
        <f t="shared" si="4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1118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606</v>
      </c>
      <c r="W689" s="541" t="s">
        <v>4040</v>
      </c>
      <c r="X689" s="516" t="s">
        <v>876</v>
      </c>
      <c r="Y689" s="542">
        <v>24600</v>
      </c>
      <c r="Z689" s="543">
        <f t="shared" ca="1" si="5"/>
        <v>58</v>
      </c>
      <c r="AA689" s="534" t="s">
        <v>4041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1229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4043</v>
      </c>
      <c r="E690" s="516">
        <f t="shared" si="4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625</v>
      </c>
      <c r="W690" s="541" t="s">
        <v>4044</v>
      </c>
      <c r="X690" s="516" t="s">
        <v>876</v>
      </c>
      <c r="Y690" s="542">
        <v>26817</v>
      </c>
      <c r="Z690" s="543">
        <f t="shared" ca="1" si="5"/>
        <v>52</v>
      </c>
      <c r="AA690" s="534" t="s">
        <v>4045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1373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4046</v>
      </c>
      <c r="E691" s="516">
        <f t="shared" si="4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642</v>
      </c>
      <c r="W691" s="541" t="s">
        <v>4047</v>
      </c>
      <c r="X691" s="516" t="s">
        <v>876</v>
      </c>
      <c r="Y691" s="542">
        <v>27630</v>
      </c>
      <c r="Z691" s="543">
        <f t="shared" ca="1" si="5"/>
        <v>50</v>
      </c>
      <c r="AA691" s="534" t="s">
        <v>4048</v>
      </c>
      <c r="AB691" s="516"/>
      <c r="AC691" s="516" t="s">
        <v>842</v>
      </c>
      <c r="AD691" s="516" t="s">
        <v>843</v>
      </c>
      <c r="AE691" s="534" t="s">
        <v>713</v>
      </c>
      <c r="AF691" s="534" t="s">
        <v>713</v>
      </c>
      <c r="AG691" s="534" t="s">
        <v>4050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4051</v>
      </c>
      <c r="E692" s="516">
        <f t="shared" si="4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38" t="s">
        <v>4037</v>
      </c>
      <c r="Q692" s="539" t="s">
        <v>308</v>
      </c>
      <c r="R692" s="516"/>
      <c r="S692" s="516"/>
      <c r="T692" s="516"/>
      <c r="U692" s="516" t="s">
        <v>874</v>
      </c>
      <c r="V692" s="538" t="s">
        <v>661</v>
      </c>
      <c r="W692" s="541" t="s">
        <v>4052</v>
      </c>
      <c r="X692" s="516" t="s">
        <v>876</v>
      </c>
      <c r="Y692" s="542">
        <v>29536</v>
      </c>
      <c r="Z692" s="543">
        <f t="shared" ca="1" si="5"/>
        <v>45</v>
      </c>
      <c r="AA692" s="534" t="s">
        <v>4053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2039</v>
      </c>
      <c r="AG692" s="534" t="s">
        <v>4054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4055</v>
      </c>
      <c r="E693" s="516">
        <f t="shared" si="4"/>
        <v>628</v>
      </c>
      <c r="F693" s="534" t="s">
        <v>811</v>
      </c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1186</v>
      </c>
      <c r="L693" s="535"/>
      <c r="M693" s="536"/>
      <c r="N693" s="537"/>
      <c r="O693" s="537"/>
      <c r="P693" s="559" t="s">
        <v>4037</v>
      </c>
      <c r="Q693" s="539" t="s">
        <v>308</v>
      </c>
      <c r="R693" s="516"/>
      <c r="S693" s="516"/>
      <c r="T693" s="516"/>
      <c r="U693" s="516" t="s">
        <v>874</v>
      </c>
      <c r="V693" s="559" t="s">
        <v>677</v>
      </c>
      <c r="W693" s="541" t="s">
        <v>4056</v>
      </c>
      <c r="X693" s="516" t="s">
        <v>876</v>
      </c>
      <c r="Y693" s="542">
        <v>31881</v>
      </c>
      <c r="Z693" s="543">
        <f t="shared" ca="1" si="5"/>
        <v>38</v>
      </c>
      <c r="AA693" s="534" t="s">
        <v>4057</v>
      </c>
      <c r="AB693" s="516"/>
      <c r="AC693" s="516" t="s">
        <v>842</v>
      </c>
      <c r="AD693" s="516" t="s">
        <v>843</v>
      </c>
      <c r="AE693" s="534" t="s">
        <v>2039</v>
      </c>
      <c r="AF693" s="534" t="s">
        <v>713</v>
      </c>
      <c r="AG693" s="534" t="s">
        <v>1229</v>
      </c>
      <c r="AH693" s="516"/>
      <c r="AI693" s="516"/>
      <c r="AJ693" s="569" t="s">
        <v>1224</v>
      </c>
      <c r="AK693" s="516"/>
      <c r="AL693" s="544"/>
      <c r="AM693" s="544"/>
    </row>
    <row r="694" spans="3:39" ht="18" customHeight="1">
      <c r="C694" s="516">
        <v>674</v>
      </c>
      <c r="D694" s="516" t="s">
        <v>3760</v>
      </c>
      <c r="E694" s="516">
        <f t="shared" si="4"/>
        <v>628</v>
      </c>
      <c r="F694" s="534"/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48" t="s">
        <v>4059</v>
      </c>
      <c r="Q694" s="539"/>
      <c r="R694" s="516" t="s">
        <v>49</v>
      </c>
      <c r="S694" s="516" t="s">
        <v>168</v>
      </c>
      <c r="T694" s="516"/>
      <c r="U694" s="516"/>
      <c r="V694" s="548" t="s">
        <v>590</v>
      </c>
      <c r="W694" s="541" t="s">
        <v>3762</v>
      </c>
      <c r="X694" s="516" t="s">
        <v>876</v>
      </c>
      <c r="Y694" s="542">
        <v>21524</v>
      </c>
      <c r="Z694" s="543">
        <f t="shared" ca="1" si="5"/>
        <v>67</v>
      </c>
      <c r="AA694" s="534" t="s">
        <v>3763</v>
      </c>
      <c r="AB694" s="516"/>
      <c r="AC694" s="516" t="s">
        <v>802</v>
      </c>
      <c r="AD694" s="516" t="s">
        <v>794</v>
      </c>
      <c r="AE694" s="534"/>
      <c r="AF694" s="534"/>
      <c r="AG694" s="534"/>
      <c r="AH694" s="516" t="s">
        <v>872</v>
      </c>
      <c r="AI694" s="516"/>
      <c r="AJ694" s="516"/>
      <c r="AK694" s="516"/>
      <c r="AL694" s="544"/>
      <c r="AM694" s="544"/>
    </row>
    <row r="695" spans="3:39" ht="18" customHeight="1">
      <c r="C695" s="516">
        <v>675</v>
      </c>
      <c r="D695" s="516" t="s">
        <v>4061</v>
      </c>
      <c r="E695" s="516">
        <f t="shared" si="4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607</v>
      </c>
      <c r="W695" s="541" t="s">
        <v>4062</v>
      </c>
      <c r="X695" s="516" t="s">
        <v>876</v>
      </c>
      <c r="Y695" s="542">
        <v>22993</v>
      </c>
      <c r="Z695" s="543">
        <f t="shared" ca="1" si="5"/>
        <v>63</v>
      </c>
      <c r="AA695" s="534" t="s">
        <v>4063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1094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4065</v>
      </c>
      <c r="E696" s="516">
        <f t="shared" si="4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626</v>
      </c>
      <c r="W696" s="541" t="s">
        <v>4066</v>
      </c>
      <c r="X696" s="516" t="s">
        <v>876</v>
      </c>
      <c r="Y696" s="542">
        <v>24691</v>
      </c>
      <c r="Z696" s="543">
        <f t="shared" ca="1" si="5"/>
        <v>58</v>
      </c>
      <c r="AA696" s="534" t="s">
        <v>4067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1894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4069</v>
      </c>
      <c r="E697" s="516">
        <f t="shared" si="4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643</v>
      </c>
      <c r="W697" s="541" t="s">
        <v>4070</v>
      </c>
      <c r="X697" s="516" t="s">
        <v>876</v>
      </c>
      <c r="Y697" s="542">
        <v>24929</v>
      </c>
      <c r="Z697" s="543">
        <f t="shared" ca="1" si="5"/>
        <v>57</v>
      </c>
      <c r="AA697" s="534" t="s">
        <v>4071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1427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4073</v>
      </c>
      <c r="E698" s="516">
        <f t="shared" si="4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38" t="s">
        <v>4059</v>
      </c>
      <c r="Q698" s="539" t="s">
        <v>308</v>
      </c>
      <c r="R698" s="516"/>
      <c r="S698" s="516"/>
      <c r="T698" s="516"/>
      <c r="U698" s="516" t="s">
        <v>874</v>
      </c>
      <c r="V698" s="538" t="s">
        <v>662</v>
      </c>
      <c r="W698" s="541" t="s">
        <v>4074</v>
      </c>
      <c r="X698" s="516" t="s">
        <v>876</v>
      </c>
      <c r="Y698" s="542">
        <v>26306</v>
      </c>
      <c r="Z698" s="543">
        <f t="shared" ca="1" si="5"/>
        <v>54</v>
      </c>
      <c r="AA698" s="534" t="s">
        <v>4075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4077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4078</v>
      </c>
      <c r="E699" s="516">
        <f t="shared" si="4"/>
        <v>633</v>
      </c>
      <c r="F699" s="534" t="s">
        <v>811</v>
      </c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3760</v>
      </c>
      <c r="L699" s="535"/>
      <c r="M699" s="536"/>
      <c r="N699" s="537"/>
      <c r="O699" s="537"/>
      <c r="P699" s="559" t="s">
        <v>4059</v>
      </c>
      <c r="Q699" s="539" t="s">
        <v>308</v>
      </c>
      <c r="R699" s="516"/>
      <c r="S699" s="516"/>
      <c r="T699" s="516"/>
      <c r="U699" s="516" t="s">
        <v>874</v>
      </c>
      <c r="V699" s="559" t="s">
        <v>678</v>
      </c>
      <c r="W699" s="541" t="s">
        <v>4079</v>
      </c>
      <c r="X699" s="516" t="s">
        <v>876</v>
      </c>
      <c r="Y699" s="542">
        <v>28381</v>
      </c>
      <c r="Z699" s="543">
        <f t="shared" ca="1" si="5"/>
        <v>48</v>
      </c>
      <c r="AA699" s="534" t="s">
        <v>4080</v>
      </c>
      <c r="AB699" s="516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4082</v>
      </c>
      <c r="AH699" s="516"/>
      <c r="AI699" s="516"/>
      <c r="AJ699" s="569" t="s">
        <v>1224</v>
      </c>
      <c r="AK699" s="516"/>
      <c r="AL699" s="544"/>
      <c r="AM699" s="544"/>
    </row>
    <row r="700" spans="3:39" ht="18" customHeight="1">
      <c r="C700" s="516">
        <v>680</v>
      </c>
      <c r="D700" s="516" t="s">
        <v>2520</v>
      </c>
      <c r="E700" s="516">
        <f t="shared" si="4"/>
        <v>633</v>
      </c>
      <c r="F700" s="534"/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 t="s">
        <v>786</v>
      </c>
      <c r="M700" s="536"/>
      <c r="N700" s="537"/>
      <c r="O700" s="537"/>
      <c r="P700" s="548" t="s">
        <v>4083</v>
      </c>
      <c r="Q700" s="539"/>
      <c r="R700" s="516"/>
      <c r="S700" s="516" t="s">
        <v>168</v>
      </c>
      <c r="T700" s="516"/>
      <c r="U700" s="516"/>
      <c r="V700" s="548" t="s">
        <v>180</v>
      </c>
      <c r="W700" s="541" t="s">
        <v>2522</v>
      </c>
      <c r="X700" s="516" t="s">
        <v>876</v>
      </c>
      <c r="Y700" s="542">
        <v>25699</v>
      </c>
      <c r="Z700" s="543">
        <f t="shared" ca="1" si="5"/>
        <v>55</v>
      </c>
      <c r="AA700" s="534" t="s">
        <v>2523</v>
      </c>
      <c r="AB700" s="516"/>
      <c r="AC700" s="516" t="s">
        <v>802</v>
      </c>
      <c r="AD700" s="516" t="s">
        <v>794</v>
      </c>
      <c r="AE700" s="534" t="s">
        <v>815</v>
      </c>
      <c r="AF700" s="534" t="s">
        <v>815</v>
      </c>
      <c r="AG700" s="534" t="s">
        <v>2525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681</v>
      </c>
      <c r="D701" s="516" t="s">
        <v>4084</v>
      </c>
      <c r="E701" s="516">
        <f t="shared" si="4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4085</v>
      </c>
      <c r="W701" s="541" t="s">
        <v>4086</v>
      </c>
      <c r="X701" s="516" t="s">
        <v>876</v>
      </c>
      <c r="Y701" s="542">
        <v>20919</v>
      </c>
      <c r="Z701" s="543">
        <f t="shared" ca="1" si="5"/>
        <v>68</v>
      </c>
      <c r="AA701" s="534" t="s">
        <v>4087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1400</v>
      </c>
      <c r="AG701" s="534" t="s">
        <v>2888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4089</v>
      </c>
      <c r="E702" s="516">
        <f t="shared" si="4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627</v>
      </c>
      <c r="W702" s="541" t="s">
        <v>4090</v>
      </c>
      <c r="X702" s="516" t="s">
        <v>876</v>
      </c>
      <c r="Y702" s="542">
        <v>22040</v>
      </c>
      <c r="Z702" s="543">
        <f t="shared" ca="1" si="5"/>
        <v>65</v>
      </c>
      <c r="AA702" s="534" t="s">
        <v>4091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4094</v>
      </c>
      <c r="E703" s="516">
        <f t="shared" si="4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4219</v>
      </c>
      <c r="W703" s="541" t="s">
        <v>4095</v>
      </c>
      <c r="X703" s="516" t="s">
        <v>876</v>
      </c>
      <c r="Y703" s="542">
        <v>26478</v>
      </c>
      <c r="Z703" s="543">
        <f t="shared" ca="1" si="5"/>
        <v>53</v>
      </c>
      <c r="AA703" s="534" t="s">
        <v>4096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4093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4098</v>
      </c>
      <c r="E704" s="516">
        <f t="shared" si="4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38" t="s">
        <v>4083</v>
      </c>
      <c r="Q704" s="539" t="s">
        <v>308</v>
      </c>
      <c r="R704" s="516"/>
      <c r="S704" s="516"/>
      <c r="T704" s="516"/>
      <c r="U704" s="516" t="s">
        <v>874</v>
      </c>
      <c r="V704" s="538" t="s">
        <v>663</v>
      </c>
      <c r="W704" s="541" t="s">
        <v>4099</v>
      </c>
      <c r="X704" s="516" t="s">
        <v>876</v>
      </c>
      <c r="Y704" s="542">
        <v>27186</v>
      </c>
      <c r="Z704" s="543">
        <f t="shared" ca="1" si="5"/>
        <v>51</v>
      </c>
      <c r="AA704" s="534" t="s">
        <v>4100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1352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4102</v>
      </c>
      <c r="E705" s="516">
        <f t="shared" si="4"/>
        <v>638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2520</v>
      </c>
      <c r="L705" s="535"/>
      <c r="M705" s="536"/>
      <c r="N705" s="537"/>
      <c r="O705" s="537"/>
      <c r="P705" s="559" t="s">
        <v>4083</v>
      </c>
      <c r="Q705" s="539" t="s">
        <v>308</v>
      </c>
      <c r="R705" s="516"/>
      <c r="S705" s="516"/>
      <c r="T705" s="516"/>
      <c r="U705" s="516" t="s">
        <v>874</v>
      </c>
      <c r="V705" s="559" t="s">
        <v>679</v>
      </c>
      <c r="W705" s="541" t="s">
        <v>4103</v>
      </c>
      <c r="X705" s="516" t="s">
        <v>876</v>
      </c>
      <c r="Y705" s="542">
        <v>28887</v>
      </c>
      <c r="Z705" s="543">
        <f t="shared" ca="1" si="5"/>
        <v>46</v>
      </c>
      <c r="AA705" s="534" t="s">
        <v>4104</v>
      </c>
      <c r="AB705" s="516"/>
      <c r="AC705" s="516" t="s">
        <v>842</v>
      </c>
      <c r="AD705" s="516" t="s">
        <v>843</v>
      </c>
      <c r="AE705" s="534" t="s">
        <v>815</v>
      </c>
      <c r="AF705" s="534" t="s">
        <v>815</v>
      </c>
      <c r="AG705" s="534" t="s">
        <v>2411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2918</v>
      </c>
      <c r="E706" s="516">
        <f t="shared" si="4"/>
        <v>638</v>
      </c>
      <c r="F706" s="534"/>
      <c r="G706" s="534" t="s">
        <v>4036</v>
      </c>
      <c r="H706" s="535" t="s">
        <v>1106</v>
      </c>
      <c r="I706" s="535" t="s">
        <v>80</v>
      </c>
      <c r="J706" s="535" t="s">
        <v>908</v>
      </c>
      <c r="K706" s="535" t="s">
        <v>2918</v>
      </c>
      <c r="L706" s="535" t="s">
        <v>786</v>
      </c>
      <c r="M706" s="536"/>
      <c r="N706" s="537"/>
      <c r="O706" s="537"/>
      <c r="P706" s="548" t="s">
        <v>4106</v>
      </c>
      <c r="Q706" s="539"/>
      <c r="R706" s="516" t="s">
        <v>163</v>
      </c>
      <c r="S706" s="516" t="s">
        <v>500</v>
      </c>
      <c r="T706" s="516" t="s">
        <v>49</v>
      </c>
      <c r="U706" s="516"/>
      <c r="V706" s="548" t="s">
        <v>498</v>
      </c>
      <c r="W706" s="541" t="s">
        <v>2919</v>
      </c>
      <c r="X706" s="516" t="s">
        <v>876</v>
      </c>
      <c r="Y706" s="542">
        <v>22147</v>
      </c>
      <c r="Z706" s="543">
        <f t="shared" ca="1" si="5"/>
        <v>65</v>
      </c>
      <c r="AA706" s="534" t="s">
        <v>2920</v>
      </c>
      <c r="AB706" s="516"/>
      <c r="AC706" s="516" t="s">
        <v>842</v>
      </c>
      <c r="AD706" s="516" t="s">
        <v>794</v>
      </c>
      <c r="AE706" s="534" t="s">
        <v>236</v>
      </c>
      <c r="AF706" s="534" t="s">
        <v>236</v>
      </c>
      <c r="AG706" s="534" t="s">
        <v>865</v>
      </c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687</v>
      </c>
      <c r="D707" s="516" t="s">
        <v>4107</v>
      </c>
      <c r="E707" s="516">
        <f t="shared" si="4"/>
        <v>639</v>
      </c>
      <c r="F707" s="534" t="s">
        <v>1001</v>
      </c>
      <c r="G707" s="534" t="s">
        <v>4036</v>
      </c>
      <c r="H707" s="535" t="s">
        <v>1106</v>
      </c>
      <c r="I707" s="535" t="s">
        <v>80</v>
      </c>
      <c r="J707" s="535" t="s">
        <v>1118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609</v>
      </c>
      <c r="W707" s="541" t="s">
        <v>4108</v>
      </c>
      <c r="X707" s="516" t="s">
        <v>876</v>
      </c>
      <c r="Y707" s="542">
        <v>20956</v>
      </c>
      <c r="Z707" s="543">
        <f t="shared" ca="1" si="5"/>
        <v>68</v>
      </c>
      <c r="AA707" s="534" t="s">
        <v>4109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865</v>
      </c>
      <c r="AH707" s="516"/>
      <c r="AI707" s="516"/>
      <c r="AJ707" s="569" t="s">
        <v>4111</v>
      </c>
      <c r="AK707" s="516"/>
      <c r="AL707" s="544"/>
      <c r="AM707" s="544"/>
    </row>
    <row r="708" spans="3:39" ht="18" customHeight="1">
      <c r="C708" s="516">
        <v>688</v>
      </c>
      <c r="D708" s="516" t="s">
        <v>4112</v>
      </c>
      <c r="E708" s="516">
        <f t="shared" si="4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628</v>
      </c>
      <c r="W708" s="541" t="s">
        <v>4113</v>
      </c>
      <c r="X708" s="516" t="s">
        <v>876</v>
      </c>
      <c r="Y708" s="542">
        <v>23295</v>
      </c>
      <c r="Z708" s="543">
        <f t="shared" ca="1" si="5"/>
        <v>62</v>
      </c>
      <c r="AA708" s="534" t="s">
        <v>4114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1846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4116</v>
      </c>
      <c r="E709" s="516">
        <f t="shared" si="4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645</v>
      </c>
      <c r="W709" s="541" t="s">
        <v>4117</v>
      </c>
      <c r="X709" s="516" t="s">
        <v>876</v>
      </c>
      <c r="Y709" s="542">
        <v>23392</v>
      </c>
      <c r="Z709" s="543">
        <f t="shared" ca="1" si="5"/>
        <v>62</v>
      </c>
      <c r="AA709" s="534" t="s">
        <v>4118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743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4120</v>
      </c>
      <c r="E710" s="516">
        <f t="shared" si="4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38" t="s">
        <v>4106</v>
      </c>
      <c r="Q710" s="539" t="s">
        <v>308</v>
      </c>
      <c r="R710" s="516"/>
      <c r="S710" s="516"/>
      <c r="T710" s="516"/>
      <c r="U710" s="516" t="s">
        <v>874</v>
      </c>
      <c r="V710" s="538" t="s">
        <v>664</v>
      </c>
      <c r="W710" s="541" t="s">
        <v>4121</v>
      </c>
      <c r="X710" s="516" t="s">
        <v>876</v>
      </c>
      <c r="Y710" s="542">
        <v>23701</v>
      </c>
      <c r="Z710" s="543">
        <f t="shared" ca="1" si="5"/>
        <v>61</v>
      </c>
      <c r="AA710" s="534" t="s">
        <v>4122</v>
      </c>
      <c r="AB710" s="516"/>
      <c r="AC710" s="516" t="s">
        <v>842</v>
      </c>
      <c r="AD710" s="516" t="s">
        <v>843</v>
      </c>
      <c r="AE710" s="534" t="s">
        <v>236</v>
      </c>
      <c r="AF710" s="534" t="s">
        <v>236</v>
      </c>
      <c r="AG710" s="534" t="s">
        <v>744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4124</v>
      </c>
      <c r="E711" s="516">
        <f t="shared" si="4"/>
        <v>643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2918</v>
      </c>
      <c r="L711" s="535" t="s">
        <v>786</v>
      </c>
      <c r="M711" s="536"/>
      <c r="N711" s="537"/>
      <c r="O711" s="537"/>
      <c r="P711" s="559" t="s">
        <v>4106</v>
      </c>
      <c r="Q711" s="539" t="s">
        <v>308</v>
      </c>
      <c r="R711" s="516"/>
      <c r="S711" s="516"/>
      <c r="T711" s="516"/>
      <c r="U711" s="516" t="s">
        <v>874</v>
      </c>
      <c r="V711" s="559" t="s">
        <v>680</v>
      </c>
      <c r="W711" s="541" t="s">
        <v>4125</v>
      </c>
      <c r="X711" s="516" t="s">
        <v>876</v>
      </c>
      <c r="Y711" s="542">
        <v>24508</v>
      </c>
      <c r="Z711" s="543">
        <f t="shared" ca="1" si="5"/>
        <v>58</v>
      </c>
      <c r="AA711" s="534" t="s">
        <v>4126</v>
      </c>
      <c r="AB711" s="516"/>
      <c r="AC711" s="516" t="s">
        <v>842</v>
      </c>
      <c r="AD711" s="516" t="s">
        <v>843</v>
      </c>
      <c r="AE711" s="534" t="s">
        <v>942</v>
      </c>
      <c r="AF711" s="534" t="s">
        <v>942</v>
      </c>
      <c r="AG711" s="534" t="s">
        <v>4127</v>
      </c>
      <c r="AH711" s="516"/>
      <c r="AI711" s="516"/>
      <c r="AJ711" s="569" t="s">
        <v>1224</v>
      </c>
      <c r="AK711" s="516"/>
      <c r="AL711" s="544"/>
      <c r="AM711" s="544"/>
    </row>
  </sheetData>
  <autoFilter ref="C20:AM711" xr:uid="{00000000-0009-0000-0000-000009000000}"/>
  <phoneticPr fontId="139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9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42년5월 취합마스터파일</vt:lpstr>
      <vt:lpstr>취합마스터파일 삭제예정)</vt:lpstr>
      <vt:lpstr>42년3월(조직개편전) 조직도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Evgeniia</dc:creator>
  <cp:lastModifiedBy>애드인에듀</cp:lastModifiedBy>
  <dcterms:created xsi:type="dcterms:W3CDTF">2025-07-27T21:33:59Z</dcterms:created>
  <dcterms:modified xsi:type="dcterms:W3CDTF">2026-01-28T07:31:26Z</dcterms:modified>
</cp:coreProperties>
</file>